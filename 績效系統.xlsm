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worksheets/sheet6.xml" ContentType="application/vnd.openxmlformats-officedocument.spreadsheetml.worksheet+xml"/>
  <Default Extension="jpeg" ContentType="image/jpeg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2.xml" ContentType="application/vnd.openxmlformats-officedocument.spreadsheetml.externalLink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480" yWindow="90" windowWidth="18180" windowHeight="11475" activeTab="1"/>
  </bookViews>
  <sheets>
    <sheet name="班別" sheetId="10" r:id="rId1"/>
    <sheet name="績效看板" sheetId="12" r:id="rId2"/>
    <sheet name="加權" sheetId="13" r:id="rId3"/>
    <sheet name="RVRP Tact Time 預估工具" sheetId="14" r:id="rId4"/>
    <sheet name="設定" sheetId="15" r:id="rId5"/>
    <sheet name="平均P點計算" sheetId="16" r:id="rId6"/>
  </sheets>
  <functionGroups/>
  <externalReferences>
    <externalReference r:id="rId7"/>
    <externalReference r:id="rId8"/>
  </externalReferences>
  <calcPr calcId="125725"/>
</workbook>
</file>

<file path=xl/calcChain.xml><?xml version="1.0" encoding="utf-8"?>
<calcChain xmlns="http://schemas.openxmlformats.org/spreadsheetml/2006/main">
  <c r="F42" i="14"/>
  <c r="E44"/>
  <c r="E45"/>
  <c r="E46"/>
  <c r="E42"/>
  <c r="E43"/>
  <c r="F35"/>
  <c r="E35"/>
  <c r="E37"/>
  <c r="E38"/>
  <c r="E39"/>
  <c r="E36"/>
  <c r="F28"/>
  <c r="E30"/>
  <c r="E31"/>
  <c r="E32"/>
  <c r="E28"/>
  <c r="E29"/>
  <c r="F21"/>
  <c r="E21"/>
  <c r="E22"/>
  <c r="E24"/>
  <c r="E25"/>
  <c r="E23"/>
  <c r="A123" i="16"/>
  <c r="F120"/>
  <c r="O17" i="14"/>
  <c r="N17"/>
  <c r="M17"/>
  <c r="F17" s="1"/>
  <c r="O16"/>
  <c r="E16" s="1"/>
  <c r="N16"/>
  <c r="M16"/>
  <c r="H16"/>
  <c r="S16" s="1"/>
  <c r="G16"/>
  <c r="K16" s="1"/>
  <c r="O15"/>
  <c r="F15" s="1"/>
  <c r="N15"/>
  <c r="E15" s="1"/>
  <c r="M15"/>
  <c r="H15" s="1"/>
  <c r="G15"/>
  <c r="R15" s="1"/>
  <c r="O14"/>
  <c r="N14"/>
  <c r="E14" s="1"/>
  <c r="M14"/>
  <c r="G14" s="1"/>
  <c r="F14"/>
  <c r="J14" s="1"/>
  <c r="O13"/>
  <c r="N13"/>
  <c r="M13"/>
  <c r="F13" s="1"/>
  <c r="E13"/>
  <c r="I13" s="1"/>
  <c r="O12"/>
  <c r="E12" s="1"/>
  <c r="N12"/>
  <c r="M12"/>
  <c r="H12"/>
  <c r="L12" s="1"/>
  <c r="G12"/>
  <c r="R12" s="1"/>
  <c r="O11"/>
  <c r="F11" s="1"/>
  <c r="N11"/>
  <c r="E11" s="1"/>
  <c r="M11"/>
  <c r="H11" s="1"/>
  <c r="O10"/>
  <c r="N10"/>
  <c r="E10" s="1"/>
  <c r="M10"/>
  <c r="G10" s="1"/>
  <c r="O9"/>
  <c r="N9"/>
  <c r="M9"/>
  <c r="F9" s="1"/>
  <c r="O8"/>
  <c r="G8" s="1"/>
  <c r="N8"/>
  <c r="E8" s="1"/>
  <c r="M8"/>
  <c r="H8"/>
  <c r="S8" s="1"/>
  <c r="O7"/>
  <c r="N7"/>
  <c r="F7" s="1"/>
  <c r="M7"/>
  <c r="H7" s="1"/>
  <c r="G7"/>
  <c r="R7" s="1"/>
  <c r="O6"/>
  <c r="N6"/>
  <c r="F6" s="1"/>
  <c r="M6"/>
  <c r="G6" s="1"/>
  <c r="F47" l="1"/>
  <c r="J9"/>
  <c r="Q9"/>
  <c r="P10"/>
  <c r="I10"/>
  <c r="J11"/>
  <c r="Q11"/>
  <c r="P14"/>
  <c r="I14"/>
  <c r="P15"/>
  <c r="I15"/>
  <c r="K8"/>
  <c r="R8"/>
  <c r="K10"/>
  <c r="R10"/>
  <c r="P11"/>
  <c r="I11"/>
  <c r="J13"/>
  <c r="Q13"/>
  <c r="K14"/>
  <c r="R14"/>
  <c r="L15"/>
  <c r="S15"/>
  <c r="Q17"/>
  <c r="J17"/>
  <c r="Q6"/>
  <c r="J6"/>
  <c r="Q7"/>
  <c r="J7"/>
  <c r="I8"/>
  <c r="P8"/>
  <c r="L11"/>
  <c r="S11"/>
  <c r="I16"/>
  <c r="P16"/>
  <c r="K6"/>
  <c r="R6"/>
  <c r="L7"/>
  <c r="S7"/>
  <c r="I12"/>
  <c r="P12"/>
  <c r="Q15"/>
  <c r="J15"/>
  <c r="K7"/>
  <c r="L8"/>
  <c r="E9"/>
  <c r="K15"/>
  <c r="E17"/>
  <c r="K12"/>
  <c r="S12"/>
  <c r="H13"/>
  <c r="P13"/>
  <c r="Q14"/>
  <c r="F8"/>
  <c r="G9"/>
  <c r="H10"/>
  <c r="F12"/>
  <c r="G13"/>
  <c r="H14"/>
  <c r="F16"/>
  <c r="R16"/>
  <c r="G17"/>
  <c r="F10"/>
  <c r="G11"/>
  <c r="L16"/>
  <c r="E6"/>
  <c r="H9"/>
  <c r="H17"/>
  <c r="H6"/>
  <c r="E7"/>
  <c r="P6" l="1"/>
  <c r="I6"/>
  <c r="R17"/>
  <c r="K17"/>
  <c r="Q8"/>
  <c r="J8"/>
  <c r="S9"/>
  <c r="L9"/>
  <c r="Q10"/>
  <c r="J10"/>
  <c r="S13"/>
  <c r="L13"/>
  <c r="L17"/>
  <c r="S17"/>
  <c r="R11"/>
  <c r="K11"/>
  <c r="Q16"/>
  <c r="J16"/>
  <c r="S10"/>
  <c r="L10"/>
  <c r="P17"/>
  <c r="I17"/>
  <c r="P7"/>
  <c r="I7"/>
  <c r="R13"/>
  <c r="K13"/>
  <c r="P9"/>
  <c r="I9"/>
  <c r="S14"/>
  <c r="L14"/>
  <c r="R9"/>
  <c r="K9"/>
  <c r="S6"/>
  <c r="L6"/>
  <c r="Q12"/>
  <c r="J12"/>
</calcChain>
</file>

<file path=xl/sharedStrings.xml><?xml version="1.0" encoding="utf-8"?>
<sst xmlns="http://schemas.openxmlformats.org/spreadsheetml/2006/main" count="203" uniqueCount="132">
  <si>
    <t>日班</t>
    <phoneticPr fontId="1" type="noConversion"/>
  </si>
  <si>
    <t>夜班</t>
    <phoneticPr fontId="1" type="noConversion"/>
  </si>
  <si>
    <t>A</t>
    <phoneticPr fontId="1" type="noConversion"/>
  </si>
  <si>
    <t>B</t>
    <phoneticPr fontId="1" type="noConversion"/>
  </si>
  <si>
    <t>D</t>
    <phoneticPr fontId="1" type="noConversion"/>
  </si>
  <si>
    <t>C</t>
    <phoneticPr fontId="1" type="noConversion"/>
  </si>
  <si>
    <t>站點</t>
    <phoneticPr fontId="2" type="noConversion"/>
  </si>
  <si>
    <t>比重</t>
    <phoneticPr fontId="2" type="noConversion"/>
  </si>
  <si>
    <t>Target</t>
    <phoneticPr fontId="2" type="noConversion"/>
  </si>
  <si>
    <t>60000點</t>
    <phoneticPr fontId="2" type="noConversion"/>
  </si>
  <si>
    <t xml:space="preserve">沒有簡易code </t>
    <phoneticPr fontId="2" type="noConversion"/>
  </si>
  <si>
    <t>8:30(20:30)</t>
    <phoneticPr fontId="2" type="noConversion"/>
  </si>
  <si>
    <t>9:30(21:30)</t>
    <phoneticPr fontId="2" type="noConversion"/>
  </si>
  <si>
    <t>10:30(22:30)</t>
    <phoneticPr fontId="2" type="noConversion"/>
  </si>
  <si>
    <t>11:30(23:30)</t>
    <phoneticPr fontId="2" type="noConversion"/>
  </si>
  <si>
    <t>12:30(00:30)</t>
    <phoneticPr fontId="2" type="noConversion"/>
  </si>
  <si>
    <t>13:30(1:30)</t>
    <phoneticPr fontId="2" type="noConversion"/>
  </si>
  <si>
    <t>14:30(2:30)</t>
    <phoneticPr fontId="2" type="noConversion"/>
  </si>
  <si>
    <t>15:30(3:30)</t>
    <phoneticPr fontId="2" type="noConversion"/>
  </si>
  <si>
    <t>16:30(4:30)</t>
    <phoneticPr fontId="2" type="noConversion"/>
  </si>
  <si>
    <t>17:30(5:30)</t>
    <phoneticPr fontId="2" type="noConversion"/>
  </si>
  <si>
    <t>18:30(6:30)</t>
    <phoneticPr fontId="2" type="noConversion"/>
  </si>
  <si>
    <t>19:30(7:30)</t>
    <phoneticPr fontId="2" type="noConversion"/>
  </si>
  <si>
    <t>Z</t>
    <phoneticPr fontId="1" type="noConversion"/>
  </si>
  <si>
    <t>姓名</t>
    <phoneticPr fontId="1" type="noConversion"/>
  </si>
  <si>
    <t>片數</t>
    <phoneticPr fontId="1" type="noConversion"/>
  </si>
  <si>
    <t>點數</t>
    <phoneticPr fontId="1" type="noConversion"/>
  </si>
  <si>
    <t>達成率</t>
    <phoneticPr fontId="1" type="noConversion"/>
  </si>
  <si>
    <t>當站工時</t>
    <phoneticPr fontId="1" type="noConversion"/>
  </si>
  <si>
    <t>Target(點數)</t>
    <phoneticPr fontId="1" type="noConversion"/>
  </si>
  <si>
    <t xml:space="preserve">INK 點數 &amp; 片數看板 </t>
    <phoneticPr fontId="1" type="noConversion"/>
  </si>
  <si>
    <t xml:space="preserve">FMAC 點數 &amp; 片數看板 </t>
    <phoneticPr fontId="1" type="noConversion"/>
  </si>
  <si>
    <t>Target(片數)</t>
    <phoneticPr fontId="1" type="noConversion"/>
  </si>
  <si>
    <t>IMRV</t>
    <phoneticPr fontId="1" type="noConversion"/>
  </si>
  <si>
    <t>INK</t>
    <phoneticPr fontId="1" type="noConversion"/>
  </si>
  <si>
    <t>FMAC</t>
    <phoneticPr fontId="1" type="noConversion"/>
  </si>
  <si>
    <t>RVRP</t>
    <phoneticPr fontId="1" type="noConversion"/>
  </si>
  <si>
    <t>總績效</t>
    <phoneticPr fontId="1" type="noConversion"/>
  </si>
  <si>
    <t>&gt;1.5H</t>
    <phoneticPr fontId="1" type="noConversion"/>
  </si>
  <si>
    <t>1站</t>
    <phoneticPr fontId="1" type="noConversion"/>
  </si>
  <si>
    <t>2站</t>
    <phoneticPr fontId="1" type="noConversion"/>
  </si>
  <si>
    <t>3站</t>
    <phoneticPr fontId="1" type="noConversion"/>
  </si>
  <si>
    <t>4站</t>
    <phoneticPr fontId="1" type="noConversion"/>
  </si>
  <si>
    <t>加權</t>
    <phoneticPr fontId="1" type="noConversion"/>
  </si>
  <si>
    <t xml:space="preserve"> RVRP Tact Time 預估工具</t>
    <phoneticPr fontId="2" type="noConversion"/>
  </si>
  <si>
    <t>線別</t>
    <phoneticPr fontId="2" type="noConversion"/>
  </si>
  <si>
    <t>REPA01</t>
    <phoneticPr fontId="2" type="noConversion"/>
  </si>
  <si>
    <t>REPA02</t>
  </si>
  <si>
    <t>REPA03</t>
  </si>
  <si>
    <t>REPA04</t>
  </si>
  <si>
    <t>機台數</t>
    <phoneticPr fontId="2" type="noConversion"/>
  </si>
  <si>
    <t>請輸入產品和Wip片數</t>
    <phoneticPr fontId="2" type="noConversion"/>
  </si>
  <si>
    <t>單片 Tact Time</t>
    <phoneticPr fontId="2" type="noConversion"/>
  </si>
  <si>
    <t>預估RUN貨時間(Hr)</t>
    <phoneticPr fontId="2" type="noConversion"/>
  </si>
  <si>
    <t>預估RUN貨片數(Hr)</t>
    <phoneticPr fontId="1" type="noConversion"/>
  </si>
  <si>
    <t>Product</t>
    <phoneticPr fontId="2" type="noConversion"/>
  </si>
  <si>
    <t>WIP</t>
    <phoneticPr fontId="2" type="noConversion"/>
  </si>
  <si>
    <t>平均P點</t>
    <phoneticPr fontId="2" type="noConversion"/>
  </si>
  <si>
    <t>REPA02</t>
    <phoneticPr fontId="2" type="noConversion"/>
  </si>
  <si>
    <t>REPA03</t>
    <phoneticPr fontId="2" type="noConversion"/>
  </si>
  <si>
    <t>REPA04</t>
    <phoneticPr fontId="2" type="noConversion"/>
  </si>
  <si>
    <t>測高成功率</t>
    <phoneticPr fontId="2" type="noConversion"/>
  </si>
  <si>
    <t>平均抓點率</t>
    <phoneticPr fontId="2" type="noConversion"/>
  </si>
  <si>
    <t>平均研磨次數</t>
    <phoneticPr fontId="2" type="noConversion"/>
  </si>
  <si>
    <t>A801</t>
    <phoneticPr fontId="2" type="noConversion"/>
  </si>
  <si>
    <t>D317</t>
    <phoneticPr fontId="2" type="noConversion"/>
  </si>
  <si>
    <t>6516</t>
    <phoneticPr fontId="2" type="noConversion"/>
  </si>
  <si>
    <t>F654</t>
    <phoneticPr fontId="2" type="noConversion"/>
  </si>
  <si>
    <t>R007</t>
    <phoneticPr fontId="2" type="noConversion"/>
  </si>
  <si>
    <t>單片 Tact Time</t>
    <phoneticPr fontId="1" type="noConversion"/>
  </si>
  <si>
    <t>預估時數</t>
    <phoneticPr fontId="1" type="noConversion"/>
  </si>
  <si>
    <t>預估片數</t>
    <phoneticPr fontId="1" type="noConversion"/>
  </si>
  <si>
    <t>R007</t>
    <phoneticPr fontId="1" type="noConversion"/>
  </si>
  <si>
    <t>當班預估片數</t>
    <phoneticPr fontId="1" type="noConversion"/>
  </si>
  <si>
    <t>線別</t>
    <phoneticPr fontId="2" type="noConversion"/>
  </si>
  <si>
    <t>REPA01</t>
    <phoneticPr fontId="2" type="noConversion"/>
  </si>
  <si>
    <t>機台數</t>
    <phoneticPr fontId="2" type="noConversion"/>
  </si>
  <si>
    <t>產品</t>
    <phoneticPr fontId="2" type="noConversion"/>
  </si>
  <si>
    <t>分類</t>
    <phoneticPr fontId="2" type="noConversion"/>
  </si>
  <si>
    <t>測高成功率</t>
    <phoneticPr fontId="2" type="noConversion"/>
  </si>
  <si>
    <t>平均抓點率</t>
    <phoneticPr fontId="2" type="noConversion"/>
  </si>
  <si>
    <t>平均研磨次數</t>
    <phoneticPr fontId="2" type="noConversion"/>
  </si>
  <si>
    <t>E021</t>
    <phoneticPr fontId="2" type="noConversion"/>
  </si>
  <si>
    <t>IPS</t>
    <phoneticPr fontId="2" type="noConversion"/>
  </si>
  <si>
    <t>F647</t>
    <phoneticPr fontId="2" type="noConversion"/>
  </si>
  <si>
    <t>6516</t>
    <phoneticPr fontId="2" type="noConversion"/>
  </si>
  <si>
    <t>F654</t>
    <phoneticPr fontId="2" type="noConversion"/>
  </si>
  <si>
    <t>TN</t>
    <phoneticPr fontId="2" type="noConversion"/>
  </si>
  <si>
    <t>R007</t>
    <phoneticPr fontId="2" type="noConversion"/>
  </si>
  <si>
    <t>A801</t>
    <phoneticPr fontId="2" type="noConversion"/>
  </si>
  <si>
    <t>D317</t>
    <phoneticPr fontId="2" type="noConversion"/>
  </si>
  <si>
    <t>Panel Size</t>
  </si>
  <si>
    <t>A801</t>
  </si>
  <si>
    <t>Total Panels</t>
  </si>
  <si>
    <t>Total Glass</t>
  </si>
  <si>
    <t>Total Yield</t>
  </si>
  <si>
    <t>Scrap Panels</t>
  </si>
  <si>
    <t>From</t>
  </si>
  <si>
    <t>20200619 早上07:30:01</t>
  </si>
  <si>
    <t>To</t>
  </si>
  <si>
    <t>2020/6/19 下午 01:00:00</t>
  </si>
  <si>
    <t>7571 - After PS IMRV</t>
  </si>
  <si>
    <t>Defect Code</t>
  </si>
  <si>
    <t>Loss Yield</t>
  </si>
  <si>
    <t>Defect Density</t>
  </si>
  <si>
    <t>Loss Qty</t>
  </si>
  <si>
    <t>Defect Qty</t>
  </si>
  <si>
    <t>8XP - Tape Repair</t>
  </si>
  <si>
    <t>877 - PS particle</t>
  </si>
  <si>
    <t>87F - PS remain for IPS 產品</t>
  </si>
  <si>
    <t>866 - MVA/DJ ITO Remain 2</t>
  </si>
  <si>
    <t>499 - Other</t>
  </si>
  <si>
    <t>931 - G black defect</t>
  </si>
  <si>
    <t>971 - PS black defect</t>
  </si>
  <si>
    <t>Defect Qty(8XX+5XX+9XX)加總/片數=每片平均P點</t>
    <phoneticPr fontId="1" type="noConversion"/>
  </si>
  <si>
    <t xml:space="preserve"> </t>
    <phoneticPr fontId="1" type="noConversion"/>
  </si>
  <si>
    <t>總績效看板</t>
    <phoneticPr fontId="1" type="noConversion"/>
  </si>
  <si>
    <t xml:space="preserve">IMRV 點數 &amp; 片數看板 </t>
    <phoneticPr fontId="1" type="noConversion"/>
  </si>
  <si>
    <t xml:space="preserve">RVRP 點數 &amp; 片數看板 </t>
    <phoneticPr fontId="1" type="noConversion"/>
  </si>
  <si>
    <t>莊惠安</t>
  </si>
  <si>
    <t>郭惠濨</t>
  </si>
  <si>
    <t>陳靜嫻</t>
  </si>
  <si>
    <t>蔡幸汝</t>
  </si>
  <si>
    <t xml:space="preserve">   ※ IMRV達成率『第一名』※</t>
    <phoneticPr fontId="1" type="noConversion"/>
  </si>
  <si>
    <t xml:space="preserve"> 莊惠安 郭惠濨 陳靜嫻  ※ IMRV達成率『未達』,加油喔 ※</t>
    <phoneticPr fontId="1" type="noConversion"/>
  </si>
  <si>
    <t xml:space="preserve">   ※ INK達成率『第一名』※</t>
    <phoneticPr fontId="1" type="noConversion"/>
  </si>
  <si>
    <t xml:space="preserve">  ※ INK達成率『未達』,加油喔 ※</t>
    <phoneticPr fontId="1" type="noConversion"/>
  </si>
  <si>
    <t xml:space="preserve">   ※ FMAC達成率『第一名』※</t>
    <phoneticPr fontId="1" type="noConversion"/>
  </si>
  <si>
    <t xml:space="preserve">  ※ FMAC達成率『未達』,加油喔 ※</t>
    <phoneticPr fontId="1" type="noConversion"/>
  </si>
  <si>
    <t xml:space="preserve">   ※ RVRP達成率『第一名』※</t>
    <phoneticPr fontId="1" type="noConversion"/>
  </si>
  <si>
    <t xml:space="preserve"> 蔡幸汝  ※ RVRP達成率『未達』,加油喔 ※</t>
    <phoneticPr fontId="1" type="noConversion"/>
  </si>
  <si>
    <t>7:30~09:05</t>
    <phoneticPr fontId="1" type="noConversion"/>
  </si>
</sst>
</file>

<file path=xl/styles.xml><?xml version="1.0" encoding="utf-8"?>
<styleSheet xmlns="http://schemas.openxmlformats.org/spreadsheetml/2006/main">
  <numFmts count="5">
    <numFmt numFmtId="176" formatCode="0.00_ "/>
    <numFmt numFmtId="177" formatCode="0.0_ "/>
    <numFmt numFmtId="178" formatCode="&quot;\&quot;#,##0.00;[Red]&quot;\&quot;\-#,##0.00"/>
    <numFmt numFmtId="179" formatCode="&quot;\&quot;#,##0;[Red]&quot;\&quot;\-#,##0"/>
    <numFmt numFmtId="180" formatCode="0.0%"/>
  </numFmts>
  <fonts count="18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9"/>
      <name val="新細明體"/>
      <family val="1"/>
      <charset val="136"/>
    </font>
    <font>
      <b/>
      <sz val="12"/>
      <color theme="1"/>
      <name val="新細明體"/>
      <family val="1"/>
      <charset val="136"/>
      <scheme val="minor"/>
    </font>
    <font>
      <b/>
      <sz val="16"/>
      <color theme="1"/>
      <name val="新細明體"/>
      <family val="1"/>
      <charset val="136"/>
      <scheme val="minor"/>
    </font>
    <font>
      <sz val="16"/>
      <color theme="1"/>
      <name val="新細明體"/>
      <family val="1"/>
      <charset val="136"/>
      <scheme val="minor"/>
    </font>
    <font>
      <b/>
      <sz val="16"/>
      <name val="新細明體"/>
      <family val="1"/>
      <charset val="136"/>
      <scheme val="minor"/>
    </font>
    <font>
      <sz val="11"/>
      <color rgb="FF373737"/>
      <name val="Arial"/>
      <family val="2"/>
    </font>
    <font>
      <b/>
      <sz val="14"/>
      <color theme="1"/>
      <name val="新細明體"/>
      <family val="1"/>
      <charset val="136"/>
      <scheme val="minor"/>
    </font>
    <font>
      <sz val="12"/>
      <name val="新細明體"/>
      <family val="1"/>
      <charset val="136"/>
    </font>
    <font>
      <b/>
      <i/>
      <sz val="22"/>
      <color rgb="FFFF0000"/>
      <name val="新細明體"/>
      <family val="1"/>
      <charset val="136"/>
      <scheme val="minor"/>
    </font>
    <font>
      <b/>
      <sz val="12"/>
      <color theme="0"/>
      <name val="新細明體"/>
      <family val="1"/>
      <charset val="136"/>
    </font>
    <font>
      <b/>
      <sz val="12"/>
      <color theme="0"/>
      <name val="新細明體"/>
      <family val="1"/>
      <charset val="136"/>
      <scheme val="minor"/>
    </font>
    <font>
      <sz val="10"/>
      <name val="Helv"/>
      <family val="2"/>
    </font>
    <font>
      <sz val="11"/>
      <name val="?"/>
      <family val="3"/>
      <charset val="136"/>
    </font>
    <font>
      <sz val="11"/>
      <name val=""/>
      <family val="1"/>
      <charset val="136"/>
    </font>
    <font>
      <sz val="11"/>
      <name val=" "/>
      <family val="3"/>
      <charset val="136"/>
    </font>
    <font>
      <sz val="12"/>
      <name val="新細明體"/>
      <family val="1"/>
    </font>
  </fonts>
  <fills count="1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C000"/>
        <bgColor indexed="64"/>
      </patternFill>
    </fill>
  </fills>
  <borders count="2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</borders>
  <cellStyleXfs count="10">
    <xf numFmtId="0" fontId="0" fillId="0" borderId="0">
      <alignment vertical="center"/>
    </xf>
    <xf numFmtId="0" fontId="9" fillId="0" borderId="0">
      <alignment vertical="center"/>
    </xf>
    <xf numFmtId="0" fontId="13" fillId="0" borderId="0"/>
    <xf numFmtId="0" fontId="14" fillId="0" borderId="0"/>
    <xf numFmtId="0" fontId="14" fillId="0" borderId="0"/>
    <xf numFmtId="178" fontId="15" fillId="0" borderId="0" applyFont="0" applyFill="0" applyBorder="0" applyAlignment="0" applyProtection="0"/>
    <xf numFmtId="179" fontId="15" fillId="0" borderId="0" applyFont="0" applyFill="0" applyBorder="0" applyAlignment="0" applyProtection="0"/>
    <xf numFmtId="0" fontId="16" fillId="0" borderId="0"/>
    <xf numFmtId="0" fontId="17" fillId="0" borderId="0"/>
    <xf numFmtId="0" fontId="14" fillId="0" borderId="0"/>
  </cellStyleXfs>
  <cellXfs count="139">
    <xf numFmtId="0" fontId="0" fillId="0" borderId="0" xfId="0">
      <alignment vertical="center"/>
    </xf>
    <xf numFmtId="0" fontId="0" fillId="2" borderId="0" xfId="0" applyFill="1">
      <alignment vertical="center"/>
    </xf>
    <xf numFmtId="0" fontId="0" fillId="2" borderId="0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2" borderId="0" xfId="0" applyNumberFormat="1" applyFill="1">
      <alignment vertical="center"/>
    </xf>
    <xf numFmtId="0" fontId="0" fillId="3" borderId="0" xfId="0" applyFill="1">
      <alignment vertical="center"/>
    </xf>
    <xf numFmtId="0" fontId="3" fillId="3" borderId="1" xfId="0" applyFont="1" applyFill="1" applyBorder="1">
      <alignment vertical="center"/>
    </xf>
    <xf numFmtId="10" fontId="3" fillId="3" borderId="1" xfId="0" applyNumberFormat="1" applyFont="1" applyFill="1" applyBorder="1">
      <alignment vertical="center"/>
    </xf>
    <xf numFmtId="176" fontId="3" fillId="3" borderId="1" xfId="0" applyNumberFormat="1" applyFont="1" applyFill="1" applyBorder="1">
      <alignment vertical="center"/>
    </xf>
    <xf numFmtId="0" fontId="0" fillId="3" borderId="0" xfId="0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0" xfId="0" applyFont="1" applyFill="1">
      <alignment vertical="center"/>
    </xf>
    <xf numFmtId="0" fontId="0" fillId="4" borderId="0" xfId="0" applyFill="1">
      <alignment vertical="center"/>
    </xf>
    <xf numFmtId="0" fontId="3" fillId="4" borderId="1" xfId="0" applyFont="1" applyFill="1" applyBorder="1">
      <alignment vertical="center"/>
    </xf>
    <xf numFmtId="10" fontId="3" fillId="4" borderId="1" xfId="0" applyNumberFormat="1" applyFont="1" applyFill="1" applyBorder="1">
      <alignment vertical="center"/>
    </xf>
    <xf numFmtId="176" fontId="3" fillId="4" borderId="1" xfId="0" applyNumberFormat="1" applyFont="1" applyFill="1" applyBorder="1">
      <alignment vertical="center"/>
    </xf>
    <xf numFmtId="0" fontId="0" fillId="4" borderId="0" xfId="0" applyFill="1" applyBorder="1" applyAlignment="1">
      <alignment horizontal="center" vertical="center"/>
    </xf>
    <xf numFmtId="0" fontId="4" fillId="4" borderId="0" xfId="0" applyFont="1" applyFill="1" applyAlignment="1">
      <alignment horizontal="center" vertical="center"/>
    </xf>
    <xf numFmtId="0" fontId="4" fillId="4" borderId="0" xfId="0" applyFont="1" applyFill="1">
      <alignment vertical="center"/>
    </xf>
    <xf numFmtId="0" fontId="5" fillId="4" borderId="0" xfId="0" applyFont="1" applyFill="1">
      <alignment vertical="center"/>
    </xf>
    <xf numFmtId="0" fontId="0" fillId="5" borderId="0" xfId="0" applyFill="1">
      <alignment vertical="center"/>
    </xf>
    <xf numFmtId="0" fontId="3" fillId="5" borderId="1" xfId="0" applyFont="1" applyFill="1" applyBorder="1">
      <alignment vertical="center"/>
    </xf>
    <xf numFmtId="10" fontId="3" fillId="5" borderId="1" xfId="0" applyNumberFormat="1" applyFont="1" applyFill="1" applyBorder="1">
      <alignment vertical="center"/>
    </xf>
    <xf numFmtId="176" fontId="3" fillId="5" borderId="1" xfId="0" applyNumberFormat="1" applyFont="1" applyFill="1" applyBorder="1">
      <alignment vertical="center"/>
    </xf>
    <xf numFmtId="0" fontId="0" fillId="5" borderId="0" xfId="0" applyFill="1" applyBorder="1" applyAlignment="1">
      <alignment horizontal="center" vertical="center"/>
    </xf>
    <xf numFmtId="0" fontId="4" fillId="5" borderId="0" xfId="0" applyFont="1" applyFill="1" applyAlignment="1">
      <alignment horizontal="center" vertical="center"/>
    </xf>
    <xf numFmtId="0" fontId="4" fillId="5" borderId="0" xfId="0" applyFont="1" applyFill="1">
      <alignment vertical="center"/>
    </xf>
    <xf numFmtId="0" fontId="5" fillId="5" borderId="0" xfId="0" applyFont="1" applyFill="1">
      <alignment vertical="center"/>
    </xf>
    <xf numFmtId="0" fontId="0" fillId="6" borderId="0" xfId="0" applyFill="1">
      <alignment vertical="center"/>
    </xf>
    <xf numFmtId="0" fontId="3" fillId="6" borderId="1" xfId="0" applyFont="1" applyFill="1" applyBorder="1">
      <alignment vertical="center"/>
    </xf>
    <xf numFmtId="10" fontId="3" fillId="6" borderId="1" xfId="0" applyNumberFormat="1" applyFont="1" applyFill="1" applyBorder="1">
      <alignment vertical="center"/>
    </xf>
    <xf numFmtId="176" fontId="3" fillId="6" borderId="1" xfId="0" applyNumberFormat="1" applyFont="1" applyFill="1" applyBorder="1">
      <alignment vertical="center"/>
    </xf>
    <xf numFmtId="0" fontId="0" fillId="6" borderId="0" xfId="0" applyFill="1" applyBorder="1" applyAlignment="1">
      <alignment horizontal="center" vertical="center"/>
    </xf>
    <xf numFmtId="0" fontId="4" fillId="6" borderId="0" xfId="0" applyFont="1" applyFill="1" applyAlignment="1">
      <alignment horizontal="center" vertical="center"/>
    </xf>
    <xf numFmtId="0" fontId="4" fillId="6" borderId="0" xfId="0" applyFont="1" applyFill="1">
      <alignment vertical="center"/>
    </xf>
    <xf numFmtId="0" fontId="5" fillId="6" borderId="0" xfId="0" applyFont="1" applyFill="1">
      <alignment vertical="center"/>
    </xf>
    <xf numFmtId="0" fontId="0" fillId="2" borderId="7" xfId="0" applyFill="1" applyBorder="1">
      <alignment vertical="center"/>
    </xf>
    <xf numFmtId="0" fontId="0" fillId="2" borderId="9" xfId="0" applyFill="1" applyBorder="1">
      <alignment vertical="center"/>
    </xf>
    <xf numFmtId="0" fontId="0" fillId="2" borderId="10" xfId="0" applyFill="1" applyBorder="1">
      <alignment vertical="center"/>
    </xf>
    <xf numFmtId="0" fontId="0" fillId="2" borderId="11" xfId="0" applyFill="1" applyBorder="1">
      <alignment vertical="center"/>
    </xf>
    <xf numFmtId="0" fontId="0" fillId="2" borderId="12" xfId="0" applyFill="1" applyBorder="1">
      <alignment vertical="center"/>
    </xf>
    <xf numFmtId="0" fontId="0" fillId="2" borderId="14" xfId="0" applyFill="1" applyBorder="1">
      <alignment vertical="center"/>
    </xf>
    <xf numFmtId="0" fontId="0" fillId="2" borderId="0" xfId="0" applyFill="1" applyBorder="1">
      <alignment vertical="center"/>
    </xf>
    <xf numFmtId="0" fontId="4" fillId="3" borderId="0" xfId="0" applyFont="1" applyFill="1" applyAlignment="1">
      <alignment horizontal="right" vertical="center"/>
    </xf>
    <xf numFmtId="0" fontId="4" fillId="3" borderId="0" xfId="0" applyFont="1" applyFill="1" applyAlignment="1">
      <alignment vertical="center"/>
    </xf>
    <xf numFmtId="0" fontId="6" fillId="3" borderId="0" xfId="0" applyFont="1" applyFill="1" applyAlignment="1">
      <alignment vertical="center"/>
    </xf>
    <xf numFmtId="0" fontId="4" fillId="5" borderId="0" xfId="0" applyFont="1" applyFill="1" applyAlignment="1">
      <alignment horizontal="right" vertical="center"/>
    </xf>
    <xf numFmtId="0" fontId="4" fillId="6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vertical="center"/>
    </xf>
    <xf numFmtId="0" fontId="4" fillId="5" borderId="0" xfId="0" applyFont="1" applyFill="1" applyAlignment="1">
      <alignment vertical="center"/>
    </xf>
    <xf numFmtId="0" fontId="4" fillId="6" borderId="0" xfId="0" applyFont="1" applyFill="1" applyAlignment="1">
      <alignment vertical="center"/>
    </xf>
    <xf numFmtId="0" fontId="7" fillId="0" borderId="0" xfId="0" applyFont="1">
      <alignment vertical="center"/>
    </xf>
    <xf numFmtId="0" fontId="0" fillId="2" borderId="6" xfId="0" applyFill="1" applyBorder="1">
      <alignment vertical="center"/>
    </xf>
    <xf numFmtId="0" fontId="0" fillId="7" borderId="0" xfId="0" applyFill="1">
      <alignment vertical="center"/>
    </xf>
    <xf numFmtId="0" fontId="0" fillId="7" borderId="0" xfId="0" applyFill="1" applyBorder="1">
      <alignment vertical="center"/>
    </xf>
    <xf numFmtId="0" fontId="8" fillId="7" borderId="8" xfId="0" applyFont="1" applyFill="1" applyBorder="1" applyAlignment="1">
      <alignment horizontal="center" vertical="center"/>
    </xf>
    <xf numFmtId="0" fontId="8" fillId="7" borderId="9" xfId="0" applyFont="1" applyFill="1" applyBorder="1" applyAlignment="1">
      <alignment horizontal="center" vertical="center"/>
    </xf>
    <xf numFmtId="10" fontId="0" fillId="7" borderId="0" xfId="0" applyNumberFormat="1" applyFill="1" applyBorder="1">
      <alignment vertical="center"/>
    </xf>
    <xf numFmtId="10" fontId="8" fillId="7" borderId="11" xfId="0" applyNumberFormat="1" applyFont="1" applyFill="1" applyBorder="1">
      <alignment vertical="center"/>
    </xf>
    <xf numFmtId="0" fontId="8" fillId="7" borderId="10" xfId="0" applyFont="1" applyFill="1" applyBorder="1">
      <alignment vertical="center"/>
    </xf>
    <xf numFmtId="0" fontId="8" fillId="7" borderId="12" xfId="0" applyFont="1" applyFill="1" applyBorder="1">
      <alignment vertical="center"/>
    </xf>
    <xf numFmtId="0" fontId="8" fillId="7" borderId="7" xfId="0" applyFont="1" applyFill="1" applyBorder="1" applyAlignment="1">
      <alignment horizontal="right" vertical="center"/>
    </xf>
    <xf numFmtId="10" fontId="8" fillId="7" borderId="1" xfId="0" applyNumberFormat="1" applyFont="1" applyFill="1" applyBorder="1">
      <alignment vertical="center"/>
    </xf>
    <xf numFmtId="0" fontId="8" fillId="7" borderId="1" xfId="0" applyFont="1" applyFill="1" applyBorder="1">
      <alignment vertical="center"/>
    </xf>
    <xf numFmtId="0" fontId="8" fillId="7" borderId="13" xfId="0" applyFont="1" applyFill="1" applyBorder="1">
      <alignment vertical="center"/>
    </xf>
    <xf numFmtId="10" fontId="8" fillId="7" borderId="14" xfId="0" applyNumberFormat="1" applyFont="1" applyFill="1" applyBorder="1">
      <alignment vertical="center"/>
    </xf>
    <xf numFmtId="0" fontId="10" fillId="0" borderId="0" xfId="1" applyFont="1" applyAlignment="1">
      <alignment vertical="center"/>
    </xf>
    <xf numFmtId="0" fontId="9" fillId="0" borderId="0" xfId="1" applyAlignment="1">
      <alignment horizontal="center" vertical="center"/>
    </xf>
    <xf numFmtId="0" fontId="9" fillId="0" borderId="0" xfId="1">
      <alignment vertical="center"/>
    </xf>
    <xf numFmtId="177" fontId="9" fillId="0" borderId="0" xfId="1" applyNumberFormat="1">
      <alignment vertical="center"/>
    </xf>
    <xf numFmtId="177" fontId="11" fillId="8" borderId="7" xfId="1" applyNumberFormat="1" applyFont="1" applyFill="1" applyBorder="1" applyAlignment="1">
      <alignment horizontal="center" vertical="center"/>
    </xf>
    <xf numFmtId="0" fontId="11" fillId="8" borderId="8" xfId="1" applyFont="1" applyFill="1" applyBorder="1" applyAlignment="1">
      <alignment horizontal="center" vertical="center"/>
    </xf>
    <xf numFmtId="0" fontId="11" fillId="8" borderId="9" xfId="1" applyFont="1" applyFill="1" applyBorder="1" applyAlignment="1">
      <alignment horizontal="center" vertical="center"/>
    </xf>
    <xf numFmtId="177" fontId="9" fillId="2" borderId="12" xfId="1" applyNumberFormat="1" applyFill="1" applyBorder="1" applyAlignment="1">
      <alignment horizontal="center" vertical="center"/>
    </xf>
    <xf numFmtId="0" fontId="9" fillId="2" borderId="13" xfId="1" applyFill="1" applyBorder="1" applyAlignment="1">
      <alignment horizontal="center" vertical="center"/>
    </xf>
    <xf numFmtId="0" fontId="9" fillId="2" borderId="14" xfId="1" applyFill="1" applyBorder="1" applyAlignment="1">
      <alignment horizontal="center" vertical="center"/>
    </xf>
    <xf numFmtId="49" fontId="9" fillId="0" borderId="0" xfId="1" applyNumberFormat="1" applyAlignment="1">
      <alignment horizontal="left" vertical="center"/>
    </xf>
    <xf numFmtId="0" fontId="9" fillId="0" borderId="0" xfId="1" applyAlignment="1">
      <alignment vertical="center"/>
    </xf>
    <xf numFmtId="49" fontId="12" fillId="8" borderId="1" xfId="1" applyNumberFormat="1" applyFont="1" applyFill="1" applyBorder="1" applyAlignment="1">
      <alignment horizontal="center" vertical="center"/>
    </xf>
    <xf numFmtId="0" fontId="12" fillId="8" borderId="1" xfId="1" applyFont="1" applyFill="1" applyBorder="1" applyAlignment="1">
      <alignment vertical="center"/>
    </xf>
    <xf numFmtId="177" fontId="12" fillId="11" borderId="1" xfId="1" applyNumberFormat="1" applyFont="1" applyFill="1" applyBorder="1" applyAlignment="1">
      <alignment horizontal="center" vertical="center"/>
    </xf>
    <xf numFmtId="0" fontId="12" fillId="12" borderId="1" xfId="1" applyFont="1" applyFill="1" applyBorder="1" applyAlignment="1">
      <alignment horizontal="center" vertical="center"/>
    </xf>
    <xf numFmtId="0" fontId="9" fillId="13" borderId="19" xfId="1" applyFill="1" applyBorder="1">
      <alignment vertical="center"/>
    </xf>
    <xf numFmtId="0" fontId="11" fillId="8" borderId="5" xfId="1" applyFont="1" applyFill="1" applyBorder="1" applyAlignment="1">
      <alignment horizontal="center" vertical="center"/>
    </xf>
    <xf numFmtId="0" fontId="11" fillId="8" borderId="20" xfId="1" applyFont="1" applyFill="1" applyBorder="1" applyAlignment="1">
      <alignment horizontal="center" vertical="center"/>
    </xf>
    <xf numFmtId="49" fontId="9" fillId="14" borderId="1" xfId="1" applyNumberFormat="1" applyFill="1" applyBorder="1" applyAlignment="1">
      <alignment horizontal="center" vertical="center"/>
    </xf>
    <xf numFmtId="0" fontId="9" fillId="14" borderId="1" xfId="1" applyFill="1" applyBorder="1" applyAlignment="1">
      <alignment vertical="center"/>
    </xf>
    <xf numFmtId="177" fontId="9" fillId="9" borderId="1" xfId="1" applyNumberFormat="1" applyFill="1" applyBorder="1">
      <alignment vertical="center"/>
    </xf>
    <xf numFmtId="176" fontId="9" fillId="15" borderId="1" xfId="1" applyNumberFormat="1" applyFill="1" applyBorder="1">
      <alignment vertical="center"/>
    </xf>
    <xf numFmtId="176" fontId="9" fillId="15" borderId="4" xfId="1" applyNumberFormat="1" applyFill="1" applyBorder="1">
      <alignment vertical="center"/>
    </xf>
    <xf numFmtId="176" fontId="9" fillId="10" borderId="1" xfId="1" applyNumberFormat="1" applyFill="1" applyBorder="1">
      <alignment vertical="center"/>
    </xf>
    <xf numFmtId="176" fontId="9" fillId="0" borderId="0" xfId="1" applyNumberFormat="1">
      <alignment vertical="center"/>
    </xf>
    <xf numFmtId="0" fontId="11" fillId="8" borderId="1" xfId="1" applyFont="1" applyFill="1" applyBorder="1" applyAlignment="1">
      <alignment horizontal="center" vertical="center"/>
    </xf>
    <xf numFmtId="176" fontId="9" fillId="0" borderId="1" xfId="1" applyNumberFormat="1" applyBorder="1">
      <alignment vertical="center"/>
    </xf>
    <xf numFmtId="0" fontId="9" fillId="0" borderId="1" xfId="1" applyBorder="1">
      <alignment vertical="center"/>
    </xf>
    <xf numFmtId="177" fontId="11" fillId="8" borderId="1" xfId="1" applyNumberFormat="1" applyFont="1" applyFill="1" applyBorder="1" applyAlignment="1">
      <alignment horizontal="center" vertical="center"/>
    </xf>
    <xf numFmtId="177" fontId="9" fillId="2" borderId="1" xfId="1" applyNumberFormat="1" applyFill="1" applyBorder="1" applyAlignment="1">
      <alignment horizontal="center" vertical="center"/>
    </xf>
    <xf numFmtId="0" fontId="9" fillId="2" borderId="1" xfId="1" applyFill="1" applyBorder="1" applyAlignment="1">
      <alignment horizontal="center" vertical="center"/>
    </xf>
    <xf numFmtId="0" fontId="9" fillId="0" borderId="0" xfId="1" applyBorder="1" applyAlignment="1">
      <alignment horizontal="center" vertical="center"/>
    </xf>
    <xf numFmtId="0" fontId="9" fillId="0" borderId="0" xfId="1" applyBorder="1">
      <alignment vertical="center"/>
    </xf>
    <xf numFmtId="177" fontId="9" fillId="2" borderId="0" xfId="1" applyNumberFormat="1" applyFill="1" applyBorder="1" applyAlignment="1">
      <alignment horizontal="center" vertical="center"/>
    </xf>
    <xf numFmtId="0" fontId="9" fillId="2" borderId="0" xfId="1" applyFill="1" applyBorder="1" applyAlignment="1">
      <alignment horizontal="center" vertical="center"/>
    </xf>
    <xf numFmtId="0" fontId="9" fillId="0" borderId="1" xfId="1" applyBorder="1" applyAlignment="1">
      <alignment horizontal="center" vertical="center"/>
    </xf>
    <xf numFmtId="177" fontId="9" fillId="13" borderId="1" xfId="1" applyNumberFormat="1" applyFill="1" applyBorder="1">
      <alignment vertical="center"/>
    </xf>
    <xf numFmtId="0" fontId="9" fillId="13" borderId="1" xfId="1" applyFill="1" applyBorder="1">
      <alignment vertical="center"/>
    </xf>
    <xf numFmtId="180" fontId="9" fillId="10" borderId="1" xfId="1" applyNumberFormat="1" applyFill="1" applyBorder="1" applyAlignment="1">
      <alignment horizontal="center" vertical="center"/>
    </xf>
    <xf numFmtId="0" fontId="9" fillId="10" borderId="1" xfId="1" applyFill="1" applyBorder="1" applyAlignment="1">
      <alignment horizontal="center" vertical="center"/>
    </xf>
    <xf numFmtId="10" fontId="0" fillId="0" borderId="0" xfId="0" applyNumberFormat="1">
      <alignment vertical="center"/>
    </xf>
    <xf numFmtId="0" fontId="0" fillId="16" borderId="0" xfId="0" applyFill="1">
      <alignment vertical="center"/>
    </xf>
    <xf numFmtId="176" fontId="0" fillId="0" borderId="0" xfId="0" applyNumberFormat="1">
      <alignment vertical="center"/>
    </xf>
    <xf numFmtId="0" fontId="4" fillId="2" borderId="15" xfId="0" applyFont="1" applyFill="1" applyBorder="1" applyAlignment="1">
      <alignment horizontal="center" vertical="center"/>
    </xf>
    <xf numFmtId="0" fontId="3" fillId="2" borderId="15" xfId="0" applyFont="1" applyFill="1" applyBorder="1" applyAlignment="1">
      <alignment horizontal="center" vertical="center"/>
    </xf>
    <xf numFmtId="0" fontId="4" fillId="2" borderId="2" xfId="0" applyFont="1" applyFill="1" applyBorder="1" applyAlignment="1">
      <alignment horizontal="center" vertical="center"/>
    </xf>
    <xf numFmtId="0" fontId="3" fillId="6" borderId="1" xfId="0" applyFont="1" applyFill="1" applyBorder="1" applyAlignment="1">
      <alignment horizontal="center" vertical="center"/>
    </xf>
    <xf numFmtId="20" fontId="3" fillId="6" borderId="3" xfId="0" applyNumberFormat="1" applyFont="1" applyFill="1" applyBorder="1" applyAlignment="1">
      <alignment horizontal="center" vertical="center"/>
    </xf>
    <xf numFmtId="0" fontId="3" fillId="6" borderId="4" xfId="0" applyFont="1" applyFill="1" applyBorder="1" applyAlignment="1">
      <alignment horizontal="center" vertical="center"/>
    </xf>
    <xf numFmtId="0" fontId="3" fillId="6" borderId="5" xfId="0" applyFont="1" applyFill="1" applyBorder="1" applyAlignment="1">
      <alignment horizontal="center" vertical="center"/>
    </xf>
    <xf numFmtId="0" fontId="3" fillId="5" borderId="1" xfId="0" applyFont="1" applyFill="1" applyBorder="1" applyAlignment="1">
      <alignment horizontal="center" vertical="center"/>
    </xf>
    <xf numFmtId="20" fontId="3" fillId="5" borderId="3" xfId="0" applyNumberFormat="1" applyFont="1" applyFill="1" applyBorder="1" applyAlignment="1">
      <alignment horizontal="center" vertical="center"/>
    </xf>
    <xf numFmtId="0" fontId="3" fillId="5" borderId="4" xfId="0" applyFont="1" applyFill="1" applyBorder="1" applyAlignment="1">
      <alignment horizontal="center" vertical="center"/>
    </xf>
    <xf numFmtId="0" fontId="3" fillId="5" borderId="5" xfId="0" applyFont="1" applyFill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20" fontId="3" fillId="3" borderId="3" xfId="0" applyNumberFormat="1" applyFont="1" applyFill="1" applyBorder="1" applyAlignment="1">
      <alignment horizontal="center" vertical="center"/>
    </xf>
    <xf numFmtId="0" fontId="3" fillId="3" borderId="4" xfId="0" applyFont="1" applyFill="1" applyBorder="1" applyAlignment="1">
      <alignment horizontal="center" vertical="center"/>
    </xf>
    <xf numFmtId="0" fontId="3" fillId="3" borderId="5" xfId="0" applyFont="1" applyFill="1" applyBorder="1" applyAlignment="1">
      <alignment horizontal="center" vertical="center"/>
    </xf>
    <xf numFmtId="0" fontId="3" fillId="4" borderId="1" xfId="0" applyFont="1" applyFill="1" applyBorder="1" applyAlignment="1">
      <alignment horizontal="center" vertical="center"/>
    </xf>
    <xf numFmtId="20" fontId="3" fillId="4" borderId="3" xfId="0" applyNumberFormat="1" applyFont="1" applyFill="1" applyBorder="1" applyAlignment="1">
      <alignment horizontal="center" vertical="center"/>
    </xf>
    <xf numFmtId="0" fontId="3" fillId="4" borderId="4" xfId="0" applyFont="1" applyFill="1" applyBorder="1" applyAlignment="1">
      <alignment horizontal="center" vertical="center"/>
    </xf>
    <xf numFmtId="0" fontId="3" fillId="4" borderId="5" xfId="0" applyFont="1" applyFill="1" applyBorder="1" applyAlignment="1">
      <alignment horizontal="center" vertical="center"/>
    </xf>
    <xf numFmtId="176" fontId="9" fillId="0" borderId="1" xfId="1" applyNumberFormat="1" applyBorder="1" applyAlignment="1">
      <alignment horizontal="center" vertical="center"/>
    </xf>
    <xf numFmtId="0" fontId="9" fillId="0" borderId="1" xfId="1" applyBorder="1" applyAlignment="1">
      <alignment horizontal="center" vertical="center"/>
    </xf>
    <xf numFmtId="0" fontId="11" fillId="8" borderId="1" xfId="1" applyFont="1" applyFill="1" applyBorder="1" applyAlignment="1">
      <alignment horizontal="center" vertical="center"/>
    </xf>
    <xf numFmtId="177" fontId="9" fillId="9" borderId="1" xfId="1" applyNumberFormat="1" applyFill="1" applyBorder="1" applyAlignment="1">
      <alignment horizontal="center" vertical="center"/>
    </xf>
    <xf numFmtId="177" fontId="9" fillId="9" borderId="5" xfId="1" applyNumberFormat="1" applyFill="1" applyBorder="1" applyAlignment="1">
      <alignment horizontal="center" vertical="center"/>
    </xf>
    <xf numFmtId="176" fontId="9" fillId="7" borderId="5" xfId="1" applyNumberFormat="1" applyFill="1" applyBorder="1" applyAlignment="1">
      <alignment horizontal="center" vertical="center"/>
    </xf>
    <xf numFmtId="0" fontId="9" fillId="10" borderId="16" xfId="1" applyFill="1" applyBorder="1" applyAlignment="1">
      <alignment horizontal="center" vertical="center"/>
    </xf>
    <xf numFmtId="0" fontId="9" fillId="10" borderId="17" xfId="1" applyFill="1" applyBorder="1" applyAlignment="1">
      <alignment horizontal="center" vertical="center"/>
    </xf>
    <xf numFmtId="0" fontId="9" fillId="10" borderId="18" xfId="1" applyFill="1" applyBorder="1" applyAlignment="1">
      <alignment horizontal="center" vertical="center"/>
    </xf>
  </cellXfs>
  <cellStyles count="10">
    <cellStyle name="_0211-CNVR10 OL_DX OOS(偏小)" xfId="2"/>
    <cellStyle name="_各特性值異常判定手法-20100212" xfId="3"/>
    <cellStyle name="0,0_x000d__x000a_NA_x000d__x000a_" xfId="4"/>
    <cellStyle name=" [0.00]_laroux" xfId="5"/>
    <cellStyle name="_laroux" xfId="6"/>
    <cellStyle name="?_laroux" xfId="7"/>
    <cellStyle name="一般" xfId="0" builtinId="0"/>
    <cellStyle name="一般 2" xfId="1"/>
    <cellStyle name="標準_ATST_capa_by_size" xfId="8"/>
    <cellStyle name="樣式 1" xfId="9"/>
  </cellStyles>
  <dxfs count="0"/>
  <tableStyles count="0" defaultTableStyle="TableStyleMedium9" defaultPivotStyle="PivotStyleLight16"/>
  <colors>
    <mruColors>
      <color rgb="FF00FF73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2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IMRV </a:t>
            </a:r>
            <a:r>
              <a:rPr lang="zh-TW" altLang="en-US"/>
              <a:t>點數 </a:t>
            </a:r>
            <a:r>
              <a:rPr lang="en-US" altLang="zh-TW"/>
              <a:t>&amp; </a:t>
            </a:r>
            <a:r>
              <a:rPr lang="zh-TW" altLang="en-US"/>
              <a:t>片數看板</a:t>
            </a:r>
          </a:p>
        </c:rich>
      </c:tx>
      <c:layout/>
    </c:title>
    <c:plotArea>
      <c:layout>
        <c:manualLayout>
          <c:layoutTarget val="inner"/>
          <c:xMode val="edge"/>
          <c:yMode val="edge"/>
          <c:x val="0.13852619376465469"/>
          <c:y val="0.20135198680284891"/>
          <c:w val="0.68242268598140887"/>
          <c:h val="0.69000244405179367"/>
        </c:manualLayout>
      </c:layout>
      <c:barChart>
        <c:barDir val="col"/>
        <c:grouping val="clustered"/>
        <c:ser>
          <c:idx val="1"/>
          <c:order val="0"/>
          <c:tx>
            <c:strRef>
              <c:f>績效看板!$C$4</c:f>
              <c:strCache>
                <c:ptCount val="1"/>
                <c:pt idx="0">
                  <c:v>點數</c:v>
                </c:pt>
              </c:strCache>
            </c:strRef>
          </c:tx>
          <c:spPr>
            <a:solidFill>
              <a:schemeClr val="tx2">
                <a:lumMod val="60000"/>
                <a:lumOff val="40000"/>
              </a:schemeClr>
            </a:solidFill>
            <a:ln>
              <a:solidFill>
                <a:schemeClr val="tx2">
                  <a:lumMod val="60000"/>
                  <a:lumOff val="40000"/>
                </a:schemeClr>
              </a:solidFill>
            </a:ln>
          </c:spPr>
          <c:cat>
            <c:strRef>
              <c:f>績效看板!$D$2:$I$2</c:f>
              <c:strCache>
                <c:ptCount val="3"/>
                <c:pt idx="0">
                  <c:v>莊惠安</c:v>
                </c:pt>
                <c:pt idx="1">
                  <c:v>郭惠濨</c:v>
                </c:pt>
                <c:pt idx="2">
                  <c:v>陳靜嫻</c:v>
                </c:pt>
              </c:strCache>
            </c:strRef>
          </c:cat>
          <c:val>
            <c:numRef>
              <c:f>績效看板!$D$4:$I$4</c:f>
              <c:numCache>
                <c:formatCode>General</c:formatCode>
                <c:ptCount val="6"/>
                <c:pt idx="0">
                  <c:v>3253</c:v>
                </c:pt>
                <c:pt idx="1">
                  <c:v>4103</c:v>
                </c:pt>
                <c:pt idx="2">
                  <c:v>4900</c:v>
                </c:pt>
              </c:numCache>
            </c:numRef>
          </c:val>
        </c:ser>
        <c:axId val="89050112"/>
        <c:axId val="89048576"/>
      </c:barChart>
      <c:lineChart>
        <c:grouping val="standard"/>
        <c:ser>
          <c:idx val="2"/>
          <c:order val="1"/>
          <c:tx>
            <c:strRef>
              <c:f>績效看板!$C$5</c:f>
              <c:strCache>
                <c:ptCount val="1"/>
                <c:pt idx="0">
                  <c:v>達成率</c:v>
                </c:pt>
              </c:strCache>
            </c:strRef>
          </c:tx>
          <c:spPr>
            <a:ln>
              <a:solidFill>
                <a:srgbClr val="00FF00"/>
              </a:solidFill>
            </a:ln>
          </c:spPr>
          <c:marker>
            <c:symbol val="square"/>
            <c:size val="7"/>
            <c:spPr>
              <a:solidFill>
                <a:srgbClr val="00FF00"/>
              </a:solidFill>
              <a:ln>
                <a:solidFill>
                  <a:srgbClr val="00FF00"/>
                </a:solidFill>
              </a:ln>
            </c:spPr>
          </c:marker>
          <c:cat>
            <c:strRef>
              <c:f>績效看板!$D$2:$I$2</c:f>
              <c:strCache>
                <c:ptCount val="3"/>
                <c:pt idx="0">
                  <c:v>莊惠安</c:v>
                </c:pt>
                <c:pt idx="1">
                  <c:v>郭惠濨</c:v>
                </c:pt>
                <c:pt idx="2">
                  <c:v>陳靜嫻</c:v>
                </c:pt>
              </c:strCache>
            </c:strRef>
          </c:cat>
          <c:val>
            <c:numRef>
              <c:f>績效看板!$D$5:$I$5</c:f>
              <c:numCache>
                <c:formatCode>0.00%</c:formatCode>
                <c:ptCount val="6"/>
                <c:pt idx="0">
                  <c:v>0.42459502927525944</c:v>
                </c:pt>
                <c:pt idx="1">
                  <c:v>0.50368415494199026</c:v>
                </c:pt>
                <c:pt idx="2">
                  <c:v>0.4989512252184205</c:v>
                </c:pt>
              </c:numCache>
            </c:numRef>
          </c:val>
        </c:ser>
        <c:marker val="1"/>
        <c:axId val="89043712"/>
        <c:axId val="89046400"/>
      </c:lineChart>
      <c:lineChart>
        <c:grouping val="standard"/>
        <c:ser>
          <c:idx val="0"/>
          <c:order val="2"/>
          <c:tx>
            <c:strRef>
              <c:f>績效看板!$C$7</c:f>
              <c:strCache>
                <c:ptCount val="1"/>
                <c:pt idx="0">
                  <c:v>Target(點數)</c:v>
                </c:pt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pPr>
              <a:solidFill>
                <a:srgbClr val="FF0000"/>
              </a:solidFill>
              <a:ln>
                <a:solidFill>
                  <a:srgbClr val="FF0000"/>
                </a:solidFill>
              </a:ln>
            </c:spPr>
          </c:marker>
          <c:cat>
            <c:strRef>
              <c:f>績效看板!$D$2:$I$2</c:f>
              <c:strCache>
                <c:ptCount val="3"/>
                <c:pt idx="0">
                  <c:v>莊惠安</c:v>
                </c:pt>
                <c:pt idx="1">
                  <c:v>郭惠濨</c:v>
                </c:pt>
                <c:pt idx="2">
                  <c:v>陳靜嫻</c:v>
                </c:pt>
              </c:strCache>
            </c:strRef>
          </c:cat>
          <c:val>
            <c:numRef>
              <c:f>績效看板!$D$7:$I$7</c:f>
              <c:numCache>
                <c:formatCode>0.00_ </c:formatCode>
                <c:ptCount val="6"/>
                <c:pt idx="0">
                  <c:v>7661.4180000000006</c:v>
                </c:pt>
                <c:pt idx="1">
                  <c:v>8145.9779104477602</c:v>
                </c:pt>
                <c:pt idx="2">
                  <c:v>9820.5991935483871</c:v>
                </c:pt>
              </c:numCache>
            </c:numRef>
          </c:val>
        </c:ser>
        <c:marker val="1"/>
        <c:axId val="89050112"/>
        <c:axId val="89048576"/>
      </c:lineChart>
      <c:catAx>
        <c:axId val="89043712"/>
        <c:scaling>
          <c:orientation val="minMax"/>
        </c:scaling>
        <c:axPos val="b"/>
        <c:title>
          <c:tx>
            <c:rich>
              <a:bodyPr rot="0" vert="eaVert" anchor="ctr" anchorCtr="0"/>
              <a:lstStyle/>
              <a:p>
                <a:pPr>
                  <a:defRPr/>
                </a:pPr>
                <a:r>
                  <a:rPr lang="zh-TW" altLang="en-US"/>
                  <a:t>片數</a:t>
                </a:r>
              </a:p>
            </c:rich>
          </c:tx>
          <c:layout>
            <c:manualLayout>
              <c:xMode val="edge"/>
              <c:yMode val="edge"/>
              <c:x val="0.81112416888034578"/>
              <c:y val="8.2018758824714919E-2"/>
            </c:manualLayout>
          </c:layout>
        </c:title>
        <c:numFmt formatCode="General" sourceLinked="1"/>
        <c:tickLblPos val="nextTo"/>
        <c:crossAx val="89046400"/>
        <c:crosses val="autoZero"/>
        <c:auto val="1"/>
        <c:lblAlgn val="ctr"/>
        <c:lblOffset val="100"/>
      </c:catAx>
      <c:valAx>
        <c:axId val="89046400"/>
        <c:scaling>
          <c:orientation val="minMax"/>
          <c:max val="1.5"/>
          <c:min val="0.1"/>
        </c:scaling>
        <c:axPos val="l"/>
        <c:majorGridlines/>
        <c:title>
          <c:tx>
            <c:rich>
              <a:bodyPr rot="0" vert="eaVert" anchor="ctr" anchorCtr="0"/>
              <a:lstStyle/>
              <a:p>
                <a:pPr>
                  <a:defRPr/>
                </a:pPr>
                <a:r>
                  <a:rPr lang="zh-TW" altLang="en-US"/>
                  <a:t>達成率</a:t>
                </a:r>
              </a:p>
            </c:rich>
          </c:tx>
          <c:layout>
            <c:manualLayout>
              <c:xMode val="edge"/>
              <c:yMode val="edge"/>
              <c:x val="1.5948705912404944E-2"/>
              <c:y val="5.5393330195657023E-2"/>
            </c:manualLayout>
          </c:layout>
        </c:title>
        <c:numFmt formatCode="0.00%" sourceLinked="1"/>
        <c:tickLblPos val="nextTo"/>
        <c:crossAx val="89043712"/>
        <c:crosses val="autoZero"/>
        <c:crossBetween val="between"/>
        <c:majorUnit val="0.1"/>
        <c:minorUnit val="4.0000000000000022E-2"/>
      </c:valAx>
      <c:valAx>
        <c:axId val="89048576"/>
        <c:scaling>
          <c:orientation val="minMax"/>
        </c:scaling>
        <c:axPos val="r"/>
        <c:numFmt formatCode="General" sourceLinked="1"/>
        <c:tickLblPos val="nextTo"/>
        <c:crossAx val="89050112"/>
        <c:crosses val="max"/>
        <c:crossBetween val="between"/>
      </c:valAx>
      <c:catAx>
        <c:axId val="89050112"/>
        <c:scaling>
          <c:orientation val="minMax"/>
        </c:scaling>
        <c:delete val="1"/>
        <c:axPos val="b"/>
        <c:numFmt formatCode="General" sourceLinked="1"/>
        <c:tickLblPos val="none"/>
        <c:crossAx val="89048576"/>
        <c:crosses val="autoZero"/>
        <c:auto val="1"/>
        <c:lblAlgn val="ctr"/>
        <c:lblOffset val="100"/>
      </c:catAx>
      <c:spPr>
        <a:gradFill>
          <a:gsLst>
            <a:gs pos="0">
              <a:srgbClr val="FFEFD1"/>
            </a:gs>
            <a:gs pos="64999">
              <a:srgbClr val="F0EBD5"/>
            </a:gs>
            <a:gs pos="100000">
              <a:srgbClr val="D1C39F"/>
            </a:gs>
          </a:gsLst>
          <a:lin ang="5400000" scaled="0"/>
        </a:gradFill>
      </c:spPr>
    </c:plotArea>
    <c:legend>
      <c:legendPos val="r"/>
      <c:layout>
        <c:manualLayout>
          <c:xMode val="edge"/>
          <c:yMode val="edge"/>
          <c:x val="0.88851922092209956"/>
          <c:y val="0.28830274415137208"/>
          <c:w val="0.10090385506671452"/>
          <c:h val="0.44156133254536623"/>
        </c:manualLayout>
      </c:layout>
    </c:legend>
    <c:plotVisOnly val="1"/>
    <c:dispBlanksAs val="gap"/>
  </c:chart>
  <c:spPr>
    <a:gradFill>
      <a:gsLst>
        <a:gs pos="0">
          <a:srgbClr val="FFEFD1"/>
        </a:gs>
        <a:gs pos="64999">
          <a:srgbClr val="F0EBD5"/>
        </a:gs>
        <a:gs pos="100000">
          <a:srgbClr val="D1C39F"/>
        </a:gs>
      </a:gsLst>
      <a:lin ang="5400000" scaled="0"/>
    </a:gradFill>
  </c:spPr>
  <c:printSettings>
    <c:headerFooter/>
    <c:pageMargins b="0.75000000000001399" l="0.70000000000000062" r="0.70000000000000062" t="0.75000000000001399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FMAC </a:t>
            </a:r>
            <a:r>
              <a:rPr lang="zh-TW" altLang="en-US"/>
              <a:t>點數 </a:t>
            </a:r>
            <a:r>
              <a:rPr lang="en-US" altLang="zh-TW"/>
              <a:t>&amp; </a:t>
            </a:r>
            <a:r>
              <a:rPr lang="zh-TW" altLang="en-US"/>
              <a:t>片數看板</a:t>
            </a:r>
          </a:p>
        </c:rich>
      </c:tx>
      <c:layout/>
    </c:title>
    <c:plotArea>
      <c:layout>
        <c:manualLayout>
          <c:layoutTarget val="inner"/>
          <c:xMode val="edge"/>
          <c:yMode val="edge"/>
          <c:x val="0.13852619376465469"/>
          <c:y val="0.20135198680284891"/>
          <c:w val="0.68242268598140865"/>
          <c:h val="0.69000244405179367"/>
        </c:manualLayout>
      </c:layout>
      <c:barChart>
        <c:barDir val="col"/>
        <c:grouping val="clustered"/>
        <c:ser>
          <c:idx val="1"/>
          <c:order val="0"/>
          <c:tx>
            <c:strRef>
              <c:f>績效看板!$O$3</c:f>
              <c:strCache>
                <c:ptCount val="1"/>
                <c:pt idx="0">
                  <c:v>片數</c:v>
                </c:pt>
              </c:strCache>
            </c:strRef>
          </c:tx>
          <c:spPr>
            <a:solidFill>
              <a:schemeClr val="tx2">
                <a:lumMod val="60000"/>
                <a:lumOff val="40000"/>
              </a:schemeClr>
            </a:solidFill>
            <a:ln>
              <a:solidFill>
                <a:schemeClr val="tx2">
                  <a:lumMod val="60000"/>
                  <a:lumOff val="40000"/>
                </a:schemeClr>
              </a:solidFill>
            </a:ln>
          </c:spPr>
          <c:cat>
            <c:numRef>
              <c:f>績效看板!$P$2:$U$2</c:f>
              <c:numCache>
                <c:formatCode>General</c:formatCode>
                <c:ptCount val="6"/>
              </c:numCache>
            </c:numRef>
          </c:cat>
          <c:val>
            <c:numRef>
              <c:f>績效看板!$P$3:$U$3</c:f>
              <c:numCache>
                <c:formatCode>General</c:formatCode>
                <c:ptCount val="6"/>
              </c:numCache>
            </c:numRef>
          </c:val>
        </c:ser>
        <c:axId val="89196032"/>
        <c:axId val="89194496"/>
      </c:barChart>
      <c:lineChart>
        <c:grouping val="standard"/>
        <c:ser>
          <c:idx val="2"/>
          <c:order val="1"/>
          <c:tx>
            <c:strRef>
              <c:f>績效看板!$O$5</c:f>
              <c:strCache>
                <c:ptCount val="1"/>
                <c:pt idx="0">
                  <c:v>達成率</c:v>
                </c:pt>
              </c:strCache>
            </c:strRef>
          </c:tx>
          <c:spPr>
            <a:ln>
              <a:solidFill>
                <a:srgbClr val="00FF00"/>
              </a:solidFill>
            </a:ln>
          </c:spPr>
          <c:marker>
            <c:symbol val="square"/>
            <c:size val="7"/>
            <c:spPr>
              <a:solidFill>
                <a:srgbClr val="00FF00"/>
              </a:solidFill>
              <a:ln>
                <a:solidFill>
                  <a:srgbClr val="00FF00"/>
                </a:solidFill>
              </a:ln>
            </c:spPr>
          </c:marker>
          <c:cat>
            <c:numRef>
              <c:f>績效看板!$P$2:$U$2</c:f>
              <c:numCache>
                <c:formatCode>General</c:formatCode>
                <c:ptCount val="6"/>
              </c:numCache>
            </c:numRef>
          </c:cat>
          <c:val>
            <c:numRef>
              <c:f>績效看板!$P$5:$U$5</c:f>
              <c:numCache>
                <c:formatCode>0.00%</c:formatCode>
                <c:ptCount val="6"/>
              </c:numCache>
            </c:numRef>
          </c:val>
        </c:ser>
        <c:marker val="1"/>
        <c:axId val="89300352"/>
        <c:axId val="89315200"/>
      </c:lineChart>
      <c:lineChart>
        <c:grouping val="standard"/>
        <c:ser>
          <c:idx val="0"/>
          <c:order val="2"/>
          <c:tx>
            <c:strRef>
              <c:f>績效看板!$O$7</c:f>
              <c:strCache>
                <c:ptCount val="1"/>
                <c:pt idx="0">
                  <c:v>Target(片數)</c:v>
                </c:pt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pPr>
              <a:solidFill>
                <a:srgbClr val="FF0000"/>
              </a:solidFill>
              <a:ln>
                <a:solidFill>
                  <a:srgbClr val="FF0000"/>
                </a:solidFill>
              </a:ln>
            </c:spPr>
          </c:marker>
          <c:cat>
            <c:strRef>
              <c:f>績效看板!$D$2:$I$2</c:f>
              <c:strCache>
                <c:ptCount val="3"/>
                <c:pt idx="0">
                  <c:v>莊惠安</c:v>
                </c:pt>
                <c:pt idx="1">
                  <c:v>郭惠濨</c:v>
                </c:pt>
                <c:pt idx="2">
                  <c:v>陳靜嫻</c:v>
                </c:pt>
              </c:strCache>
            </c:strRef>
          </c:cat>
          <c:val>
            <c:numRef>
              <c:f>績效看板!$P$7:$U$7</c:f>
              <c:numCache>
                <c:formatCode>General</c:formatCode>
                <c:ptCount val="6"/>
              </c:numCache>
            </c:numRef>
          </c:val>
        </c:ser>
        <c:marker val="1"/>
        <c:axId val="89196032"/>
        <c:axId val="89194496"/>
      </c:lineChart>
      <c:catAx>
        <c:axId val="89300352"/>
        <c:scaling>
          <c:orientation val="minMax"/>
        </c:scaling>
        <c:axPos val="b"/>
        <c:title>
          <c:tx>
            <c:rich>
              <a:bodyPr rot="0" vert="eaVert" anchor="ctr" anchorCtr="0"/>
              <a:lstStyle/>
              <a:p>
                <a:pPr>
                  <a:defRPr/>
                </a:pPr>
                <a:r>
                  <a:rPr lang="zh-TW" altLang="en-US"/>
                  <a:t>片數</a:t>
                </a:r>
              </a:p>
            </c:rich>
          </c:tx>
          <c:layout>
            <c:manualLayout>
              <c:xMode val="edge"/>
              <c:yMode val="edge"/>
              <c:x val="0.81112416888034555"/>
              <c:y val="8.2018758824714919E-2"/>
            </c:manualLayout>
          </c:layout>
        </c:title>
        <c:numFmt formatCode="General" sourceLinked="1"/>
        <c:tickLblPos val="nextTo"/>
        <c:crossAx val="89315200"/>
        <c:crosses val="autoZero"/>
        <c:auto val="1"/>
        <c:lblAlgn val="ctr"/>
        <c:lblOffset val="100"/>
      </c:catAx>
      <c:valAx>
        <c:axId val="89315200"/>
        <c:scaling>
          <c:orientation val="minMax"/>
          <c:min val="0.1"/>
        </c:scaling>
        <c:axPos val="l"/>
        <c:majorGridlines/>
        <c:title>
          <c:tx>
            <c:rich>
              <a:bodyPr rot="0" vert="eaVert" anchor="ctr" anchorCtr="0"/>
              <a:lstStyle/>
              <a:p>
                <a:pPr>
                  <a:defRPr/>
                </a:pPr>
                <a:r>
                  <a:rPr lang="zh-TW" altLang="en-US"/>
                  <a:t>達成率</a:t>
                </a:r>
              </a:p>
            </c:rich>
          </c:tx>
          <c:layout>
            <c:manualLayout>
              <c:xMode val="edge"/>
              <c:yMode val="edge"/>
              <c:x val="1.5948705912404944E-2"/>
              <c:y val="5.5393330195657023E-2"/>
            </c:manualLayout>
          </c:layout>
        </c:title>
        <c:numFmt formatCode="0.00%" sourceLinked="1"/>
        <c:tickLblPos val="nextTo"/>
        <c:crossAx val="89300352"/>
        <c:crosses val="autoZero"/>
        <c:crossBetween val="between"/>
        <c:majorUnit val="0.1"/>
        <c:minorUnit val="4.0000000000000022E-2"/>
      </c:valAx>
      <c:valAx>
        <c:axId val="89194496"/>
        <c:scaling>
          <c:orientation val="minMax"/>
        </c:scaling>
        <c:axPos val="r"/>
        <c:numFmt formatCode="General" sourceLinked="1"/>
        <c:tickLblPos val="nextTo"/>
        <c:crossAx val="89196032"/>
        <c:crosses val="max"/>
        <c:crossBetween val="between"/>
      </c:valAx>
      <c:catAx>
        <c:axId val="89196032"/>
        <c:scaling>
          <c:orientation val="minMax"/>
        </c:scaling>
        <c:delete val="1"/>
        <c:axPos val="b"/>
        <c:numFmt formatCode="General" sourceLinked="1"/>
        <c:tickLblPos val="none"/>
        <c:crossAx val="89194496"/>
        <c:crosses val="autoZero"/>
        <c:auto val="1"/>
        <c:lblAlgn val="ctr"/>
        <c:lblOffset val="100"/>
      </c:catAx>
      <c:spPr>
        <a:gradFill>
          <a:gsLst>
            <a:gs pos="0">
              <a:srgbClr val="FFEFD1"/>
            </a:gs>
            <a:gs pos="64999">
              <a:srgbClr val="F0EBD5"/>
            </a:gs>
            <a:gs pos="100000">
              <a:srgbClr val="D1C39F"/>
            </a:gs>
          </a:gsLst>
          <a:lin ang="5400000" scaled="0"/>
        </a:gradFill>
      </c:spPr>
    </c:plotArea>
    <c:legend>
      <c:legendPos val="r"/>
      <c:layout>
        <c:manualLayout>
          <c:xMode val="edge"/>
          <c:yMode val="edge"/>
          <c:x val="0.88851922092209956"/>
          <c:y val="0.28830274415137208"/>
          <c:w val="0.10090385506671452"/>
          <c:h val="0.44156133254536623"/>
        </c:manualLayout>
      </c:layout>
    </c:legend>
    <c:plotVisOnly val="1"/>
    <c:dispBlanksAs val="gap"/>
  </c:chart>
  <c:spPr>
    <a:gradFill>
      <a:gsLst>
        <a:gs pos="0">
          <a:srgbClr val="FFEFD1"/>
        </a:gs>
        <a:gs pos="64999">
          <a:srgbClr val="F0EBD5"/>
        </a:gs>
        <a:gs pos="100000">
          <a:srgbClr val="D1C39F"/>
        </a:gs>
      </a:gsLst>
      <a:lin ang="5400000" scaled="0"/>
    </a:gradFill>
  </c:spPr>
  <c:printSettings>
    <c:headerFooter/>
    <c:pageMargins b="0.75000000000001421" l="0.70000000000000062" r="0.70000000000000062" t="0.75000000000001421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INK </a:t>
            </a:r>
            <a:r>
              <a:rPr lang="zh-TW" altLang="en-US"/>
              <a:t>點數 </a:t>
            </a:r>
            <a:r>
              <a:rPr lang="en-US" altLang="zh-TW"/>
              <a:t>&amp; </a:t>
            </a:r>
            <a:r>
              <a:rPr lang="zh-TW" altLang="en-US"/>
              <a:t>片數看板</a:t>
            </a:r>
          </a:p>
        </c:rich>
      </c:tx>
      <c:layout/>
    </c:title>
    <c:plotArea>
      <c:layout>
        <c:manualLayout>
          <c:layoutTarget val="inner"/>
          <c:xMode val="edge"/>
          <c:yMode val="edge"/>
          <c:x val="0.13852619376465469"/>
          <c:y val="0.20135198680284891"/>
          <c:w val="0.68242268598140865"/>
          <c:h val="0.69000244405179367"/>
        </c:manualLayout>
      </c:layout>
      <c:barChart>
        <c:barDir val="col"/>
        <c:grouping val="clustered"/>
        <c:ser>
          <c:idx val="1"/>
          <c:order val="0"/>
          <c:tx>
            <c:strRef>
              <c:f>績效看板!$C$34</c:f>
              <c:strCache>
                <c:ptCount val="1"/>
                <c:pt idx="0">
                  <c:v>點數</c:v>
                </c:pt>
              </c:strCache>
            </c:strRef>
          </c:tx>
          <c:spPr>
            <a:solidFill>
              <a:schemeClr val="tx2">
                <a:lumMod val="60000"/>
                <a:lumOff val="40000"/>
              </a:schemeClr>
            </a:solidFill>
            <a:ln>
              <a:solidFill>
                <a:schemeClr val="tx2">
                  <a:lumMod val="60000"/>
                  <a:lumOff val="40000"/>
                </a:schemeClr>
              </a:solidFill>
            </a:ln>
          </c:spPr>
          <c:cat>
            <c:numRef>
              <c:f>績效看板!$D$32:$I$32</c:f>
              <c:numCache>
                <c:formatCode>General</c:formatCode>
                <c:ptCount val="6"/>
              </c:numCache>
            </c:numRef>
          </c:cat>
          <c:val>
            <c:numRef>
              <c:f>績效看板!$D$34:$I$34</c:f>
              <c:numCache>
                <c:formatCode>General</c:formatCode>
                <c:ptCount val="6"/>
              </c:numCache>
            </c:numRef>
          </c:val>
        </c:ser>
        <c:axId val="89249664"/>
        <c:axId val="89248128"/>
      </c:barChart>
      <c:lineChart>
        <c:grouping val="standard"/>
        <c:ser>
          <c:idx val="2"/>
          <c:order val="1"/>
          <c:tx>
            <c:strRef>
              <c:f>績效看板!$C$35</c:f>
              <c:strCache>
                <c:ptCount val="1"/>
                <c:pt idx="0">
                  <c:v>達成率</c:v>
                </c:pt>
              </c:strCache>
            </c:strRef>
          </c:tx>
          <c:spPr>
            <a:ln>
              <a:solidFill>
                <a:srgbClr val="00FF00"/>
              </a:solidFill>
            </a:ln>
          </c:spPr>
          <c:marker>
            <c:symbol val="square"/>
            <c:size val="7"/>
            <c:spPr>
              <a:solidFill>
                <a:srgbClr val="00FF00"/>
              </a:solidFill>
              <a:ln>
                <a:solidFill>
                  <a:srgbClr val="00FF00"/>
                </a:solidFill>
              </a:ln>
            </c:spPr>
          </c:marker>
          <c:cat>
            <c:numRef>
              <c:f>績效看板!$D$32:$I$32</c:f>
              <c:numCache>
                <c:formatCode>General</c:formatCode>
                <c:ptCount val="6"/>
              </c:numCache>
            </c:numRef>
          </c:cat>
          <c:val>
            <c:numRef>
              <c:f>績效看板!$D$35:$I$35</c:f>
              <c:numCache>
                <c:formatCode>0.00%</c:formatCode>
                <c:ptCount val="6"/>
              </c:numCache>
            </c:numRef>
          </c:val>
        </c:ser>
        <c:marker val="1"/>
        <c:axId val="89243648"/>
        <c:axId val="89245952"/>
      </c:lineChart>
      <c:lineChart>
        <c:grouping val="standard"/>
        <c:ser>
          <c:idx val="0"/>
          <c:order val="2"/>
          <c:tx>
            <c:strRef>
              <c:f>績效看板!$C$37</c:f>
              <c:strCache>
                <c:ptCount val="1"/>
                <c:pt idx="0">
                  <c:v>Target(點數)</c:v>
                </c:pt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pPr>
              <a:solidFill>
                <a:srgbClr val="FF0000"/>
              </a:solidFill>
              <a:ln>
                <a:solidFill>
                  <a:srgbClr val="FF0000"/>
                </a:solidFill>
              </a:ln>
            </c:spPr>
          </c:marker>
          <c:cat>
            <c:numRef>
              <c:f>績效看板!$D$32:$I$32</c:f>
              <c:numCache>
                <c:formatCode>General</c:formatCode>
                <c:ptCount val="6"/>
              </c:numCache>
            </c:numRef>
          </c:cat>
          <c:val>
            <c:numRef>
              <c:f>績效看板!$D$37:$I$37</c:f>
              <c:numCache>
                <c:formatCode>0.00_ </c:formatCode>
                <c:ptCount val="6"/>
              </c:numCache>
            </c:numRef>
          </c:val>
        </c:ser>
        <c:marker val="1"/>
        <c:axId val="89249664"/>
        <c:axId val="89248128"/>
      </c:lineChart>
      <c:catAx>
        <c:axId val="89243648"/>
        <c:scaling>
          <c:orientation val="minMax"/>
        </c:scaling>
        <c:axPos val="b"/>
        <c:title>
          <c:tx>
            <c:rich>
              <a:bodyPr rot="0" vert="eaVert" anchor="ctr" anchorCtr="0"/>
              <a:lstStyle/>
              <a:p>
                <a:pPr>
                  <a:defRPr/>
                </a:pPr>
                <a:r>
                  <a:rPr lang="zh-TW" altLang="en-US"/>
                  <a:t>片數</a:t>
                </a:r>
              </a:p>
            </c:rich>
          </c:tx>
          <c:layout>
            <c:manualLayout>
              <c:xMode val="edge"/>
              <c:yMode val="edge"/>
              <c:x val="0.81112416888034555"/>
              <c:y val="8.2018758824714919E-2"/>
            </c:manualLayout>
          </c:layout>
        </c:title>
        <c:numFmt formatCode="General" sourceLinked="1"/>
        <c:tickLblPos val="nextTo"/>
        <c:crossAx val="89245952"/>
        <c:crosses val="autoZero"/>
        <c:auto val="1"/>
        <c:lblAlgn val="ctr"/>
        <c:lblOffset val="100"/>
      </c:catAx>
      <c:valAx>
        <c:axId val="89245952"/>
        <c:scaling>
          <c:orientation val="minMax"/>
          <c:max val="1.5"/>
          <c:min val="0.1"/>
        </c:scaling>
        <c:axPos val="l"/>
        <c:majorGridlines/>
        <c:title>
          <c:tx>
            <c:rich>
              <a:bodyPr rot="0" vert="eaVert" anchor="ctr" anchorCtr="0"/>
              <a:lstStyle/>
              <a:p>
                <a:pPr>
                  <a:defRPr/>
                </a:pPr>
                <a:r>
                  <a:rPr lang="zh-TW" altLang="en-US"/>
                  <a:t>達成率</a:t>
                </a:r>
              </a:p>
            </c:rich>
          </c:tx>
          <c:layout>
            <c:manualLayout>
              <c:xMode val="edge"/>
              <c:yMode val="edge"/>
              <c:x val="1.5948705912404944E-2"/>
              <c:y val="5.5393330195657023E-2"/>
            </c:manualLayout>
          </c:layout>
        </c:title>
        <c:numFmt formatCode="0.00%" sourceLinked="1"/>
        <c:tickLblPos val="nextTo"/>
        <c:crossAx val="89243648"/>
        <c:crosses val="autoZero"/>
        <c:crossBetween val="between"/>
        <c:majorUnit val="0.1"/>
        <c:minorUnit val="4.0000000000000022E-2"/>
      </c:valAx>
      <c:valAx>
        <c:axId val="89248128"/>
        <c:scaling>
          <c:orientation val="minMax"/>
        </c:scaling>
        <c:axPos val="r"/>
        <c:numFmt formatCode="General" sourceLinked="1"/>
        <c:tickLblPos val="nextTo"/>
        <c:crossAx val="89249664"/>
        <c:crosses val="max"/>
        <c:crossBetween val="between"/>
      </c:valAx>
      <c:catAx>
        <c:axId val="89249664"/>
        <c:scaling>
          <c:orientation val="minMax"/>
        </c:scaling>
        <c:delete val="1"/>
        <c:axPos val="b"/>
        <c:numFmt formatCode="General" sourceLinked="1"/>
        <c:tickLblPos val="none"/>
        <c:crossAx val="89248128"/>
        <c:crosses val="autoZero"/>
        <c:auto val="1"/>
        <c:lblAlgn val="ctr"/>
        <c:lblOffset val="100"/>
      </c:catAx>
      <c:spPr>
        <a:gradFill>
          <a:gsLst>
            <a:gs pos="0">
              <a:srgbClr val="FFEFD1"/>
            </a:gs>
            <a:gs pos="64999">
              <a:srgbClr val="F0EBD5"/>
            </a:gs>
            <a:gs pos="100000">
              <a:srgbClr val="D1C39F"/>
            </a:gs>
          </a:gsLst>
          <a:lin ang="5400000" scaled="0"/>
        </a:gradFill>
      </c:spPr>
    </c:plotArea>
    <c:legend>
      <c:legendPos val="r"/>
      <c:layout>
        <c:manualLayout>
          <c:xMode val="edge"/>
          <c:yMode val="edge"/>
          <c:x val="0.88851922092209956"/>
          <c:y val="0.28830274415137208"/>
          <c:w val="0.10090385506671452"/>
          <c:h val="0.44156133254536623"/>
        </c:manualLayout>
      </c:layout>
    </c:legend>
    <c:plotVisOnly val="1"/>
    <c:dispBlanksAs val="gap"/>
  </c:chart>
  <c:spPr>
    <a:gradFill>
      <a:gsLst>
        <a:gs pos="0">
          <a:srgbClr val="FFEFD1"/>
        </a:gs>
        <a:gs pos="64999">
          <a:srgbClr val="F0EBD5"/>
        </a:gs>
        <a:gs pos="100000">
          <a:srgbClr val="D1C39F"/>
        </a:gs>
      </a:gsLst>
      <a:lin ang="5400000" scaled="0"/>
    </a:gradFill>
  </c:spPr>
  <c:printSettings>
    <c:headerFooter/>
    <c:pageMargins b="0.75000000000001421" l="0.70000000000000062" r="0.70000000000000062" t="0.75000000000001421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RVRP </a:t>
            </a:r>
            <a:r>
              <a:rPr lang="zh-TW" altLang="en-US"/>
              <a:t>點數 </a:t>
            </a:r>
            <a:r>
              <a:rPr lang="en-US" altLang="zh-TW"/>
              <a:t>&amp; </a:t>
            </a:r>
            <a:r>
              <a:rPr lang="zh-TW" altLang="en-US"/>
              <a:t>片數看板</a:t>
            </a:r>
          </a:p>
        </c:rich>
      </c:tx>
      <c:layout/>
    </c:title>
    <c:plotArea>
      <c:layout>
        <c:manualLayout>
          <c:layoutTarget val="inner"/>
          <c:xMode val="edge"/>
          <c:yMode val="edge"/>
          <c:x val="0.13852619376465469"/>
          <c:y val="0.20135198680284891"/>
          <c:w val="0.68242268598140865"/>
          <c:h val="0.69000244405179367"/>
        </c:manualLayout>
      </c:layout>
      <c:barChart>
        <c:barDir val="col"/>
        <c:grouping val="clustered"/>
        <c:ser>
          <c:idx val="1"/>
          <c:order val="0"/>
          <c:tx>
            <c:strRef>
              <c:f>績效看板!$O$34</c:f>
              <c:strCache>
                <c:ptCount val="1"/>
                <c:pt idx="0">
                  <c:v>點數</c:v>
                </c:pt>
              </c:strCache>
            </c:strRef>
          </c:tx>
          <c:spPr>
            <a:solidFill>
              <a:schemeClr val="tx2">
                <a:lumMod val="60000"/>
                <a:lumOff val="40000"/>
              </a:schemeClr>
            </a:solidFill>
            <a:ln>
              <a:solidFill>
                <a:schemeClr val="tx2">
                  <a:lumMod val="60000"/>
                  <a:lumOff val="40000"/>
                </a:schemeClr>
              </a:solidFill>
            </a:ln>
          </c:spPr>
          <c:cat>
            <c:strRef>
              <c:f>績效看板!$P$32:$U$32</c:f>
              <c:strCache>
                <c:ptCount val="1"/>
                <c:pt idx="0">
                  <c:v>蔡幸汝</c:v>
                </c:pt>
              </c:strCache>
            </c:strRef>
          </c:cat>
          <c:val>
            <c:numRef>
              <c:f>績效看板!$P$34:$U$34</c:f>
              <c:numCache>
                <c:formatCode>General</c:formatCode>
                <c:ptCount val="6"/>
                <c:pt idx="0">
                  <c:v>1392</c:v>
                </c:pt>
              </c:numCache>
            </c:numRef>
          </c:val>
        </c:ser>
        <c:axId val="90941696"/>
        <c:axId val="90940160"/>
      </c:barChart>
      <c:lineChart>
        <c:grouping val="standard"/>
        <c:ser>
          <c:idx val="2"/>
          <c:order val="1"/>
          <c:tx>
            <c:strRef>
              <c:f>績效看板!$O$35</c:f>
              <c:strCache>
                <c:ptCount val="1"/>
                <c:pt idx="0">
                  <c:v>達成率</c:v>
                </c:pt>
              </c:strCache>
            </c:strRef>
          </c:tx>
          <c:spPr>
            <a:ln>
              <a:solidFill>
                <a:srgbClr val="00FF00"/>
              </a:solidFill>
            </a:ln>
          </c:spPr>
          <c:marker>
            <c:symbol val="square"/>
            <c:size val="7"/>
            <c:spPr>
              <a:solidFill>
                <a:srgbClr val="00FF00"/>
              </a:solidFill>
              <a:ln>
                <a:solidFill>
                  <a:srgbClr val="00FF00"/>
                </a:solidFill>
              </a:ln>
            </c:spPr>
          </c:marker>
          <c:cat>
            <c:strRef>
              <c:f>績效看板!$P$32:$U$32</c:f>
              <c:strCache>
                <c:ptCount val="1"/>
                <c:pt idx="0">
                  <c:v>蔡幸汝</c:v>
                </c:pt>
              </c:strCache>
            </c:strRef>
          </c:cat>
          <c:val>
            <c:numRef>
              <c:f>績效看板!$P$35:$U$35</c:f>
              <c:numCache>
                <c:formatCode>0.00%</c:formatCode>
                <c:ptCount val="6"/>
                <c:pt idx="0">
                  <c:v>0.42691118707153575</c:v>
                </c:pt>
              </c:numCache>
            </c:numRef>
          </c:val>
        </c:ser>
        <c:marker val="1"/>
        <c:axId val="90927488"/>
        <c:axId val="90929792"/>
      </c:lineChart>
      <c:lineChart>
        <c:grouping val="standard"/>
        <c:ser>
          <c:idx val="0"/>
          <c:order val="2"/>
          <c:tx>
            <c:strRef>
              <c:f>績效看板!$O$37</c:f>
              <c:strCache>
                <c:ptCount val="1"/>
                <c:pt idx="0">
                  <c:v>Target(片數)</c:v>
                </c:pt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pPr>
              <a:solidFill>
                <a:srgbClr val="FF0000"/>
              </a:solidFill>
              <a:ln>
                <a:solidFill>
                  <a:srgbClr val="FF0000"/>
                </a:solidFill>
              </a:ln>
            </c:spPr>
          </c:marker>
          <c:cat>
            <c:strRef>
              <c:f>績效看板!$P$32:$U$32</c:f>
              <c:strCache>
                <c:ptCount val="1"/>
                <c:pt idx="0">
                  <c:v>蔡幸汝</c:v>
                </c:pt>
              </c:strCache>
            </c:strRef>
          </c:cat>
          <c:val>
            <c:numRef>
              <c:f>績效看板!$P$37:$U$37</c:f>
              <c:numCache>
                <c:formatCode>General</c:formatCode>
                <c:ptCount val="6"/>
                <c:pt idx="0" formatCode="0.00_ ">
                  <c:v>351.36113679509907</c:v>
                </c:pt>
              </c:numCache>
            </c:numRef>
          </c:val>
        </c:ser>
        <c:marker val="1"/>
        <c:axId val="90941696"/>
        <c:axId val="90940160"/>
      </c:lineChart>
      <c:catAx>
        <c:axId val="90927488"/>
        <c:scaling>
          <c:orientation val="minMax"/>
        </c:scaling>
        <c:axPos val="b"/>
        <c:title>
          <c:tx>
            <c:rich>
              <a:bodyPr rot="0" vert="eaVert" anchor="ctr" anchorCtr="0"/>
              <a:lstStyle/>
              <a:p>
                <a:pPr>
                  <a:defRPr/>
                </a:pPr>
                <a:r>
                  <a:rPr lang="zh-TW" altLang="en-US"/>
                  <a:t>片數</a:t>
                </a:r>
              </a:p>
            </c:rich>
          </c:tx>
          <c:layout>
            <c:manualLayout>
              <c:xMode val="edge"/>
              <c:yMode val="edge"/>
              <c:x val="0.81112416888034555"/>
              <c:y val="8.2018758824714919E-2"/>
            </c:manualLayout>
          </c:layout>
        </c:title>
        <c:numFmt formatCode="General" sourceLinked="1"/>
        <c:tickLblPos val="nextTo"/>
        <c:crossAx val="90929792"/>
        <c:crosses val="autoZero"/>
        <c:auto val="1"/>
        <c:lblAlgn val="ctr"/>
        <c:lblOffset val="100"/>
      </c:catAx>
      <c:valAx>
        <c:axId val="90929792"/>
        <c:scaling>
          <c:orientation val="minMax"/>
          <c:max val="1.2"/>
          <c:min val="0.1"/>
        </c:scaling>
        <c:axPos val="l"/>
        <c:majorGridlines/>
        <c:title>
          <c:tx>
            <c:rich>
              <a:bodyPr rot="0" vert="eaVert" anchor="ctr" anchorCtr="0"/>
              <a:lstStyle/>
              <a:p>
                <a:pPr>
                  <a:defRPr/>
                </a:pPr>
                <a:r>
                  <a:rPr lang="zh-TW" altLang="en-US"/>
                  <a:t>達成率</a:t>
                </a:r>
              </a:p>
            </c:rich>
          </c:tx>
          <c:layout>
            <c:manualLayout>
              <c:xMode val="edge"/>
              <c:yMode val="edge"/>
              <c:x val="1.5948705912404944E-2"/>
              <c:y val="5.5393330195657023E-2"/>
            </c:manualLayout>
          </c:layout>
        </c:title>
        <c:numFmt formatCode="0.00%" sourceLinked="1"/>
        <c:tickLblPos val="nextTo"/>
        <c:crossAx val="90927488"/>
        <c:crosses val="autoZero"/>
        <c:crossBetween val="between"/>
        <c:majorUnit val="0.1"/>
        <c:minorUnit val="4.0000000000000022E-2"/>
      </c:valAx>
      <c:valAx>
        <c:axId val="90940160"/>
        <c:scaling>
          <c:orientation val="minMax"/>
        </c:scaling>
        <c:axPos val="r"/>
        <c:numFmt formatCode="General" sourceLinked="1"/>
        <c:tickLblPos val="nextTo"/>
        <c:crossAx val="90941696"/>
        <c:crosses val="max"/>
        <c:crossBetween val="between"/>
      </c:valAx>
      <c:catAx>
        <c:axId val="90941696"/>
        <c:scaling>
          <c:orientation val="minMax"/>
        </c:scaling>
        <c:delete val="1"/>
        <c:axPos val="b"/>
        <c:numFmt formatCode="General" sourceLinked="1"/>
        <c:tickLblPos val="none"/>
        <c:crossAx val="90940160"/>
        <c:crosses val="autoZero"/>
        <c:auto val="1"/>
        <c:lblAlgn val="ctr"/>
        <c:lblOffset val="100"/>
      </c:catAx>
      <c:spPr>
        <a:gradFill>
          <a:gsLst>
            <a:gs pos="0">
              <a:srgbClr val="FFEFD1"/>
            </a:gs>
            <a:gs pos="64999">
              <a:srgbClr val="F0EBD5"/>
            </a:gs>
            <a:gs pos="100000">
              <a:srgbClr val="D1C39F"/>
            </a:gs>
          </a:gsLst>
          <a:lin ang="5400000" scaled="0"/>
        </a:gradFill>
      </c:spPr>
    </c:plotArea>
    <c:legend>
      <c:legendPos val="r"/>
      <c:layout>
        <c:manualLayout>
          <c:xMode val="edge"/>
          <c:yMode val="edge"/>
          <c:x val="0.88851922092209956"/>
          <c:y val="0.28830274415137208"/>
          <c:w val="0.10090385506671452"/>
          <c:h val="0.44156133254536623"/>
        </c:manualLayout>
      </c:layout>
    </c:legend>
    <c:plotVisOnly val="1"/>
    <c:dispBlanksAs val="gap"/>
  </c:chart>
  <c:spPr>
    <a:gradFill>
      <a:gsLst>
        <a:gs pos="0">
          <a:srgbClr val="FFEFD1"/>
        </a:gs>
        <a:gs pos="64999">
          <a:srgbClr val="F0EBD5"/>
        </a:gs>
        <a:gs pos="100000">
          <a:srgbClr val="D1C39F"/>
        </a:gs>
      </a:gsLst>
      <a:lin ang="5400000" scaled="0"/>
    </a:gradFill>
  </c:spPr>
  <c:printSettings>
    <c:headerFooter/>
    <c:pageMargins b="0.75000000000001421" l="0.70000000000000062" r="0.70000000000000062" t="0.75000000000001421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zh-TW" altLang="en-US"/>
              <a:t>總績效看板</a:t>
            </a:r>
          </a:p>
        </c:rich>
      </c:tx>
      <c:layout/>
    </c:title>
    <c:view3D>
      <c:rotX val="0"/>
      <c:perspective val="10"/>
    </c:view3D>
    <c:sideWall>
      <c:spPr>
        <a:gradFill>
          <a:gsLst>
            <a:gs pos="0">
              <a:srgbClr val="FFEFD1"/>
            </a:gs>
            <a:gs pos="64999">
              <a:srgbClr val="F0EBD5"/>
            </a:gs>
            <a:gs pos="100000">
              <a:srgbClr val="D1C39F"/>
            </a:gs>
          </a:gsLst>
          <a:lin ang="5400000" scaled="0"/>
        </a:gradFill>
      </c:spPr>
    </c:sideWall>
    <c:backWall>
      <c:spPr>
        <a:gradFill>
          <a:gsLst>
            <a:gs pos="0">
              <a:srgbClr val="FFEFD1"/>
            </a:gs>
            <a:gs pos="64999">
              <a:srgbClr val="F0EBD5"/>
            </a:gs>
            <a:gs pos="100000">
              <a:srgbClr val="D1C39F"/>
            </a:gs>
          </a:gsLst>
          <a:lin ang="5400000" scaled="0"/>
        </a:gradFill>
      </c:spPr>
    </c:backWall>
    <c:plotArea>
      <c:layout>
        <c:manualLayout>
          <c:layoutTarget val="inner"/>
          <c:xMode val="edge"/>
          <c:yMode val="edge"/>
          <c:x val="6.586108590771092E-2"/>
          <c:y val="0.14200698641749709"/>
          <c:w val="0.92472446531926245"/>
          <c:h val="0.7336476905740239"/>
        </c:manualLayout>
      </c:layout>
      <c:bar3DChart>
        <c:barDir val="col"/>
        <c:grouping val="stacked"/>
        <c:ser>
          <c:idx val="0"/>
          <c:order val="0"/>
          <c:tx>
            <c:strRef>
              <c:f>績效看板!$G$65</c:f>
              <c:strCache>
                <c:ptCount val="1"/>
                <c:pt idx="0">
                  <c:v>總績效</c:v>
                </c:pt>
              </c:strCache>
            </c:strRef>
          </c:tx>
          <c:spPr>
            <a:solidFill>
              <a:srgbClr val="00FF73"/>
            </a:solidFill>
            <a:ln>
              <a:solidFill>
                <a:srgbClr val="FF0000"/>
              </a:solidFill>
            </a:ln>
          </c:spPr>
          <c:dLbls>
            <c:txPr>
              <a:bodyPr/>
              <a:lstStyle/>
              <a:p>
                <a:pPr>
                  <a:defRPr b="1">
                    <a:solidFill>
                      <a:sysClr val="windowText" lastClr="000000"/>
                    </a:solidFill>
                  </a:defRPr>
                </a:pPr>
                <a:endParaRPr lang="zh-TW"/>
              </a:p>
            </c:txPr>
            <c:showVal val="1"/>
          </c:dLbls>
          <c:cat>
            <c:strRef>
              <c:f>績效看板!$B$66:$B$75</c:f>
              <c:strCache>
                <c:ptCount val="3"/>
                <c:pt idx="0">
                  <c:v>莊惠安</c:v>
                </c:pt>
                <c:pt idx="1">
                  <c:v>郭惠濨</c:v>
                </c:pt>
                <c:pt idx="2">
                  <c:v>陳靜嫻</c:v>
                </c:pt>
              </c:strCache>
            </c:strRef>
          </c:cat>
          <c:val>
            <c:numRef>
              <c:f>績效看板!$G$66:$G$75</c:f>
              <c:numCache>
                <c:formatCode>0.00%</c:formatCode>
                <c:ptCount val="10"/>
                <c:pt idx="0">
                  <c:v>0.42459502927525944</c:v>
                </c:pt>
                <c:pt idx="1">
                  <c:v>0.50368415494199026</c:v>
                </c:pt>
                <c:pt idx="2">
                  <c:v>0.4989512252184205</c:v>
                </c:pt>
              </c:numCache>
            </c:numRef>
          </c:val>
        </c:ser>
        <c:shape val="box"/>
        <c:axId val="91017216"/>
        <c:axId val="91018752"/>
        <c:axId val="0"/>
      </c:bar3DChart>
      <c:catAx>
        <c:axId val="91017216"/>
        <c:scaling>
          <c:orientation val="minMax"/>
        </c:scaling>
        <c:axPos val="b"/>
        <c:numFmt formatCode="General" sourceLinked="1"/>
        <c:tickLblPos val="nextTo"/>
        <c:crossAx val="91018752"/>
        <c:crosses val="autoZero"/>
        <c:auto val="1"/>
        <c:lblAlgn val="ctr"/>
        <c:lblOffset val="100"/>
      </c:catAx>
      <c:valAx>
        <c:axId val="91018752"/>
        <c:scaling>
          <c:orientation val="minMax"/>
          <c:max val="2"/>
          <c:min val="0"/>
        </c:scaling>
        <c:axPos val="l"/>
        <c:majorGridlines/>
        <c:title>
          <c:tx>
            <c:rich>
              <a:bodyPr rot="0" vert="eaVert" anchor="ctr" anchorCtr="0"/>
              <a:lstStyle/>
              <a:p>
                <a:pPr>
                  <a:defRPr/>
                </a:pPr>
                <a:r>
                  <a:rPr lang="zh-TW" altLang="en-US"/>
                  <a:t>達成率</a:t>
                </a:r>
              </a:p>
            </c:rich>
          </c:tx>
          <c:layout>
            <c:manualLayout>
              <c:xMode val="edge"/>
              <c:yMode val="edge"/>
              <c:x val="1.5948705912404944E-2"/>
              <c:y val="5.5393330195657023E-2"/>
            </c:manualLayout>
          </c:layout>
        </c:title>
        <c:numFmt formatCode="0.00%" sourceLinked="1"/>
        <c:tickLblPos val="nextTo"/>
        <c:crossAx val="91017216"/>
        <c:crosses val="autoZero"/>
        <c:crossBetween val="between"/>
        <c:majorUnit val="0.2"/>
        <c:minorUnit val="4.0000000000000022E-2"/>
      </c:valAx>
    </c:plotArea>
    <c:legend>
      <c:legendPos val="r"/>
      <c:layout>
        <c:manualLayout>
          <c:xMode val="edge"/>
          <c:yMode val="edge"/>
          <c:x val="0.82846148736651604"/>
          <c:y val="5.2324453412987998E-2"/>
          <c:w val="5.9902854863149738E-2"/>
          <c:h val="7.0974596896443365E-2"/>
        </c:manualLayout>
      </c:layout>
    </c:legend>
    <c:plotVisOnly val="1"/>
    <c:dispBlanksAs val="gap"/>
  </c:chart>
  <c:spPr>
    <a:gradFill>
      <a:gsLst>
        <a:gs pos="0">
          <a:srgbClr val="FFEFD1"/>
        </a:gs>
        <a:gs pos="64999">
          <a:srgbClr val="F0EBD5"/>
        </a:gs>
        <a:gs pos="100000">
          <a:srgbClr val="D1C39F"/>
        </a:gs>
      </a:gsLst>
      <a:lin ang="5400000" scaled="0"/>
    </a:gradFill>
  </c:spPr>
  <c:printSettings>
    <c:headerFooter/>
    <c:pageMargins b="0.75000000000001421" l="0.70000000000000062" r="0.70000000000000062" t="0.75000000000001421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7" Type="http://schemas.openxmlformats.org/officeDocument/2006/relationships/chart" Target="../charts/chart5.xml"/><Relationship Id="rId2" Type="http://schemas.openxmlformats.org/officeDocument/2006/relationships/image" Target="../media/image1.png"/><Relationship Id="rId1" Type="http://schemas.openxmlformats.org/officeDocument/2006/relationships/chart" Target="../charts/chart1.xml"/><Relationship Id="rId6" Type="http://schemas.openxmlformats.org/officeDocument/2006/relationships/chart" Target="../charts/chart4.xml"/><Relationship Id="rId5" Type="http://schemas.openxmlformats.org/officeDocument/2006/relationships/chart" Target="../charts/chart3.xml"/><Relationship Id="rId4" Type="http://schemas.openxmlformats.org/officeDocument/2006/relationships/chart" Target="../charts/chart2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69274</xdr:colOff>
      <xdr:row>7</xdr:row>
      <xdr:rowOff>123265</xdr:rowOff>
    </xdr:from>
    <xdr:to>
      <xdr:col>9</xdr:col>
      <xdr:colOff>597478</xdr:colOff>
      <xdr:row>19</xdr:row>
      <xdr:rowOff>23812</xdr:rowOff>
    </xdr:to>
    <xdr:graphicFrame macro="">
      <xdr:nvGraphicFramePr>
        <xdr:cNvPr id="4" name="圖表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360446</xdr:colOff>
      <xdr:row>23</xdr:row>
      <xdr:rowOff>197503</xdr:rowOff>
    </xdr:from>
    <xdr:to>
      <xdr:col>2</xdr:col>
      <xdr:colOff>5928</xdr:colOff>
      <xdr:row>27</xdr:row>
      <xdr:rowOff>84862</xdr:rowOff>
    </xdr:to>
    <xdr:pic>
      <xdr:nvPicPr>
        <xdr:cNvPr id="7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360446" y="5064673"/>
          <a:ext cx="1177681" cy="777057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0</xdr:col>
      <xdr:colOff>363787</xdr:colOff>
      <xdr:row>19</xdr:row>
      <xdr:rowOff>93399</xdr:rowOff>
    </xdr:from>
    <xdr:to>
      <xdr:col>2</xdr:col>
      <xdr:colOff>2290</xdr:colOff>
      <xdr:row>23</xdr:row>
      <xdr:rowOff>28363</xdr:rowOff>
    </xdr:to>
    <xdr:pic>
      <xdr:nvPicPr>
        <xdr:cNvPr id="8" name="Picture 3"/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363787" y="4070872"/>
          <a:ext cx="1177157" cy="824662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>
    <xdr:from>
      <xdr:col>10</xdr:col>
      <xdr:colOff>380999</xdr:colOff>
      <xdr:row>0</xdr:row>
      <xdr:rowOff>173182</xdr:rowOff>
    </xdr:from>
    <xdr:to>
      <xdr:col>11</xdr:col>
      <xdr:colOff>484909</xdr:colOff>
      <xdr:row>3</xdr:row>
      <xdr:rowOff>181841</xdr:rowOff>
    </xdr:to>
    <xdr:sp macro="[0]!Updata" textlink="">
      <xdr:nvSpPr>
        <xdr:cNvPr id="5" name="圓角矩形 4"/>
        <xdr:cNvSpPr/>
      </xdr:nvSpPr>
      <xdr:spPr>
        <a:xfrm>
          <a:off x="7862454" y="173182"/>
          <a:ext cx="787978" cy="632114"/>
        </a:xfrm>
        <a:prstGeom prst="roundRect">
          <a:avLst/>
        </a:prstGeom>
        <a:solidFill>
          <a:srgbClr val="00B0F0"/>
        </a:solidFill>
        <a:ln>
          <a:solidFill>
            <a:schemeClr val="tx2">
              <a:lumMod val="40000"/>
              <a:lumOff val="60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altLang="zh-TW" sz="2800"/>
            <a:t>GO</a:t>
          </a:r>
          <a:endParaRPr lang="zh-TW" altLang="en-US" sz="2800"/>
        </a:p>
      </xdr:txBody>
    </xdr:sp>
    <xdr:clientData/>
  </xdr:twoCellAnchor>
  <xdr:twoCellAnchor>
    <xdr:from>
      <xdr:col>12</xdr:col>
      <xdr:colOff>69274</xdr:colOff>
      <xdr:row>7</xdr:row>
      <xdr:rowOff>123265</xdr:rowOff>
    </xdr:from>
    <xdr:to>
      <xdr:col>21</xdr:col>
      <xdr:colOff>597478</xdr:colOff>
      <xdr:row>19</xdr:row>
      <xdr:rowOff>23812</xdr:rowOff>
    </xdr:to>
    <xdr:graphicFrame macro="">
      <xdr:nvGraphicFramePr>
        <xdr:cNvPr id="6" name="圖表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12</xdr:col>
      <xdr:colOff>251209</xdr:colOff>
      <xdr:row>23</xdr:row>
      <xdr:rowOff>204734</xdr:rowOff>
    </xdr:from>
    <xdr:to>
      <xdr:col>14</xdr:col>
      <xdr:colOff>31399</xdr:colOff>
      <xdr:row>27</xdr:row>
      <xdr:rowOff>92093</xdr:rowOff>
    </xdr:to>
    <xdr:pic>
      <xdr:nvPicPr>
        <xdr:cNvPr id="9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9420330" y="5071904"/>
          <a:ext cx="1161839" cy="777057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12</xdr:col>
      <xdr:colOff>242462</xdr:colOff>
      <xdr:row>19</xdr:row>
      <xdr:rowOff>102058</xdr:rowOff>
    </xdr:from>
    <xdr:to>
      <xdr:col>14</xdr:col>
      <xdr:colOff>31400</xdr:colOff>
      <xdr:row>23</xdr:row>
      <xdr:rowOff>37022</xdr:rowOff>
    </xdr:to>
    <xdr:pic>
      <xdr:nvPicPr>
        <xdr:cNvPr id="10" name="Picture 3"/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9411583" y="4079531"/>
          <a:ext cx="1170587" cy="824662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>
    <xdr:from>
      <xdr:col>0</xdr:col>
      <xdr:colOff>69274</xdr:colOff>
      <xdr:row>37</xdr:row>
      <xdr:rowOff>123265</xdr:rowOff>
    </xdr:from>
    <xdr:to>
      <xdr:col>9</xdr:col>
      <xdr:colOff>597478</xdr:colOff>
      <xdr:row>49</xdr:row>
      <xdr:rowOff>23812</xdr:rowOff>
    </xdr:to>
    <xdr:graphicFrame macro="">
      <xdr:nvGraphicFramePr>
        <xdr:cNvPr id="11" name="圖表 1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0</xdr:col>
      <xdr:colOff>408214</xdr:colOff>
      <xdr:row>53</xdr:row>
      <xdr:rowOff>152399</xdr:rowOff>
    </xdr:from>
    <xdr:to>
      <xdr:col>2</xdr:col>
      <xdr:colOff>27940</xdr:colOff>
      <xdr:row>57</xdr:row>
      <xdr:rowOff>104672</xdr:rowOff>
    </xdr:to>
    <xdr:pic>
      <xdr:nvPicPr>
        <xdr:cNvPr id="12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408214" y="11404459"/>
          <a:ext cx="1158380" cy="84197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0</xdr:col>
      <xdr:colOff>420403</xdr:colOff>
      <xdr:row>49</xdr:row>
      <xdr:rowOff>81125</xdr:rowOff>
    </xdr:from>
    <xdr:to>
      <xdr:col>2</xdr:col>
      <xdr:colOff>52335</xdr:colOff>
      <xdr:row>53</xdr:row>
      <xdr:rowOff>10466</xdr:rowOff>
    </xdr:to>
    <xdr:pic>
      <xdr:nvPicPr>
        <xdr:cNvPr id="13" name="Picture 3"/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420403" y="10443488"/>
          <a:ext cx="1170586" cy="819039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>
    <xdr:from>
      <xdr:col>12</xdr:col>
      <xdr:colOff>69274</xdr:colOff>
      <xdr:row>37</xdr:row>
      <xdr:rowOff>123265</xdr:rowOff>
    </xdr:from>
    <xdr:to>
      <xdr:col>21</xdr:col>
      <xdr:colOff>597478</xdr:colOff>
      <xdr:row>49</xdr:row>
      <xdr:rowOff>23812</xdr:rowOff>
    </xdr:to>
    <xdr:graphicFrame macro="">
      <xdr:nvGraphicFramePr>
        <xdr:cNvPr id="14" name="圖表 1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12</xdr:col>
      <xdr:colOff>240742</xdr:colOff>
      <xdr:row>53</xdr:row>
      <xdr:rowOff>162866</xdr:rowOff>
    </xdr:from>
    <xdr:to>
      <xdr:col>14</xdr:col>
      <xdr:colOff>52334</xdr:colOff>
      <xdr:row>57</xdr:row>
      <xdr:rowOff>104672</xdr:rowOff>
    </xdr:to>
    <xdr:pic>
      <xdr:nvPicPr>
        <xdr:cNvPr id="15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9409863" y="11414926"/>
          <a:ext cx="1193241" cy="831503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12</xdr:col>
      <xdr:colOff>242463</xdr:colOff>
      <xdr:row>49</xdr:row>
      <xdr:rowOff>91590</xdr:rowOff>
    </xdr:from>
    <xdr:to>
      <xdr:col>14</xdr:col>
      <xdr:colOff>31400</xdr:colOff>
      <xdr:row>53</xdr:row>
      <xdr:rowOff>26554</xdr:rowOff>
    </xdr:to>
    <xdr:pic>
      <xdr:nvPicPr>
        <xdr:cNvPr id="16" name="Picture 3"/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9411584" y="10453953"/>
          <a:ext cx="1170586" cy="824662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>
    <xdr:from>
      <xdr:col>0</xdr:col>
      <xdr:colOff>86591</xdr:colOff>
      <xdr:row>75</xdr:row>
      <xdr:rowOff>33496</xdr:rowOff>
    </xdr:from>
    <xdr:to>
      <xdr:col>9</xdr:col>
      <xdr:colOff>575686</xdr:colOff>
      <xdr:row>90</xdr:row>
      <xdr:rowOff>94203</xdr:rowOff>
    </xdr:to>
    <xdr:graphicFrame macro="">
      <xdr:nvGraphicFramePr>
        <xdr:cNvPr id="21" name="圖表 2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17</xdr:col>
      <xdr:colOff>171450</xdr:colOff>
      <xdr:row>35</xdr:row>
      <xdr:rowOff>133350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0" y="0"/>
          <a:ext cx="11830050" cy="74676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>
    <xdr:from>
      <xdr:col>4</xdr:col>
      <xdr:colOff>258535</xdr:colOff>
      <xdr:row>32</xdr:row>
      <xdr:rowOff>190500</xdr:rowOff>
    </xdr:from>
    <xdr:to>
      <xdr:col>8</xdr:col>
      <xdr:colOff>462643</xdr:colOff>
      <xdr:row>34</xdr:row>
      <xdr:rowOff>176893</xdr:rowOff>
    </xdr:to>
    <xdr:sp macro="" textlink="">
      <xdr:nvSpPr>
        <xdr:cNvPr id="3" name="矩形 2"/>
        <xdr:cNvSpPr/>
      </xdr:nvSpPr>
      <xdr:spPr>
        <a:xfrm>
          <a:off x="3001735" y="6896100"/>
          <a:ext cx="2947308" cy="405493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zh-TW" altLang="en-US" sz="1100"/>
        </a:p>
      </xdr:txBody>
    </xdr:sp>
    <xdr:clientData/>
  </xdr:twoCellAnchor>
  <xdr:twoCellAnchor editAs="oneCell">
    <xdr:from>
      <xdr:col>0</xdr:col>
      <xdr:colOff>0</xdr:colOff>
      <xdr:row>37</xdr:row>
      <xdr:rowOff>0</xdr:rowOff>
    </xdr:from>
    <xdr:to>
      <xdr:col>17</xdr:col>
      <xdr:colOff>438150</xdr:colOff>
      <xdr:row>70</xdr:row>
      <xdr:rowOff>142875</xdr:rowOff>
    </xdr:to>
    <xdr:pic>
      <xdr:nvPicPr>
        <xdr:cNvPr id="4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0" y="7753350"/>
          <a:ext cx="12096750" cy="705802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>
    <xdr:from>
      <xdr:col>0</xdr:col>
      <xdr:colOff>0</xdr:colOff>
      <xdr:row>40</xdr:row>
      <xdr:rowOff>16328</xdr:rowOff>
    </xdr:from>
    <xdr:to>
      <xdr:col>2</xdr:col>
      <xdr:colOff>544286</xdr:colOff>
      <xdr:row>42</xdr:row>
      <xdr:rowOff>108857</xdr:rowOff>
    </xdr:to>
    <xdr:sp macro="" textlink="">
      <xdr:nvSpPr>
        <xdr:cNvPr id="5" name="矩形 4"/>
        <xdr:cNvSpPr/>
      </xdr:nvSpPr>
      <xdr:spPr>
        <a:xfrm>
          <a:off x="0" y="8398328"/>
          <a:ext cx="1915886" cy="511629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zh-TW" altLang="en-US" sz="1100"/>
        </a:p>
      </xdr:txBody>
    </xdr:sp>
    <xdr:clientData/>
  </xdr:twoCellAnchor>
  <xdr:twoCellAnchor>
    <xdr:from>
      <xdr:col>3</xdr:col>
      <xdr:colOff>81644</xdr:colOff>
      <xdr:row>37</xdr:row>
      <xdr:rowOff>54428</xdr:rowOff>
    </xdr:from>
    <xdr:to>
      <xdr:col>4</xdr:col>
      <xdr:colOff>625928</xdr:colOff>
      <xdr:row>39</xdr:row>
      <xdr:rowOff>149678</xdr:rowOff>
    </xdr:to>
    <xdr:sp macro="" textlink="">
      <xdr:nvSpPr>
        <xdr:cNvPr id="6" name="直線圖說文字 2 5"/>
        <xdr:cNvSpPr/>
      </xdr:nvSpPr>
      <xdr:spPr>
        <a:xfrm>
          <a:off x="2139044" y="7807778"/>
          <a:ext cx="1230084" cy="514350"/>
        </a:xfrm>
        <a:prstGeom prst="borderCallout2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zh-TW" altLang="en-US" sz="1100"/>
            <a:t>選擇</a:t>
          </a:r>
          <a:r>
            <a:rPr lang="en-US" altLang="zh-TW" sz="1100"/>
            <a:t>7571</a:t>
          </a:r>
          <a:r>
            <a:rPr lang="zh-TW" altLang="en-US" sz="1100"/>
            <a:t> </a:t>
          </a:r>
          <a:r>
            <a:rPr lang="en-US" altLang="zh-TW" sz="1100"/>
            <a:t>RUN</a:t>
          </a:r>
          <a:r>
            <a:rPr lang="zh-TW" altLang="en-US" sz="1100"/>
            <a:t>貨日期</a:t>
          </a:r>
        </a:p>
      </xdr:txBody>
    </xdr:sp>
    <xdr:clientData/>
  </xdr:twoCellAnchor>
  <xdr:twoCellAnchor>
    <xdr:from>
      <xdr:col>0</xdr:col>
      <xdr:colOff>43542</xdr:colOff>
      <xdr:row>58</xdr:row>
      <xdr:rowOff>46264</xdr:rowOff>
    </xdr:from>
    <xdr:to>
      <xdr:col>2</xdr:col>
      <xdr:colOff>639535</xdr:colOff>
      <xdr:row>61</xdr:row>
      <xdr:rowOff>163285</xdr:rowOff>
    </xdr:to>
    <xdr:sp macro="" textlink="">
      <xdr:nvSpPr>
        <xdr:cNvPr id="7" name="矩形 6"/>
        <xdr:cNvSpPr/>
      </xdr:nvSpPr>
      <xdr:spPr>
        <a:xfrm>
          <a:off x="43542" y="12200164"/>
          <a:ext cx="1967593" cy="745671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zh-TW" altLang="en-US" sz="1100"/>
        </a:p>
      </xdr:txBody>
    </xdr:sp>
    <xdr:clientData/>
  </xdr:twoCellAnchor>
  <xdr:twoCellAnchor>
    <xdr:from>
      <xdr:col>3</xdr:col>
      <xdr:colOff>451758</xdr:colOff>
      <xdr:row>56</xdr:row>
      <xdr:rowOff>29935</xdr:rowOff>
    </xdr:from>
    <xdr:to>
      <xdr:col>6</xdr:col>
      <xdr:colOff>68036</xdr:colOff>
      <xdr:row>59</xdr:row>
      <xdr:rowOff>136072</xdr:rowOff>
    </xdr:to>
    <xdr:sp macro="" textlink="">
      <xdr:nvSpPr>
        <xdr:cNvPr id="8" name="直線圖說文字 2 7"/>
        <xdr:cNvSpPr/>
      </xdr:nvSpPr>
      <xdr:spPr>
        <a:xfrm>
          <a:off x="2509158" y="11764735"/>
          <a:ext cx="1673678" cy="734787"/>
        </a:xfrm>
        <a:prstGeom prst="borderCallout2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zh-TW" altLang="en-US" sz="1100"/>
            <a:t>選擇</a:t>
          </a:r>
          <a:r>
            <a:rPr lang="en-US" altLang="zh-TW" sz="1100"/>
            <a:t>7571</a:t>
          </a:r>
          <a:r>
            <a:rPr lang="zh-TW" altLang="en-US" sz="1100"/>
            <a:t> </a:t>
          </a:r>
          <a:r>
            <a:rPr lang="en-US" altLang="zh-TW" sz="1100"/>
            <a:t>RUN</a:t>
          </a:r>
          <a:r>
            <a:rPr lang="zh-TW" altLang="en-US" sz="1100"/>
            <a:t>貨日期</a:t>
          </a:r>
          <a:endParaRPr lang="en-US" altLang="zh-TW" sz="1100"/>
        </a:p>
        <a:p>
          <a:pPr algn="ctr"/>
          <a:r>
            <a:rPr lang="en-US" altLang="zh-TW" sz="1100"/>
            <a:t>TYPE</a:t>
          </a:r>
          <a:r>
            <a:rPr lang="zh-TW" altLang="en-US" sz="1100"/>
            <a:t>選擇</a:t>
          </a:r>
          <a:r>
            <a:rPr lang="en-US" altLang="zh-TW" sz="1100"/>
            <a:t>Defect</a:t>
          </a:r>
          <a:endParaRPr lang="zh-TW" altLang="en-US" sz="1100"/>
        </a:p>
      </xdr:txBody>
    </xdr:sp>
    <xdr:clientData/>
  </xdr:twoCellAnchor>
  <xdr:twoCellAnchor>
    <xdr:from>
      <xdr:col>0</xdr:col>
      <xdr:colOff>43542</xdr:colOff>
      <xdr:row>69</xdr:row>
      <xdr:rowOff>84365</xdr:rowOff>
    </xdr:from>
    <xdr:to>
      <xdr:col>2</xdr:col>
      <xdr:colOff>653143</xdr:colOff>
      <xdr:row>71</xdr:row>
      <xdr:rowOff>0</xdr:rowOff>
    </xdr:to>
    <xdr:sp macro="" textlink="">
      <xdr:nvSpPr>
        <xdr:cNvPr id="9" name="矩形 8"/>
        <xdr:cNvSpPr/>
      </xdr:nvSpPr>
      <xdr:spPr>
        <a:xfrm>
          <a:off x="43542" y="14543315"/>
          <a:ext cx="1981201" cy="334735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zh-TW" altLang="en-US" sz="1100"/>
        </a:p>
      </xdr:txBody>
    </xdr:sp>
    <xdr:clientData/>
  </xdr:twoCellAnchor>
  <xdr:twoCellAnchor editAs="oneCell">
    <xdr:from>
      <xdr:col>0</xdr:col>
      <xdr:colOff>0</xdr:colOff>
      <xdr:row>71</xdr:row>
      <xdr:rowOff>0</xdr:rowOff>
    </xdr:from>
    <xdr:to>
      <xdr:col>17</xdr:col>
      <xdr:colOff>466725</xdr:colOff>
      <xdr:row>106</xdr:row>
      <xdr:rowOff>57150</xdr:rowOff>
    </xdr:to>
    <xdr:pic>
      <xdr:nvPicPr>
        <xdr:cNvPr id="10" name="Picture 3"/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0" y="14878050"/>
          <a:ext cx="12125325" cy="73914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>
    <xdr:from>
      <xdr:col>0</xdr:col>
      <xdr:colOff>32656</xdr:colOff>
      <xdr:row>105</xdr:row>
      <xdr:rowOff>5443</xdr:rowOff>
    </xdr:from>
    <xdr:to>
      <xdr:col>2</xdr:col>
      <xdr:colOff>642257</xdr:colOff>
      <xdr:row>106</xdr:row>
      <xdr:rowOff>125185</xdr:rowOff>
    </xdr:to>
    <xdr:sp macro="" textlink="">
      <xdr:nvSpPr>
        <xdr:cNvPr id="11" name="矩形 10"/>
        <xdr:cNvSpPr/>
      </xdr:nvSpPr>
      <xdr:spPr>
        <a:xfrm>
          <a:off x="32656" y="22008193"/>
          <a:ext cx="1981201" cy="329292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zh-TW" altLang="en-US" sz="1100"/>
        </a:p>
      </xdr:txBody>
    </xdr:sp>
    <xdr:clientData/>
  </xdr:twoCellAnchor>
  <xdr:twoCellAnchor>
    <xdr:from>
      <xdr:col>3</xdr:col>
      <xdr:colOff>617764</xdr:colOff>
      <xdr:row>101</xdr:row>
      <xdr:rowOff>195943</xdr:rowOff>
    </xdr:from>
    <xdr:to>
      <xdr:col>6</xdr:col>
      <xdr:colOff>234042</xdr:colOff>
      <xdr:row>105</xdr:row>
      <xdr:rowOff>97972</xdr:rowOff>
    </xdr:to>
    <xdr:sp macro="" textlink="">
      <xdr:nvSpPr>
        <xdr:cNvPr id="12" name="直線圖說文字 2 11"/>
        <xdr:cNvSpPr/>
      </xdr:nvSpPr>
      <xdr:spPr>
        <a:xfrm>
          <a:off x="2675164" y="21360493"/>
          <a:ext cx="1673678" cy="740229"/>
        </a:xfrm>
        <a:prstGeom prst="borderCallout2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zh-TW" altLang="en-US" sz="1100"/>
            <a:t>滙出</a:t>
          </a:r>
          <a:r>
            <a:rPr lang="en-US" altLang="zh-TW" sz="1100"/>
            <a:t>Execl</a:t>
          </a:r>
          <a:endParaRPr lang="zh-TW" altLang="en-US" sz="11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jill16.chiu/Desktop/RVRP_TACT%20TIME_CAPA_&#35430;&#31639;&#34920;_201812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INSP&#32318;&#25928;&#25563;&#31639;.xlsx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main"/>
      <sheetName val="動作時序"/>
      <sheetName val="Sheet1"/>
      <sheetName val="Sheet2"/>
      <sheetName val=" RVRP Tact Time 預估工具"/>
      <sheetName val="設定"/>
    </sheetNames>
    <sheetDataSet>
      <sheetData sheetId="0">
        <row r="2">
          <cell r="E2">
            <v>7</v>
          </cell>
          <cell r="G2">
            <v>22.8</v>
          </cell>
          <cell r="I2">
            <v>12</v>
          </cell>
          <cell r="K2">
            <v>88</v>
          </cell>
        </row>
      </sheetData>
      <sheetData sheetId="1"/>
      <sheetData sheetId="2"/>
      <sheetData sheetId="3"/>
      <sheetData sheetId="4"/>
      <sheetData sheetId="5"/>
    </sheetDataSet>
  </externalBook>
</externalLink>
</file>

<file path=xl/externalLinks/externalLink2.xml><?xml version="1.0" encoding="utf-8"?>
<externalLink xmlns="http://schemas.openxmlformats.org/spreadsheetml/2006/main">
  <externalBook xmlns:r="http://schemas.openxmlformats.org/officeDocument/2006/relationships" r:id="rId1">
    <sheetNames>
      <sheetName val="INSP績效管理"/>
      <sheetName val="換算"/>
      <sheetName val="流程"/>
      <sheetName val="PDCA"/>
      <sheetName val=" RVRP Tact Time 預估工具"/>
      <sheetName val="設定"/>
      <sheetName val="平均P點計算"/>
    </sheetNames>
    <sheetDataSet>
      <sheetData sheetId="0"/>
      <sheetData sheetId="1"/>
      <sheetData sheetId="2"/>
      <sheetData sheetId="3"/>
      <sheetData sheetId="4"/>
      <sheetData sheetId="5">
        <row r="4">
          <cell r="A4" t="str">
            <v>產品</v>
          </cell>
          <cell r="B4" t="str">
            <v>分類</v>
          </cell>
          <cell r="C4" t="str">
            <v>測高成功率</v>
          </cell>
          <cell r="D4" t="str">
            <v>平均抓點率</v>
          </cell>
          <cell r="E4" t="str">
            <v>平均研磨次數</v>
          </cell>
        </row>
        <row r="5">
          <cell r="A5" t="str">
            <v>E021</v>
          </cell>
          <cell r="B5" t="str">
            <v>IPS</v>
          </cell>
          <cell r="C5">
            <v>0.73</v>
          </cell>
          <cell r="D5">
            <v>1.32</v>
          </cell>
          <cell r="E5">
            <v>3.2</v>
          </cell>
        </row>
        <row r="6">
          <cell r="A6" t="str">
            <v>F647</v>
          </cell>
          <cell r="B6" t="str">
            <v>IPS</v>
          </cell>
          <cell r="C6">
            <v>0.73</v>
          </cell>
          <cell r="D6">
            <v>1.32</v>
          </cell>
          <cell r="E6">
            <v>3.2</v>
          </cell>
        </row>
        <row r="7">
          <cell r="A7" t="str">
            <v>6516</v>
          </cell>
          <cell r="B7" t="str">
            <v>IPS</v>
          </cell>
          <cell r="C7">
            <v>0.73</v>
          </cell>
          <cell r="D7">
            <v>1.32</v>
          </cell>
          <cell r="E7">
            <v>3.2</v>
          </cell>
        </row>
        <row r="8">
          <cell r="A8" t="str">
            <v>F654</v>
          </cell>
          <cell r="B8" t="str">
            <v>TN</v>
          </cell>
          <cell r="C8">
            <v>0.7</v>
          </cell>
          <cell r="D8">
            <v>1.43</v>
          </cell>
          <cell r="E8">
            <v>1.97</v>
          </cell>
        </row>
        <row r="9">
          <cell r="A9" t="str">
            <v>R007</v>
          </cell>
          <cell r="B9" t="str">
            <v>IPS</v>
          </cell>
          <cell r="C9">
            <v>0.73</v>
          </cell>
          <cell r="D9">
            <v>1.32</v>
          </cell>
          <cell r="E9">
            <v>3.2</v>
          </cell>
        </row>
        <row r="10">
          <cell r="A10" t="str">
            <v>A801</v>
          </cell>
          <cell r="B10" t="str">
            <v>IPS</v>
          </cell>
          <cell r="C10">
            <v>0.73</v>
          </cell>
          <cell r="D10">
            <v>1.32</v>
          </cell>
          <cell r="E10">
            <v>3.2</v>
          </cell>
        </row>
        <row r="11">
          <cell r="A11" t="str">
            <v>D317</v>
          </cell>
          <cell r="B11" t="str">
            <v>IPS</v>
          </cell>
          <cell r="C11">
            <v>0.73</v>
          </cell>
          <cell r="D11">
            <v>1.32</v>
          </cell>
          <cell r="E11">
            <v>3.2</v>
          </cell>
        </row>
      </sheetData>
      <sheetData sheetId="6"/>
    </sheetDataSet>
  </externalBook>
</externalLink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3"/>
  <dimension ref="A1:W51"/>
  <sheetViews>
    <sheetView workbookViewId="0">
      <selection activeCell="J29" sqref="J29"/>
    </sheetView>
  </sheetViews>
  <sheetFormatPr defaultRowHeight="16.5"/>
  <sheetData>
    <row r="1" spans="1:23">
      <c r="A1" s="3" t="s">
        <v>0</v>
      </c>
      <c r="B1" s="3" t="s">
        <v>1</v>
      </c>
      <c r="S1" t="s">
        <v>6</v>
      </c>
      <c r="T1" t="s">
        <v>7</v>
      </c>
      <c r="V1" t="s">
        <v>8</v>
      </c>
      <c r="W1" t="s">
        <v>9</v>
      </c>
    </row>
    <row r="2" spans="1:23">
      <c r="A2" s="3" t="s">
        <v>5</v>
      </c>
      <c r="B2" s="3" t="s">
        <v>2</v>
      </c>
      <c r="S2">
        <v>1571</v>
      </c>
      <c r="T2">
        <v>0.6</v>
      </c>
      <c r="U2" t="s">
        <v>10</v>
      </c>
      <c r="V2" t="s">
        <v>11</v>
      </c>
      <c r="W2">
        <v>6000</v>
      </c>
    </row>
    <row r="3" spans="1:23">
      <c r="A3" s="3" t="s">
        <v>4</v>
      </c>
      <c r="B3" s="3" t="s">
        <v>3</v>
      </c>
      <c r="S3">
        <v>2571</v>
      </c>
      <c r="T3">
        <v>1.8</v>
      </c>
      <c r="U3" t="s">
        <v>10</v>
      </c>
      <c r="V3" t="s">
        <v>12</v>
      </c>
      <c r="W3">
        <v>12000</v>
      </c>
    </row>
    <row r="4" spans="1:23">
      <c r="A4" s="3" t="s">
        <v>23</v>
      </c>
      <c r="S4">
        <v>2971</v>
      </c>
      <c r="T4">
        <v>0.5</v>
      </c>
      <c r="U4" t="s">
        <v>10</v>
      </c>
      <c r="V4" t="s">
        <v>13</v>
      </c>
      <c r="W4">
        <v>18000</v>
      </c>
    </row>
    <row r="5" spans="1:23">
      <c r="S5">
        <v>3571</v>
      </c>
      <c r="T5">
        <v>1.4</v>
      </c>
      <c r="U5" t="s">
        <v>10</v>
      </c>
      <c r="V5" t="s">
        <v>14</v>
      </c>
      <c r="W5">
        <v>24000</v>
      </c>
    </row>
    <row r="6" spans="1:23">
      <c r="S6">
        <v>4571</v>
      </c>
      <c r="T6">
        <v>0.9</v>
      </c>
      <c r="V6" t="s">
        <v>15</v>
      </c>
      <c r="W6">
        <v>30000</v>
      </c>
    </row>
    <row r="7" spans="1:23">
      <c r="S7">
        <v>4575</v>
      </c>
      <c r="T7">
        <v>0.3</v>
      </c>
      <c r="V7" t="s">
        <v>16</v>
      </c>
      <c r="W7">
        <v>30000</v>
      </c>
    </row>
    <row r="8" spans="1:23">
      <c r="S8">
        <v>5571</v>
      </c>
      <c r="T8">
        <v>0.9</v>
      </c>
      <c r="U8" t="s">
        <v>10</v>
      </c>
      <c r="V8" t="s">
        <v>17</v>
      </c>
      <c r="W8">
        <v>36000</v>
      </c>
    </row>
    <row r="9" spans="1:23">
      <c r="S9">
        <v>7271</v>
      </c>
      <c r="T9">
        <v>0.8</v>
      </c>
      <c r="U9" t="s">
        <v>10</v>
      </c>
      <c r="V9" t="s">
        <v>18</v>
      </c>
      <c r="W9">
        <v>42000</v>
      </c>
    </row>
    <row r="10" spans="1:23">
      <c r="S10">
        <v>7571</v>
      </c>
      <c r="T10">
        <v>1</v>
      </c>
      <c r="V10" t="s">
        <v>19</v>
      </c>
      <c r="W10">
        <v>48000</v>
      </c>
    </row>
    <row r="11" spans="1:23">
      <c r="S11">
        <v>8571</v>
      </c>
      <c r="T11">
        <v>0.8</v>
      </c>
      <c r="U11" t="s">
        <v>10</v>
      </c>
      <c r="V11" t="s">
        <v>20</v>
      </c>
      <c r="W11">
        <v>54000</v>
      </c>
    </row>
    <row r="12" spans="1:23">
      <c r="S12">
        <v>9571</v>
      </c>
      <c r="T12">
        <v>1.3</v>
      </c>
      <c r="V12" t="s">
        <v>21</v>
      </c>
      <c r="W12">
        <v>54000</v>
      </c>
    </row>
    <row r="13" spans="1:23">
      <c r="V13" t="s">
        <v>22</v>
      </c>
      <c r="W13">
        <v>60000</v>
      </c>
    </row>
    <row r="51" spans="11:11">
      <c r="K51">
        <v>6351.3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7"/>
  <dimension ref="A1:V91"/>
  <sheetViews>
    <sheetView tabSelected="1" zoomScaleNormal="100" workbookViewId="0">
      <selection activeCell="L80" sqref="L80"/>
    </sheetView>
  </sheetViews>
  <sheetFormatPr defaultRowHeight="16.5"/>
  <cols>
    <col min="1" max="1" width="9" style="1"/>
    <col min="2" max="2" width="11.125" style="1" customWidth="1"/>
    <col min="3" max="3" width="16.375" style="1" bestFit="1" customWidth="1"/>
    <col min="4" max="5" width="14.625" style="1" customWidth="1"/>
    <col min="6" max="6" width="14.75" style="1" customWidth="1"/>
    <col min="7" max="7" width="14.75" style="1" bestFit="1" customWidth="1"/>
    <col min="8" max="9" width="14.625" style="1" customWidth="1"/>
    <col min="10" max="14" width="9" style="1"/>
    <col min="15" max="15" width="16.75" style="1" bestFit="1" customWidth="1"/>
    <col min="16" max="16" width="14.75" style="1" customWidth="1"/>
    <col min="17" max="21" width="14.625" style="1" customWidth="1"/>
    <col min="22" max="16384" width="9" style="1"/>
  </cols>
  <sheetData>
    <row r="1" spans="1:22" ht="21">
      <c r="B1" s="113" t="s">
        <v>117</v>
      </c>
      <c r="C1" s="113"/>
      <c r="D1" s="113"/>
      <c r="E1" s="113"/>
      <c r="F1" s="113"/>
      <c r="G1" s="113"/>
      <c r="H1" s="113"/>
      <c r="I1" s="113"/>
      <c r="N1" s="113" t="s">
        <v>31</v>
      </c>
      <c r="O1" s="113"/>
      <c r="P1" s="113"/>
      <c r="Q1" s="113"/>
      <c r="R1" s="113"/>
      <c r="S1" s="113"/>
      <c r="T1" s="113"/>
      <c r="U1" s="113"/>
    </row>
    <row r="2" spans="1:22">
      <c r="A2" s="5"/>
      <c r="B2" s="122" t="s">
        <v>24</v>
      </c>
      <c r="C2" s="122"/>
      <c r="D2" s="6" t="s">
        <v>119</v>
      </c>
      <c r="E2" s="6" t="s">
        <v>120</v>
      </c>
      <c r="F2" s="6" t="s">
        <v>121</v>
      </c>
      <c r="G2" s="6"/>
      <c r="H2" s="6"/>
      <c r="I2" s="6"/>
      <c r="J2" s="5"/>
      <c r="M2" s="12"/>
      <c r="N2" s="126" t="s">
        <v>24</v>
      </c>
      <c r="O2" s="126"/>
      <c r="P2" s="13"/>
      <c r="Q2" s="13"/>
      <c r="R2" s="13"/>
      <c r="S2" s="13"/>
      <c r="T2" s="13"/>
      <c r="U2" s="13"/>
      <c r="V2" s="12"/>
    </row>
    <row r="3" spans="1:22">
      <c r="A3" s="5"/>
      <c r="B3" s="123">
        <v>0.37847222222222227</v>
      </c>
      <c r="C3" s="6" t="s">
        <v>25</v>
      </c>
      <c r="D3" s="6">
        <v>110</v>
      </c>
      <c r="E3" s="6">
        <v>134</v>
      </c>
      <c r="F3" s="6">
        <v>124</v>
      </c>
      <c r="G3" s="6"/>
      <c r="H3" s="6"/>
      <c r="I3" s="6"/>
      <c r="J3" s="5"/>
      <c r="M3" s="12"/>
      <c r="N3" s="127">
        <v>0.37847222222222227</v>
      </c>
      <c r="O3" s="13" t="s">
        <v>25</v>
      </c>
      <c r="P3" s="13"/>
      <c r="Q3" s="13"/>
      <c r="R3" s="13"/>
      <c r="S3" s="13"/>
      <c r="T3" s="13"/>
      <c r="U3" s="13"/>
      <c r="V3" s="12"/>
    </row>
    <row r="4" spans="1:22">
      <c r="A4" s="5"/>
      <c r="B4" s="124"/>
      <c r="C4" s="6" t="s">
        <v>26</v>
      </c>
      <c r="D4" s="6">
        <v>3253</v>
      </c>
      <c r="E4" s="6">
        <v>4103</v>
      </c>
      <c r="F4" s="6">
        <v>4900</v>
      </c>
      <c r="G4" s="6"/>
      <c r="H4" s="6"/>
      <c r="I4" s="6"/>
      <c r="J4" s="5"/>
      <c r="M4" s="12"/>
      <c r="N4" s="128"/>
      <c r="O4" s="13" t="s">
        <v>26</v>
      </c>
      <c r="P4" s="13"/>
      <c r="Q4" s="13"/>
      <c r="R4" s="13"/>
      <c r="S4" s="13"/>
      <c r="T4" s="13"/>
      <c r="U4" s="13"/>
      <c r="V4" s="12"/>
    </row>
    <row r="5" spans="1:22">
      <c r="A5" s="5"/>
      <c r="B5" s="124"/>
      <c r="C5" s="6" t="s">
        <v>27</v>
      </c>
      <c r="D5" s="7">
        <v>0.42459502927525944</v>
      </c>
      <c r="E5" s="7">
        <v>0.50368415494199026</v>
      </c>
      <c r="F5" s="7">
        <v>0.4989512252184205</v>
      </c>
      <c r="G5" s="7"/>
      <c r="H5" s="7"/>
      <c r="I5" s="7"/>
      <c r="J5" s="5"/>
      <c r="M5" s="12"/>
      <c r="N5" s="128"/>
      <c r="O5" s="13" t="s">
        <v>27</v>
      </c>
      <c r="P5" s="14"/>
      <c r="Q5" s="14"/>
      <c r="R5" s="14"/>
      <c r="S5" s="14"/>
      <c r="T5" s="14"/>
      <c r="U5" s="14"/>
      <c r="V5" s="12"/>
    </row>
    <row r="6" spans="1:22">
      <c r="A6" s="5"/>
      <c r="B6" s="124"/>
      <c r="C6" s="6" t="s">
        <v>28</v>
      </c>
      <c r="D6" s="8">
        <v>1.65</v>
      </c>
      <c r="E6" s="8">
        <v>1.7166666666666666</v>
      </c>
      <c r="F6" s="8">
        <v>1.75</v>
      </c>
      <c r="G6" s="8"/>
      <c r="H6" s="8"/>
      <c r="I6" s="8"/>
      <c r="J6" s="5"/>
      <c r="M6" s="12"/>
      <c r="N6" s="128"/>
      <c r="O6" s="13" t="s">
        <v>28</v>
      </c>
      <c r="P6" s="15"/>
      <c r="Q6" s="15"/>
      <c r="R6" s="15"/>
      <c r="S6" s="15"/>
      <c r="T6" s="15"/>
      <c r="U6" s="15"/>
      <c r="V6" s="12"/>
    </row>
    <row r="7" spans="1:22">
      <c r="A7" s="5"/>
      <c r="B7" s="125"/>
      <c r="C7" s="6" t="s">
        <v>29</v>
      </c>
      <c r="D7" s="8">
        <v>7661.4180000000006</v>
      </c>
      <c r="E7" s="8">
        <v>8145.9779104477602</v>
      </c>
      <c r="F7" s="8">
        <v>9820.5991935483871</v>
      </c>
      <c r="G7" s="8"/>
      <c r="H7" s="6"/>
      <c r="I7" s="6"/>
      <c r="J7" s="5"/>
      <c r="M7" s="12"/>
      <c r="N7" s="129"/>
      <c r="O7" s="13" t="s">
        <v>32</v>
      </c>
      <c r="P7" s="15"/>
      <c r="Q7" s="13"/>
      <c r="R7" s="13"/>
      <c r="S7" s="13"/>
      <c r="T7" s="13"/>
      <c r="U7" s="13"/>
      <c r="V7" s="12"/>
    </row>
    <row r="8" spans="1:22">
      <c r="A8" s="5"/>
      <c r="B8" s="5"/>
      <c r="C8" s="5"/>
      <c r="D8" s="5"/>
      <c r="E8" s="5"/>
      <c r="F8" s="5"/>
      <c r="G8" s="5"/>
      <c r="H8" s="5"/>
      <c r="I8" s="5"/>
      <c r="J8" s="5"/>
      <c r="K8"/>
      <c r="M8" s="12"/>
      <c r="N8" s="12"/>
      <c r="O8" s="12"/>
      <c r="P8" s="12"/>
      <c r="Q8" s="12"/>
      <c r="R8" s="12"/>
      <c r="S8" s="12"/>
      <c r="T8" s="12"/>
      <c r="U8" s="12"/>
      <c r="V8" s="12"/>
    </row>
    <row r="9" spans="1:22">
      <c r="A9" s="5"/>
      <c r="B9" s="5"/>
      <c r="C9" s="5"/>
      <c r="D9" s="5"/>
      <c r="E9" s="5"/>
      <c r="F9" s="5"/>
      <c r="G9" s="5"/>
      <c r="H9" s="5"/>
      <c r="I9" s="5"/>
      <c r="J9" s="5"/>
      <c r="M9" s="12"/>
      <c r="N9" s="12"/>
      <c r="O9" s="12"/>
      <c r="P9" s="12"/>
      <c r="Q9" s="12"/>
      <c r="R9" s="12"/>
      <c r="S9" s="12"/>
      <c r="T9" s="12"/>
      <c r="U9" s="12"/>
      <c r="V9" s="12"/>
    </row>
    <row r="10" spans="1:22">
      <c r="A10" s="5"/>
      <c r="B10" s="5"/>
      <c r="C10" s="5"/>
      <c r="D10" s="5"/>
      <c r="E10" s="5"/>
      <c r="F10" s="5"/>
      <c r="G10" s="5"/>
      <c r="H10" s="5"/>
      <c r="I10" s="5"/>
      <c r="J10" s="5"/>
      <c r="M10" s="12"/>
      <c r="N10" s="12"/>
      <c r="O10" s="12"/>
      <c r="P10" s="12"/>
      <c r="Q10" s="12"/>
      <c r="R10" s="12"/>
      <c r="S10" s="12"/>
      <c r="T10" s="12"/>
      <c r="U10" s="12"/>
      <c r="V10" s="12"/>
    </row>
    <row r="11" spans="1:22">
      <c r="A11" s="5"/>
      <c r="B11" s="5"/>
      <c r="C11" s="5"/>
      <c r="D11" s="5"/>
      <c r="E11" s="5"/>
      <c r="F11" s="5"/>
      <c r="G11" s="5"/>
      <c r="H11" s="5"/>
      <c r="I11" s="5"/>
      <c r="J11" s="5"/>
      <c r="M11" s="12"/>
      <c r="N11" s="12"/>
      <c r="O11" s="12"/>
      <c r="P11" s="12"/>
      <c r="Q11" s="12"/>
      <c r="R11" s="12"/>
      <c r="S11" s="12"/>
      <c r="T11" s="12"/>
      <c r="U11" s="12"/>
      <c r="V11" s="12"/>
    </row>
    <row r="12" spans="1:22">
      <c r="A12" s="5"/>
      <c r="B12" s="5"/>
      <c r="C12" s="5"/>
      <c r="D12" s="5"/>
      <c r="E12" s="5"/>
      <c r="F12" s="5"/>
      <c r="G12" s="5"/>
      <c r="H12" s="5"/>
      <c r="I12" s="5"/>
      <c r="J12" s="5"/>
      <c r="M12" s="12"/>
      <c r="N12" s="12"/>
      <c r="O12" s="12"/>
      <c r="P12" s="12"/>
      <c r="Q12" s="12"/>
      <c r="R12" s="12"/>
      <c r="S12" s="12"/>
      <c r="T12" s="12"/>
      <c r="U12" s="12"/>
      <c r="V12" s="12"/>
    </row>
    <row r="13" spans="1:22">
      <c r="A13" s="5"/>
      <c r="B13" s="5"/>
      <c r="C13" s="5"/>
      <c r="D13" s="5"/>
      <c r="E13" s="5"/>
      <c r="F13" s="5"/>
      <c r="G13" s="5"/>
      <c r="H13" s="5"/>
      <c r="I13" s="5"/>
      <c r="J13" s="5"/>
      <c r="M13" s="12"/>
      <c r="N13" s="12"/>
      <c r="O13" s="12"/>
      <c r="P13" s="12"/>
      <c r="Q13" s="12"/>
      <c r="R13" s="12"/>
      <c r="S13" s="12"/>
      <c r="T13" s="12"/>
      <c r="U13" s="12"/>
      <c r="V13" s="12"/>
    </row>
    <row r="14" spans="1:22">
      <c r="A14" s="5"/>
      <c r="B14" s="5"/>
      <c r="C14" s="5"/>
      <c r="D14" s="5"/>
      <c r="E14" s="5"/>
      <c r="F14" s="5"/>
      <c r="G14" s="5"/>
      <c r="H14" s="5"/>
      <c r="I14" s="5"/>
      <c r="J14" s="5"/>
      <c r="M14" s="12"/>
      <c r="N14" s="12"/>
      <c r="O14" s="12"/>
      <c r="P14" s="12"/>
      <c r="Q14" s="12"/>
      <c r="R14" s="12"/>
      <c r="S14" s="12"/>
      <c r="T14" s="12"/>
      <c r="U14" s="12"/>
      <c r="V14" s="12"/>
    </row>
    <row r="15" spans="1:22">
      <c r="A15" s="5"/>
      <c r="B15" s="5"/>
      <c r="C15" s="5"/>
      <c r="D15" s="5"/>
      <c r="E15" s="5"/>
      <c r="F15" s="5"/>
      <c r="G15" s="5"/>
      <c r="H15" s="5"/>
      <c r="I15" s="5"/>
      <c r="J15" s="5"/>
      <c r="M15" s="12"/>
      <c r="N15" s="12"/>
      <c r="O15" s="12"/>
      <c r="P15" s="12"/>
      <c r="Q15" s="12"/>
      <c r="R15" s="12"/>
      <c r="S15" s="12"/>
      <c r="T15" s="12"/>
      <c r="U15" s="12"/>
      <c r="V15" s="12"/>
    </row>
    <row r="16" spans="1:22">
      <c r="A16" s="5"/>
      <c r="B16" s="5"/>
      <c r="C16" s="5"/>
      <c r="D16" s="5"/>
      <c r="E16" s="5"/>
      <c r="F16" s="5"/>
      <c r="G16" s="5"/>
      <c r="H16" s="5"/>
      <c r="I16" s="5"/>
      <c r="J16" s="5"/>
      <c r="M16" s="12"/>
      <c r="N16" s="12"/>
      <c r="O16" s="12"/>
      <c r="P16" s="12"/>
      <c r="Q16" s="12"/>
      <c r="R16" s="12"/>
      <c r="S16" s="12"/>
      <c r="T16" s="12"/>
      <c r="U16" s="12"/>
      <c r="V16" s="12"/>
    </row>
    <row r="17" spans="1:22">
      <c r="A17" s="5"/>
      <c r="B17" s="5"/>
      <c r="C17" s="5"/>
      <c r="D17" s="5"/>
      <c r="E17" s="5"/>
      <c r="F17" s="5"/>
      <c r="G17" s="5"/>
      <c r="H17" s="5"/>
      <c r="I17" s="5"/>
      <c r="J17" s="5"/>
      <c r="M17" s="12"/>
      <c r="N17" s="12"/>
      <c r="O17" s="12"/>
      <c r="P17" s="12"/>
      <c r="Q17" s="12"/>
      <c r="R17" s="12"/>
      <c r="S17" s="12"/>
      <c r="T17" s="12"/>
      <c r="U17" s="12"/>
      <c r="V17" s="12"/>
    </row>
    <row r="18" spans="1:22">
      <c r="A18" s="5"/>
      <c r="B18" s="5"/>
      <c r="C18" s="5"/>
      <c r="D18" s="5"/>
      <c r="E18" s="5"/>
      <c r="F18" s="5"/>
      <c r="G18" s="5"/>
      <c r="H18" s="5"/>
      <c r="I18" s="5"/>
      <c r="J18" s="5"/>
      <c r="K18" s="4"/>
      <c r="M18" s="12"/>
      <c r="N18" s="12"/>
      <c r="O18" s="12"/>
      <c r="P18" s="12"/>
      <c r="Q18" s="12"/>
      <c r="R18" s="12"/>
      <c r="S18" s="12"/>
      <c r="T18" s="12"/>
      <c r="U18" s="12"/>
      <c r="V18" s="12"/>
    </row>
    <row r="19" spans="1:22">
      <c r="A19" s="5"/>
      <c r="B19" s="5"/>
      <c r="C19" s="5"/>
      <c r="D19" s="5"/>
      <c r="E19" s="5"/>
      <c r="F19" s="5"/>
      <c r="G19" s="5"/>
      <c r="H19" s="5"/>
      <c r="I19" s="5"/>
      <c r="J19" s="9"/>
      <c r="K19" s="2"/>
      <c r="L19" s="2"/>
      <c r="M19" s="12"/>
      <c r="N19" s="12"/>
      <c r="O19" s="12"/>
      <c r="P19" s="12"/>
      <c r="Q19" s="12"/>
      <c r="R19" s="12"/>
      <c r="S19" s="12"/>
      <c r="T19" s="12"/>
      <c r="U19" s="12"/>
      <c r="V19" s="16"/>
    </row>
    <row r="20" spans="1:22">
      <c r="A20" s="5"/>
      <c r="B20" s="5"/>
      <c r="C20" s="5"/>
      <c r="D20" s="5"/>
      <c r="E20" s="5"/>
      <c r="F20" s="5"/>
      <c r="G20" s="5"/>
      <c r="H20" s="5"/>
      <c r="I20" s="5"/>
      <c r="J20" s="9"/>
      <c r="K20" s="2"/>
      <c r="L20" s="2"/>
      <c r="M20" s="12"/>
      <c r="N20" s="12"/>
      <c r="O20" s="12"/>
      <c r="P20" s="12"/>
      <c r="Q20" s="12"/>
      <c r="R20" s="12"/>
      <c r="S20" s="12"/>
      <c r="T20" s="12"/>
      <c r="U20" s="12"/>
      <c r="V20" s="16"/>
    </row>
    <row r="21" spans="1:22">
      <c r="A21" s="5"/>
      <c r="B21" s="5"/>
      <c r="C21" s="5"/>
      <c r="D21" s="5"/>
      <c r="E21" s="5"/>
      <c r="F21" s="5"/>
      <c r="G21" s="5"/>
      <c r="H21" s="5"/>
      <c r="I21" s="5"/>
      <c r="J21" s="9"/>
      <c r="K21" s="2"/>
      <c r="L21" s="2"/>
      <c r="M21" s="12"/>
      <c r="N21" s="12"/>
      <c r="O21" s="12"/>
      <c r="P21" s="12"/>
      <c r="Q21" s="12"/>
      <c r="R21" s="12"/>
      <c r="S21" s="12"/>
      <c r="T21" s="12"/>
      <c r="U21" s="12"/>
      <c r="V21" s="16"/>
    </row>
    <row r="22" spans="1:22" ht="21">
      <c r="A22" s="5"/>
      <c r="B22" s="5"/>
      <c r="C22" s="43" t="s">
        <v>131</v>
      </c>
      <c r="D22" s="45" t="s">
        <v>123</v>
      </c>
      <c r="E22" s="10"/>
      <c r="F22" s="11"/>
      <c r="G22" s="5"/>
      <c r="H22" s="5"/>
      <c r="I22" s="5"/>
      <c r="J22" s="9"/>
      <c r="K22" s="2"/>
      <c r="L22" s="2"/>
      <c r="M22" s="12"/>
      <c r="N22" s="12"/>
      <c r="O22" s="48" t="s">
        <v>131</v>
      </c>
      <c r="P22" s="49" t="s">
        <v>127</v>
      </c>
      <c r="Q22" s="17"/>
      <c r="R22" s="18"/>
      <c r="S22" s="12"/>
      <c r="T22" s="12"/>
      <c r="U22" s="12"/>
      <c r="V22" s="16"/>
    </row>
    <row r="23" spans="1:22">
      <c r="A23" s="5"/>
      <c r="B23" s="5"/>
      <c r="C23" s="5"/>
      <c r="D23" s="5"/>
      <c r="E23" s="5"/>
      <c r="F23" s="5"/>
      <c r="G23" s="5"/>
      <c r="H23" s="5"/>
      <c r="I23" s="5"/>
      <c r="J23" s="5"/>
      <c r="M23" s="12"/>
      <c r="N23" s="12"/>
      <c r="O23" s="12"/>
      <c r="P23" s="12"/>
      <c r="Q23" s="12"/>
      <c r="R23" s="12"/>
      <c r="S23" s="12"/>
      <c r="T23" s="12"/>
      <c r="U23" s="12"/>
      <c r="V23" s="12"/>
    </row>
    <row r="24" spans="1:22">
      <c r="A24" s="5"/>
      <c r="B24" s="5"/>
      <c r="C24" s="5"/>
      <c r="D24" s="5"/>
      <c r="E24" s="5"/>
      <c r="F24" s="5"/>
      <c r="G24" s="5"/>
      <c r="H24" s="5"/>
      <c r="I24" s="5"/>
      <c r="J24" s="5"/>
      <c r="M24" s="12"/>
      <c r="N24" s="12"/>
      <c r="O24" s="12"/>
      <c r="P24" s="12"/>
      <c r="Q24" s="12"/>
      <c r="R24" s="12"/>
      <c r="S24" s="12"/>
      <c r="T24" s="12"/>
      <c r="U24" s="12"/>
      <c r="V24" s="12"/>
    </row>
    <row r="25" spans="1:22">
      <c r="A25" s="5"/>
      <c r="B25" s="5"/>
      <c r="C25" s="5"/>
      <c r="D25" s="5"/>
      <c r="E25" s="5"/>
      <c r="F25" s="5"/>
      <c r="G25" s="5"/>
      <c r="H25" s="5"/>
      <c r="I25" s="5"/>
      <c r="J25" s="5"/>
      <c r="M25" s="12"/>
      <c r="N25" s="12"/>
      <c r="O25" s="12"/>
      <c r="P25" s="12"/>
      <c r="Q25" s="12"/>
      <c r="R25" s="12"/>
      <c r="S25" s="12"/>
      <c r="T25" s="12"/>
      <c r="U25" s="12"/>
      <c r="V25" s="12"/>
    </row>
    <row r="26" spans="1:22" ht="21">
      <c r="A26" s="5"/>
      <c r="B26" s="5"/>
      <c r="C26" s="43" t="s">
        <v>131</v>
      </c>
      <c r="D26" s="44" t="s">
        <v>124</v>
      </c>
      <c r="E26" s="11"/>
      <c r="F26" s="5"/>
      <c r="G26" s="11"/>
      <c r="H26" s="5"/>
      <c r="I26" s="5"/>
      <c r="J26" s="5"/>
      <c r="M26" s="12"/>
      <c r="N26" s="12"/>
      <c r="O26" s="48" t="s">
        <v>131</v>
      </c>
      <c r="P26" s="49" t="s">
        <v>128</v>
      </c>
      <c r="Q26" s="18"/>
      <c r="R26" s="18"/>
      <c r="S26" s="19"/>
      <c r="T26" s="12"/>
      <c r="U26" s="12"/>
      <c r="V26" s="12"/>
    </row>
    <row r="27" spans="1:22">
      <c r="A27" s="5"/>
      <c r="B27" s="5"/>
      <c r="C27" s="5"/>
      <c r="D27" s="5"/>
      <c r="E27" s="5"/>
      <c r="F27" s="5"/>
      <c r="G27" s="5"/>
      <c r="H27" s="5"/>
      <c r="I27" s="5"/>
      <c r="J27" s="5"/>
      <c r="M27" s="12"/>
      <c r="N27" s="12"/>
      <c r="O27" s="12"/>
      <c r="P27" s="12"/>
      <c r="Q27" s="12"/>
      <c r="R27" s="12"/>
      <c r="S27" s="12"/>
      <c r="T27" s="12"/>
      <c r="U27" s="12"/>
      <c r="V27" s="12"/>
    </row>
    <row r="28" spans="1:22">
      <c r="A28" s="5"/>
      <c r="B28" s="5"/>
      <c r="C28" s="5"/>
      <c r="D28" s="5"/>
      <c r="E28" s="5"/>
      <c r="F28" s="5"/>
      <c r="G28" s="5"/>
      <c r="H28" s="5"/>
      <c r="I28" s="5"/>
      <c r="J28" s="5"/>
      <c r="M28" s="12"/>
      <c r="N28" s="12"/>
      <c r="O28" s="12"/>
      <c r="P28" s="12"/>
      <c r="Q28" s="12"/>
      <c r="R28" s="12"/>
      <c r="S28" s="12"/>
      <c r="T28" s="12"/>
      <c r="U28" s="12"/>
      <c r="V28" s="12"/>
    </row>
    <row r="31" spans="1:22" ht="21">
      <c r="B31" s="113" t="s">
        <v>30</v>
      </c>
      <c r="C31" s="113"/>
      <c r="D31" s="113"/>
      <c r="E31" s="113"/>
      <c r="F31" s="113"/>
      <c r="G31" s="113"/>
      <c r="H31" s="113"/>
      <c r="I31" s="113"/>
      <c r="N31" s="113" t="s">
        <v>118</v>
      </c>
      <c r="O31" s="113"/>
      <c r="P31" s="113"/>
      <c r="Q31" s="113"/>
      <c r="R31" s="113"/>
      <c r="S31" s="113"/>
      <c r="T31" s="113"/>
      <c r="U31" s="113"/>
    </row>
    <row r="32" spans="1:22">
      <c r="A32" s="20"/>
      <c r="B32" s="118" t="s">
        <v>24</v>
      </c>
      <c r="C32" s="118"/>
      <c r="D32" s="21"/>
      <c r="E32" s="21"/>
      <c r="F32" s="21"/>
      <c r="G32" s="21"/>
      <c r="H32" s="21"/>
      <c r="I32" s="21"/>
      <c r="J32" s="20"/>
      <c r="M32" s="28"/>
      <c r="N32" s="114" t="s">
        <v>24</v>
      </c>
      <c r="O32" s="114"/>
      <c r="P32" s="29" t="s">
        <v>122</v>
      </c>
      <c r="Q32" s="29"/>
      <c r="R32" s="29"/>
      <c r="S32" s="29"/>
      <c r="T32" s="29"/>
      <c r="U32" s="29"/>
      <c r="V32" s="28"/>
    </row>
    <row r="33" spans="1:22">
      <c r="A33" s="20"/>
      <c r="B33" s="119">
        <v>0.37847222222222227</v>
      </c>
      <c r="C33" s="21" t="s">
        <v>25</v>
      </c>
      <c r="D33" s="21"/>
      <c r="E33" s="21"/>
      <c r="F33" s="21"/>
      <c r="G33" s="21"/>
      <c r="H33" s="21"/>
      <c r="I33" s="21"/>
      <c r="J33" s="20"/>
      <c r="M33" s="28"/>
      <c r="N33" s="115">
        <v>0.37847222222222227</v>
      </c>
      <c r="O33" s="29" t="s">
        <v>25</v>
      </c>
      <c r="P33" s="29">
        <v>150</v>
      </c>
      <c r="Q33" s="29"/>
      <c r="R33" s="29"/>
      <c r="S33" s="29"/>
      <c r="T33" s="29"/>
      <c r="U33" s="29"/>
      <c r="V33" s="28"/>
    </row>
    <row r="34" spans="1:22">
      <c r="A34" s="20"/>
      <c r="B34" s="120"/>
      <c r="C34" s="21" t="s">
        <v>26</v>
      </c>
      <c r="D34" s="21"/>
      <c r="E34" s="21"/>
      <c r="F34" s="21"/>
      <c r="G34" s="21"/>
      <c r="H34" s="21"/>
      <c r="I34" s="21"/>
      <c r="J34" s="20"/>
      <c r="M34" s="28"/>
      <c r="N34" s="116"/>
      <c r="O34" s="29" t="s">
        <v>26</v>
      </c>
      <c r="P34" s="29">
        <v>1392</v>
      </c>
      <c r="Q34" s="29"/>
      <c r="R34" s="29"/>
      <c r="S34" s="29"/>
      <c r="T34" s="29"/>
      <c r="U34" s="29"/>
      <c r="V34" s="28"/>
    </row>
    <row r="35" spans="1:22">
      <c r="A35" s="20"/>
      <c r="B35" s="120"/>
      <c r="C35" s="21" t="s">
        <v>27</v>
      </c>
      <c r="D35" s="22"/>
      <c r="E35" s="22"/>
      <c r="F35" s="22"/>
      <c r="G35" s="22"/>
      <c r="H35" s="22"/>
      <c r="I35" s="22"/>
      <c r="J35" s="20"/>
      <c r="M35" s="28"/>
      <c r="N35" s="116"/>
      <c r="O35" s="29" t="s">
        <v>27</v>
      </c>
      <c r="P35" s="30">
        <v>0.42691118707153575</v>
      </c>
      <c r="Q35" s="30"/>
      <c r="R35" s="30"/>
      <c r="S35" s="30"/>
      <c r="T35" s="30"/>
      <c r="U35" s="30"/>
      <c r="V35" s="28"/>
    </row>
    <row r="36" spans="1:22">
      <c r="A36" s="20"/>
      <c r="B36" s="120"/>
      <c r="C36" s="21" t="s">
        <v>28</v>
      </c>
      <c r="D36" s="23"/>
      <c r="E36" s="23"/>
      <c r="F36" s="23"/>
      <c r="G36" s="23"/>
      <c r="H36" s="23"/>
      <c r="I36" s="23"/>
      <c r="J36" s="20"/>
      <c r="M36" s="28"/>
      <c r="N36" s="116"/>
      <c r="O36" s="29" t="s">
        <v>28</v>
      </c>
      <c r="P36" s="31">
        <v>1.4333333333333333</v>
      </c>
      <c r="Q36" s="31"/>
      <c r="R36" s="31"/>
      <c r="S36" s="31"/>
      <c r="T36" s="31"/>
      <c r="U36" s="31"/>
      <c r="V36" s="28"/>
    </row>
    <row r="37" spans="1:22">
      <c r="A37" s="20"/>
      <c r="B37" s="121"/>
      <c r="C37" s="21" t="s">
        <v>29</v>
      </c>
      <c r="D37" s="23"/>
      <c r="E37" s="23"/>
      <c r="F37" s="21"/>
      <c r="G37" s="21"/>
      <c r="H37" s="21"/>
      <c r="I37" s="21"/>
      <c r="J37" s="20"/>
      <c r="M37" s="28"/>
      <c r="N37" s="117"/>
      <c r="O37" s="29" t="s">
        <v>32</v>
      </c>
      <c r="P37" s="31">
        <v>351.36113679509907</v>
      </c>
      <c r="Q37" s="29"/>
      <c r="R37" s="29"/>
      <c r="S37" s="29"/>
      <c r="T37" s="29"/>
      <c r="U37" s="29"/>
      <c r="V37" s="28"/>
    </row>
    <row r="38" spans="1:22">
      <c r="A38" s="20"/>
      <c r="B38" s="20"/>
      <c r="C38" s="20"/>
      <c r="D38" s="20"/>
      <c r="E38" s="20"/>
      <c r="F38" s="20"/>
      <c r="G38" s="20"/>
      <c r="H38" s="20"/>
      <c r="I38" s="20"/>
      <c r="J38" s="20"/>
      <c r="M38" s="28"/>
      <c r="N38" s="28"/>
      <c r="O38" s="28"/>
      <c r="P38" s="28"/>
      <c r="Q38" s="28"/>
      <c r="R38" s="28"/>
      <c r="S38" s="28"/>
      <c r="T38" s="28"/>
      <c r="U38" s="28"/>
      <c r="V38" s="28"/>
    </row>
    <row r="39" spans="1:22">
      <c r="A39" s="20"/>
      <c r="B39" s="20"/>
      <c r="C39" s="20"/>
      <c r="D39" s="20"/>
      <c r="E39" s="20"/>
      <c r="F39" s="20"/>
      <c r="G39" s="20"/>
      <c r="H39" s="20"/>
      <c r="I39" s="20"/>
      <c r="J39" s="20"/>
      <c r="M39" s="28"/>
      <c r="N39" s="28"/>
      <c r="O39" s="28"/>
      <c r="P39" s="28"/>
      <c r="Q39" s="28"/>
      <c r="R39" s="28"/>
      <c r="S39" s="28"/>
      <c r="T39" s="28"/>
      <c r="U39" s="28"/>
      <c r="V39" s="28"/>
    </row>
    <row r="40" spans="1:22">
      <c r="A40" s="20"/>
      <c r="B40" s="20"/>
      <c r="C40" s="20"/>
      <c r="D40" s="20"/>
      <c r="E40" s="20"/>
      <c r="F40" s="20"/>
      <c r="G40" s="20"/>
      <c r="H40" s="20"/>
      <c r="I40" s="20"/>
      <c r="J40" s="20"/>
      <c r="M40" s="28"/>
      <c r="N40" s="28"/>
      <c r="O40" s="28"/>
      <c r="P40" s="28"/>
      <c r="Q40" s="28"/>
      <c r="R40" s="28"/>
      <c r="S40" s="28"/>
      <c r="T40" s="28"/>
      <c r="U40" s="28"/>
      <c r="V40" s="28"/>
    </row>
    <row r="41" spans="1:22">
      <c r="A41" s="20"/>
      <c r="B41" s="20"/>
      <c r="C41" s="20"/>
      <c r="D41" s="20"/>
      <c r="E41" s="20"/>
      <c r="F41" s="20"/>
      <c r="G41" s="20"/>
      <c r="H41" s="20"/>
      <c r="I41" s="20"/>
      <c r="J41" s="20"/>
      <c r="M41" s="28"/>
      <c r="N41" s="28"/>
      <c r="O41" s="28"/>
      <c r="P41" s="28"/>
      <c r="Q41" s="28"/>
      <c r="R41" s="28"/>
      <c r="S41" s="28"/>
      <c r="T41" s="28"/>
      <c r="U41" s="28"/>
      <c r="V41" s="28"/>
    </row>
    <row r="42" spans="1:22">
      <c r="A42" s="20"/>
      <c r="B42" s="20"/>
      <c r="C42" s="20"/>
      <c r="D42" s="20"/>
      <c r="E42" s="20"/>
      <c r="F42" s="20"/>
      <c r="G42" s="20"/>
      <c r="H42" s="20"/>
      <c r="I42" s="20"/>
      <c r="J42" s="20"/>
      <c r="M42" s="28"/>
      <c r="N42" s="28"/>
      <c r="O42" s="28"/>
      <c r="P42" s="28"/>
      <c r="Q42" s="28"/>
      <c r="R42" s="28"/>
      <c r="S42" s="28"/>
      <c r="T42" s="28"/>
      <c r="U42" s="28"/>
      <c r="V42" s="28"/>
    </row>
    <row r="43" spans="1:22">
      <c r="A43" s="20"/>
      <c r="B43" s="20"/>
      <c r="C43" s="20"/>
      <c r="D43" s="20"/>
      <c r="E43" s="20"/>
      <c r="F43" s="20"/>
      <c r="G43" s="20"/>
      <c r="H43" s="20"/>
      <c r="I43" s="20"/>
      <c r="J43" s="20"/>
      <c r="M43" s="28"/>
      <c r="N43" s="28"/>
      <c r="O43" s="28"/>
      <c r="P43" s="28"/>
      <c r="Q43" s="28"/>
      <c r="R43" s="28"/>
      <c r="S43" s="28"/>
      <c r="T43" s="28"/>
      <c r="U43" s="28"/>
      <c r="V43" s="28"/>
    </row>
    <row r="44" spans="1:22">
      <c r="A44" s="20"/>
      <c r="B44" s="20"/>
      <c r="C44" s="20"/>
      <c r="D44" s="20"/>
      <c r="E44" s="20"/>
      <c r="F44" s="20"/>
      <c r="G44" s="20"/>
      <c r="H44" s="20"/>
      <c r="I44" s="20"/>
      <c r="J44" s="20"/>
      <c r="M44" s="28"/>
      <c r="N44" s="28"/>
      <c r="O44" s="28"/>
      <c r="P44" s="28"/>
      <c r="Q44" s="28"/>
      <c r="R44" s="28"/>
      <c r="S44" s="28"/>
      <c r="T44" s="28"/>
      <c r="U44" s="28"/>
      <c r="V44" s="28"/>
    </row>
    <row r="45" spans="1:22">
      <c r="A45" s="20"/>
      <c r="B45" s="20"/>
      <c r="C45" s="20"/>
      <c r="D45" s="20"/>
      <c r="E45" s="20"/>
      <c r="F45" s="20"/>
      <c r="G45" s="20"/>
      <c r="H45" s="20"/>
      <c r="I45" s="20"/>
      <c r="J45" s="20"/>
      <c r="M45" s="28"/>
      <c r="N45" s="28"/>
      <c r="O45" s="28"/>
      <c r="P45" s="28"/>
      <c r="Q45" s="28"/>
      <c r="R45" s="28"/>
      <c r="S45" s="28"/>
      <c r="T45" s="28"/>
      <c r="U45" s="28"/>
      <c r="V45" s="28"/>
    </row>
    <row r="46" spans="1:22">
      <c r="A46" s="20"/>
      <c r="B46" s="20"/>
      <c r="C46" s="20"/>
      <c r="D46" s="20"/>
      <c r="E46" s="20"/>
      <c r="F46" s="20"/>
      <c r="G46" s="20"/>
      <c r="H46" s="20"/>
      <c r="I46" s="20"/>
      <c r="J46" s="20"/>
      <c r="M46" s="28"/>
      <c r="N46" s="28"/>
      <c r="O46" s="28"/>
      <c r="P46" s="28"/>
      <c r="Q46" s="28"/>
      <c r="R46" s="28"/>
      <c r="S46" s="28"/>
      <c r="T46" s="28"/>
      <c r="U46" s="28"/>
      <c r="V46" s="28"/>
    </row>
    <row r="47" spans="1:22">
      <c r="A47" s="20"/>
      <c r="B47" s="20"/>
      <c r="C47" s="20"/>
      <c r="D47" s="20"/>
      <c r="E47" s="20"/>
      <c r="F47" s="20"/>
      <c r="G47" s="20"/>
      <c r="H47" s="20"/>
      <c r="I47" s="20"/>
      <c r="J47" s="20"/>
      <c r="M47" s="28"/>
      <c r="N47" s="28"/>
      <c r="O47" s="28"/>
      <c r="P47" s="28"/>
      <c r="Q47" s="28"/>
      <c r="R47" s="28"/>
      <c r="S47" s="28"/>
      <c r="T47" s="28"/>
      <c r="U47" s="28"/>
      <c r="V47" s="28"/>
    </row>
    <row r="48" spans="1:22">
      <c r="A48" s="20"/>
      <c r="B48" s="20"/>
      <c r="C48" s="20"/>
      <c r="D48" s="20"/>
      <c r="E48" s="20"/>
      <c r="F48" s="20"/>
      <c r="G48" s="20"/>
      <c r="H48" s="20"/>
      <c r="I48" s="20"/>
      <c r="J48" s="20"/>
      <c r="M48" s="28"/>
      <c r="N48" s="28"/>
      <c r="O48" s="28"/>
      <c r="P48" s="28"/>
      <c r="Q48" s="28"/>
      <c r="R48" s="28"/>
      <c r="S48" s="28"/>
      <c r="T48" s="28"/>
      <c r="U48" s="28"/>
      <c r="V48" s="28"/>
    </row>
    <row r="49" spans="1:22">
      <c r="A49" s="20"/>
      <c r="B49" s="20"/>
      <c r="C49" s="20"/>
      <c r="D49" s="20"/>
      <c r="E49" s="20"/>
      <c r="F49" s="20"/>
      <c r="G49" s="20"/>
      <c r="H49" s="20"/>
      <c r="I49" s="20"/>
      <c r="J49" s="24"/>
      <c r="M49" s="28"/>
      <c r="N49" s="28"/>
      <c r="O49" s="28"/>
      <c r="P49" s="28"/>
      <c r="Q49" s="28"/>
      <c r="R49" s="28"/>
      <c r="S49" s="28"/>
      <c r="T49" s="28"/>
      <c r="U49" s="28"/>
      <c r="V49" s="32"/>
    </row>
    <row r="50" spans="1:22">
      <c r="A50" s="20"/>
      <c r="B50" s="20"/>
      <c r="C50" s="20"/>
      <c r="D50" s="20"/>
      <c r="E50" s="20"/>
      <c r="F50" s="20"/>
      <c r="G50" s="20"/>
      <c r="H50" s="20"/>
      <c r="I50" s="20"/>
      <c r="J50" s="24"/>
      <c r="M50" s="28"/>
      <c r="N50" s="28"/>
      <c r="O50" s="28"/>
      <c r="P50" s="28"/>
      <c r="Q50" s="28"/>
      <c r="R50" s="28"/>
      <c r="S50" s="28"/>
      <c r="T50" s="28"/>
      <c r="U50" s="28"/>
      <c r="V50" s="32"/>
    </row>
    <row r="51" spans="1:22">
      <c r="A51" s="20"/>
      <c r="B51" s="20"/>
      <c r="C51" s="20"/>
      <c r="D51" s="20"/>
      <c r="E51" s="20"/>
      <c r="F51" s="20"/>
      <c r="G51" s="20"/>
      <c r="H51" s="20"/>
      <c r="I51" s="20"/>
      <c r="J51" s="24"/>
      <c r="M51" s="28"/>
      <c r="N51" s="28"/>
      <c r="O51" s="28"/>
      <c r="P51" s="28"/>
      <c r="Q51" s="28"/>
      <c r="R51" s="28"/>
      <c r="S51" s="28"/>
      <c r="T51" s="28"/>
      <c r="U51" s="28"/>
      <c r="V51" s="32"/>
    </row>
    <row r="52" spans="1:22" ht="21">
      <c r="A52" s="20"/>
      <c r="B52" s="20"/>
      <c r="C52" s="46" t="s">
        <v>131</v>
      </c>
      <c r="D52" s="50" t="s">
        <v>125</v>
      </c>
      <c r="E52" s="25"/>
      <c r="F52" s="26"/>
      <c r="G52" s="20"/>
      <c r="H52" s="20"/>
      <c r="I52" s="20"/>
      <c r="J52" s="24"/>
      <c r="M52" s="28"/>
      <c r="N52" s="28"/>
      <c r="O52" s="47" t="s">
        <v>131</v>
      </c>
      <c r="P52" s="51" t="s">
        <v>129</v>
      </c>
      <c r="Q52" s="33"/>
      <c r="R52" s="34"/>
      <c r="S52" s="28"/>
      <c r="T52" s="28"/>
      <c r="U52" s="28"/>
      <c r="V52" s="32"/>
    </row>
    <row r="53" spans="1:22">
      <c r="A53" s="20"/>
      <c r="B53" s="20"/>
      <c r="C53" s="20"/>
      <c r="D53" s="20"/>
      <c r="E53" s="20"/>
      <c r="F53" s="20"/>
      <c r="G53" s="20"/>
      <c r="H53" s="20"/>
      <c r="I53" s="20"/>
      <c r="J53" s="20"/>
      <c r="M53" s="28"/>
      <c r="N53" s="28"/>
      <c r="O53" s="28"/>
      <c r="P53" s="28"/>
      <c r="Q53" s="28"/>
      <c r="R53" s="28"/>
      <c r="S53" s="28"/>
      <c r="T53" s="28"/>
      <c r="U53" s="28"/>
      <c r="V53" s="28"/>
    </row>
    <row r="54" spans="1:22">
      <c r="A54" s="20"/>
      <c r="B54" s="20"/>
      <c r="C54" s="20"/>
      <c r="D54" s="20"/>
      <c r="E54" s="20"/>
      <c r="F54" s="20"/>
      <c r="G54" s="20"/>
      <c r="H54" s="20"/>
      <c r="I54" s="20"/>
      <c r="J54" s="20"/>
      <c r="M54" s="28"/>
      <c r="N54" s="28"/>
      <c r="O54" s="28"/>
      <c r="P54" s="28"/>
      <c r="Q54" s="28"/>
      <c r="R54" s="28"/>
      <c r="S54" s="28"/>
      <c r="T54" s="28"/>
      <c r="U54" s="28"/>
      <c r="V54" s="28"/>
    </row>
    <row r="55" spans="1:22">
      <c r="A55" s="20"/>
      <c r="B55" s="20"/>
      <c r="C55" s="20"/>
      <c r="D55" s="20"/>
      <c r="E55" s="20"/>
      <c r="F55" s="20"/>
      <c r="G55" s="20"/>
      <c r="H55" s="20"/>
      <c r="I55" s="20"/>
      <c r="J55" s="20"/>
      <c r="M55" s="28"/>
      <c r="N55" s="28"/>
      <c r="O55" s="28"/>
      <c r="P55" s="28"/>
      <c r="Q55" s="28"/>
      <c r="R55" s="28"/>
      <c r="S55" s="28"/>
      <c r="T55" s="28"/>
      <c r="U55" s="28"/>
      <c r="V55" s="28"/>
    </row>
    <row r="56" spans="1:22" ht="21">
      <c r="A56" s="20"/>
      <c r="B56" s="20"/>
      <c r="C56" s="46" t="s">
        <v>131</v>
      </c>
      <c r="D56" s="50" t="s">
        <v>126</v>
      </c>
      <c r="E56" s="26"/>
      <c r="F56" s="26"/>
      <c r="G56" s="27"/>
      <c r="H56" s="20"/>
      <c r="I56" s="20"/>
      <c r="J56" s="20"/>
      <c r="M56" s="28"/>
      <c r="N56" s="28"/>
      <c r="O56" s="47" t="s">
        <v>131</v>
      </c>
      <c r="P56" s="51" t="s">
        <v>130</v>
      </c>
      <c r="Q56" s="34"/>
      <c r="R56" s="34"/>
      <c r="S56" s="35"/>
      <c r="T56" s="28"/>
      <c r="U56" s="28"/>
      <c r="V56" s="28"/>
    </row>
    <row r="57" spans="1:22">
      <c r="A57" s="20"/>
      <c r="B57" s="20"/>
      <c r="C57" s="20"/>
      <c r="D57" s="20"/>
      <c r="E57" s="20"/>
      <c r="F57" s="20"/>
      <c r="G57" s="20"/>
      <c r="H57" s="20"/>
      <c r="I57" s="20"/>
      <c r="J57" s="20"/>
      <c r="M57" s="28"/>
      <c r="N57" s="28"/>
      <c r="O57" s="28"/>
      <c r="P57" s="28"/>
      <c r="Q57" s="28"/>
      <c r="R57" s="28"/>
      <c r="S57" s="28"/>
      <c r="T57" s="28"/>
      <c r="U57" s="28"/>
      <c r="V57" s="28"/>
    </row>
    <row r="58" spans="1:22">
      <c r="A58" s="20"/>
      <c r="B58" s="20"/>
      <c r="C58" s="20"/>
      <c r="D58" s="20"/>
      <c r="E58" s="20"/>
      <c r="F58" s="20"/>
      <c r="G58" s="20"/>
      <c r="H58" s="20"/>
      <c r="I58" s="20"/>
      <c r="J58" s="20"/>
      <c r="M58" s="28"/>
      <c r="N58" s="28"/>
      <c r="O58" s="28"/>
      <c r="P58" s="28"/>
      <c r="Q58" s="28"/>
      <c r="R58" s="28"/>
      <c r="S58" s="28"/>
      <c r="T58" s="28"/>
      <c r="U58" s="28"/>
      <c r="V58" s="28"/>
    </row>
    <row r="63" spans="1:22">
      <c r="P63" s="52"/>
    </row>
    <row r="64" spans="1:22" ht="21.75" thickBot="1">
      <c r="C64" s="111" t="s">
        <v>116</v>
      </c>
      <c r="D64" s="112"/>
      <c r="E64" s="112"/>
      <c r="F64" s="112"/>
    </row>
    <row r="65" spans="1:10" ht="24.75" customHeight="1">
      <c r="A65" s="55"/>
      <c r="B65" s="62" t="s">
        <v>38</v>
      </c>
      <c r="C65" s="56" t="s">
        <v>33</v>
      </c>
      <c r="D65" s="56" t="s">
        <v>34</v>
      </c>
      <c r="E65" s="56" t="s">
        <v>35</v>
      </c>
      <c r="F65" s="56" t="s">
        <v>36</v>
      </c>
      <c r="G65" s="57" t="s">
        <v>37</v>
      </c>
      <c r="H65" s="54"/>
      <c r="I65" s="54"/>
      <c r="J65" s="54"/>
    </row>
    <row r="66" spans="1:10" ht="19.5">
      <c r="A66" s="55"/>
      <c r="B66" s="60" t="s">
        <v>119</v>
      </c>
      <c r="C66" s="63">
        <v>0.42459502927525944</v>
      </c>
      <c r="D66" s="63"/>
      <c r="E66" s="63"/>
      <c r="F66" s="63"/>
      <c r="G66" s="59">
        <v>0.42459502927525944</v>
      </c>
      <c r="H66" s="54"/>
      <c r="I66" s="54"/>
      <c r="J66" s="54"/>
    </row>
    <row r="67" spans="1:10" ht="19.5">
      <c r="A67" s="55"/>
      <c r="B67" s="60" t="s">
        <v>120</v>
      </c>
      <c r="C67" s="63">
        <v>0.50368415494199026</v>
      </c>
      <c r="D67" s="63"/>
      <c r="E67" s="63"/>
      <c r="F67" s="63"/>
      <c r="G67" s="59">
        <v>0.50368415494199026</v>
      </c>
      <c r="H67" s="54"/>
      <c r="I67" s="54"/>
      <c r="J67" s="54"/>
    </row>
    <row r="68" spans="1:10" ht="19.5">
      <c r="A68" s="55"/>
      <c r="B68" s="60" t="s">
        <v>121</v>
      </c>
      <c r="C68" s="63">
        <v>0.4989512252184205</v>
      </c>
      <c r="D68" s="63"/>
      <c r="E68" s="63"/>
      <c r="F68" s="63"/>
      <c r="G68" s="59">
        <v>0.4989512252184205</v>
      </c>
      <c r="H68" s="54"/>
      <c r="I68" s="54"/>
      <c r="J68" s="54"/>
    </row>
    <row r="69" spans="1:10" ht="19.5">
      <c r="A69" s="55"/>
      <c r="B69" s="60"/>
      <c r="C69" s="63"/>
      <c r="D69" s="63"/>
      <c r="E69" s="63"/>
      <c r="F69" s="63"/>
      <c r="G69" s="59"/>
      <c r="H69" s="54"/>
      <c r="I69" s="54"/>
      <c r="J69" s="54"/>
    </row>
    <row r="70" spans="1:10" ht="19.5">
      <c r="A70" s="55"/>
      <c r="B70" s="60"/>
      <c r="C70" s="63"/>
      <c r="D70" s="63"/>
      <c r="E70" s="63"/>
      <c r="F70" s="63"/>
      <c r="G70" s="59"/>
      <c r="H70" s="54"/>
      <c r="I70" s="54"/>
      <c r="J70" s="54"/>
    </row>
    <row r="71" spans="1:10" ht="19.5">
      <c r="A71" s="55"/>
      <c r="B71" s="60"/>
      <c r="C71" s="63"/>
      <c r="D71" s="63"/>
      <c r="E71" s="63"/>
      <c r="F71" s="63"/>
      <c r="G71" s="59"/>
      <c r="H71" s="54"/>
      <c r="I71" s="54"/>
      <c r="J71" s="54"/>
    </row>
    <row r="72" spans="1:10" ht="19.5">
      <c r="A72" s="55"/>
      <c r="B72" s="60"/>
      <c r="C72" s="63"/>
      <c r="D72" s="63"/>
      <c r="E72" s="63"/>
      <c r="F72" s="63"/>
      <c r="G72" s="59"/>
      <c r="H72" s="54"/>
      <c r="I72" s="54"/>
      <c r="J72" s="54"/>
    </row>
    <row r="73" spans="1:10" ht="19.5">
      <c r="A73" s="55"/>
      <c r="B73" s="60"/>
      <c r="C73" s="63"/>
      <c r="D73" s="63"/>
      <c r="E73" s="63"/>
      <c r="F73" s="63"/>
      <c r="G73" s="59"/>
      <c r="H73" s="54"/>
      <c r="I73" s="54"/>
      <c r="J73" s="54"/>
    </row>
    <row r="74" spans="1:10" ht="19.5">
      <c r="A74" s="54"/>
      <c r="B74" s="60"/>
      <c r="C74" s="64"/>
      <c r="D74" s="64"/>
      <c r="E74" s="64"/>
      <c r="F74" s="64"/>
      <c r="G74" s="59"/>
      <c r="H74" s="54"/>
      <c r="I74" s="54"/>
      <c r="J74" s="54"/>
    </row>
    <row r="75" spans="1:10" ht="20.25" thickBot="1">
      <c r="A75" s="54"/>
      <c r="B75" s="61"/>
      <c r="C75" s="65"/>
      <c r="D75" s="65"/>
      <c r="E75" s="65"/>
      <c r="F75" s="65"/>
      <c r="G75" s="66"/>
      <c r="H75" s="54"/>
      <c r="I75" s="54"/>
      <c r="J75" s="54"/>
    </row>
    <row r="76" spans="1:10">
      <c r="A76" s="54"/>
      <c r="B76" s="55"/>
      <c r="C76" s="55"/>
      <c r="D76" s="55"/>
      <c r="E76" s="55"/>
      <c r="F76" s="55"/>
      <c r="G76" s="58"/>
      <c r="H76" s="54"/>
      <c r="I76" s="54"/>
      <c r="J76" s="54"/>
    </row>
    <row r="77" spans="1:10">
      <c r="A77" s="54"/>
      <c r="B77" s="55"/>
      <c r="C77" s="55"/>
      <c r="D77" s="55"/>
      <c r="E77" s="55"/>
      <c r="F77" s="55"/>
      <c r="G77" s="58"/>
      <c r="H77" s="54"/>
      <c r="I77" s="54"/>
      <c r="J77" s="54"/>
    </row>
    <row r="78" spans="1:10">
      <c r="A78" s="54"/>
      <c r="B78" s="55"/>
      <c r="C78" s="55"/>
      <c r="D78" s="55"/>
      <c r="E78" s="55"/>
      <c r="F78" s="55"/>
      <c r="G78" s="58"/>
      <c r="H78" s="54"/>
      <c r="I78" s="54"/>
      <c r="J78" s="54"/>
    </row>
    <row r="79" spans="1:10">
      <c r="A79" s="54"/>
      <c r="B79" s="55"/>
      <c r="C79" s="55"/>
      <c r="D79" s="55"/>
      <c r="E79" s="55"/>
      <c r="F79" s="55"/>
      <c r="G79" s="58"/>
      <c r="H79" s="54"/>
      <c r="I79" s="54"/>
      <c r="J79" s="54"/>
    </row>
    <row r="80" spans="1:10">
      <c r="A80" s="54"/>
      <c r="B80" s="55"/>
      <c r="C80" s="55"/>
      <c r="D80" s="55"/>
      <c r="E80" s="55"/>
      <c r="F80" s="55"/>
      <c r="G80" s="58"/>
      <c r="H80" s="54"/>
      <c r="I80" s="54"/>
      <c r="J80" s="54"/>
    </row>
    <row r="81" spans="1:10">
      <c r="A81" s="54"/>
      <c r="B81" s="55"/>
      <c r="C81" s="55"/>
      <c r="D81" s="55"/>
      <c r="E81" s="55"/>
      <c r="F81" s="55"/>
      <c r="G81" s="58"/>
      <c r="H81" s="54"/>
      <c r="I81" s="54"/>
      <c r="J81" s="54"/>
    </row>
    <row r="82" spans="1:10">
      <c r="A82" s="54"/>
      <c r="B82" s="54"/>
      <c r="C82" s="54"/>
      <c r="D82" s="54"/>
      <c r="E82" s="54"/>
      <c r="F82" s="54"/>
      <c r="G82" s="54"/>
      <c r="H82" s="54"/>
      <c r="I82" s="54"/>
      <c r="J82" s="54"/>
    </row>
    <row r="83" spans="1:10">
      <c r="A83" s="54"/>
      <c r="B83" s="54"/>
      <c r="C83" s="54"/>
      <c r="D83" s="54"/>
      <c r="E83" s="54"/>
      <c r="F83" s="54"/>
      <c r="G83" s="54"/>
      <c r="H83" s="54"/>
      <c r="I83" s="54"/>
      <c r="J83" s="54"/>
    </row>
    <row r="84" spans="1:10">
      <c r="A84" s="54"/>
      <c r="B84" s="54"/>
      <c r="C84" s="54"/>
      <c r="D84" s="54"/>
      <c r="E84" s="54"/>
      <c r="F84" s="54"/>
      <c r="G84" s="54"/>
      <c r="H84" s="54"/>
      <c r="I84" s="54"/>
      <c r="J84" s="54"/>
    </row>
    <row r="85" spans="1:10">
      <c r="A85" s="54"/>
      <c r="B85" s="54"/>
      <c r="C85" s="54"/>
      <c r="D85" s="54"/>
      <c r="E85" s="54"/>
      <c r="F85" s="54"/>
      <c r="G85" s="54"/>
      <c r="H85" s="54"/>
      <c r="I85" s="54"/>
      <c r="J85" s="54"/>
    </row>
    <row r="86" spans="1:10">
      <c r="A86" s="54"/>
      <c r="B86" s="54"/>
      <c r="C86" s="54"/>
      <c r="D86" s="54"/>
      <c r="E86" s="54"/>
      <c r="F86" s="54"/>
      <c r="G86" s="54"/>
      <c r="H86" s="54"/>
      <c r="I86" s="54"/>
      <c r="J86" s="54"/>
    </row>
    <row r="87" spans="1:10">
      <c r="A87" s="54"/>
      <c r="B87" s="54"/>
      <c r="C87" s="54"/>
      <c r="D87" s="54"/>
      <c r="E87" s="54"/>
      <c r="F87" s="54"/>
      <c r="G87" s="54"/>
      <c r="H87" s="54"/>
      <c r="I87" s="54"/>
      <c r="J87" s="54"/>
    </row>
    <row r="88" spans="1:10">
      <c r="A88" s="54"/>
      <c r="B88" s="54"/>
      <c r="C88" s="54"/>
      <c r="D88" s="54"/>
      <c r="E88" s="54"/>
      <c r="F88" s="54"/>
      <c r="G88" s="54"/>
      <c r="H88" s="54"/>
      <c r="I88" s="54"/>
      <c r="J88" s="54"/>
    </row>
    <row r="89" spans="1:10">
      <c r="A89" s="54"/>
      <c r="B89" s="54"/>
      <c r="C89" s="54"/>
      <c r="D89" s="54"/>
      <c r="E89" s="54"/>
      <c r="F89" s="54"/>
      <c r="G89" s="54"/>
      <c r="H89" s="54"/>
      <c r="I89" s="54"/>
      <c r="J89" s="54"/>
    </row>
    <row r="90" spans="1:10">
      <c r="A90" s="54"/>
      <c r="B90" s="54"/>
      <c r="C90" s="54"/>
      <c r="D90" s="54"/>
      <c r="E90" s="54"/>
      <c r="F90" s="54"/>
      <c r="G90" s="54"/>
      <c r="H90" s="54"/>
      <c r="I90" s="54"/>
      <c r="J90" s="54"/>
    </row>
    <row r="91" spans="1:10">
      <c r="A91" s="54"/>
      <c r="B91" s="54"/>
      <c r="C91" s="54"/>
      <c r="D91" s="54"/>
      <c r="E91" s="54"/>
      <c r="F91" s="54"/>
      <c r="G91" s="54"/>
      <c r="H91" s="54"/>
      <c r="I91" s="54"/>
      <c r="J91" s="54"/>
    </row>
  </sheetData>
  <mergeCells count="13">
    <mergeCell ref="B2:C2"/>
    <mergeCell ref="B3:B7"/>
    <mergeCell ref="B1:I1"/>
    <mergeCell ref="N1:U1"/>
    <mergeCell ref="N2:O2"/>
    <mergeCell ref="N3:N7"/>
    <mergeCell ref="C64:F64"/>
    <mergeCell ref="N31:U31"/>
    <mergeCell ref="N32:O32"/>
    <mergeCell ref="N33:N37"/>
    <mergeCell ref="B31:I31"/>
    <mergeCell ref="B32:C32"/>
    <mergeCell ref="B33:B37"/>
  </mergeCells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8"/>
  <dimension ref="G11:I16"/>
  <sheetViews>
    <sheetView workbookViewId="0">
      <selection activeCell="L9" sqref="L9"/>
    </sheetView>
  </sheetViews>
  <sheetFormatPr defaultRowHeight="16.5"/>
  <cols>
    <col min="1" max="1" width="9" style="1"/>
    <col min="2" max="2" width="6.375" style="1" bestFit="1" customWidth="1"/>
    <col min="3" max="3" width="5.5" style="1" bestFit="1" customWidth="1"/>
    <col min="4" max="4" width="9.375" style="1" bestFit="1" customWidth="1"/>
    <col min="5" max="6" width="9" style="1"/>
    <col min="7" max="7" width="6.375" style="1" bestFit="1" customWidth="1"/>
    <col min="8" max="8" width="5.5" style="1" bestFit="1" customWidth="1"/>
    <col min="9" max="9" width="9.375" style="1" bestFit="1" customWidth="1"/>
    <col min="10" max="11" width="9" style="1"/>
    <col min="12" max="12" width="6.375" style="1" bestFit="1" customWidth="1"/>
    <col min="13" max="13" width="5.5" style="1" bestFit="1" customWidth="1"/>
    <col min="14" max="16384" width="9" style="1"/>
  </cols>
  <sheetData>
    <row r="11" spans="7:9" ht="17.25" thickBot="1"/>
    <row r="12" spans="7:9" ht="17.25" thickBot="1">
      <c r="G12" s="53" t="s">
        <v>43</v>
      </c>
    </row>
    <row r="13" spans="7:9">
      <c r="G13" s="36" t="s">
        <v>39</v>
      </c>
      <c r="H13" s="37">
        <v>1</v>
      </c>
      <c r="I13" s="42"/>
    </row>
    <row r="14" spans="7:9">
      <c r="G14" s="38" t="s">
        <v>40</v>
      </c>
      <c r="H14" s="39">
        <v>1.1000000000000001</v>
      </c>
      <c r="I14" s="42"/>
    </row>
    <row r="15" spans="7:9">
      <c r="G15" s="38" t="s">
        <v>41</v>
      </c>
      <c r="H15" s="39">
        <v>1.2</v>
      </c>
      <c r="I15" s="42"/>
    </row>
    <row r="16" spans="7:9" ht="17.25" thickBot="1">
      <c r="G16" s="40" t="s">
        <v>42</v>
      </c>
      <c r="H16" s="41">
        <v>1.3</v>
      </c>
      <c r="I16" s="42"/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1"/>
  <dimension ref="A1:S47"/>
  <sheetViews>
    <sheetView workbookViewId="0">
      <pane ySplit="17" topLeftCell="A18" activePane="bottomLeft" state="frozen"/>
      <selection pane="bottomLeft" activeCell="H24" sqref="H24"/>
    </sheetView>
  </sheetViews>
  <sheetFormatPr defaultRowHeight="16.5"/>
  <cols>
    <col min="1" max="1" width="9" style="69"/>
    <col min="2" max="2" width="8.5" style="68" customWidth="1"/>
    <col min="3" max="3" width="16.25" style="69" bestFit="1" customWidth="1"/>
    <col min="4" max="4" width="10.25" style="69" bestFit="1" customWidth="1"/>
    <col min="5" max="5" width="10.25" style="70" bestFit="1" customWidth="1"/>
    <col min="6" max="7" width="9" style="70"/>
    <col min="8" max="8" width="11" style="70" customWidth="1"/>
    <col min="9" max="9" width="9.625" style="69" bestFit="1" customWidth="1"/>
    <col min="10" max="10" width="10.875" style="69" customWidth="1"/>
    <col min="11" max="11" width="9.5" style="69" bestFit="1" customWidth="1"/>
    <col min="12" max="12" width="12.25" style="69" customWidth="1"/>
    <col min="13" max="13" width="10.75" style="69" hidden="1" customWidth="1"/>
    <col min="14" max="14" width="10.375" style="69" hidden="1" customWidth="1"/>
    <col min="15" max="15" width="12.875" style="69" hidden="1" customWidth="1"/>
    <col min="16" max="16384" width="9" style="69"/>
  </cols>
  <sheetData>
    <row r="1" spans="1:19" ht="30.75" thickBot="1">
      <c r="A1" s="67" t="s">
        <v>44</v>
      </c>
      <c r="H1" s="69"/>
    </row>
    <row r="2" spans="1:19">
      <c r="H2" s="71" t="s">
        <v>45</v>
      </c>
      <c r="I2" s="72" t="s">
        <v>46</v>
      </c>
      <c r="J2" s="72" t="s">
        <v>47</v>
      </c>
      <c r="K2" s="72" t="s">
        <v>48</v>
      </c>
      <c r="L2" s="73" t="s">
        <v>49</v>
      </c>
    </row>
    <row r="3" spans="1:19" ht="17.25" thickBot="1">
      <c r="H3" s="74" t="s">
        <v>50</v>
      </c>
      <c r="I3" s="75">
        <v>9</v>
      </c>
      <c r="J3" s="75">
        <v>10</v>
      </c>
      <c r="K3" s="75">
        <v>8</v>
      </c>
      <c r="L3" s="76">
        <v>8</v>
      </c>
    </row>
    <row r="4" spans="1:19" ht="17.25" thickBot="1">
      <c r="B4" s="77" t="s">
        <v>51</v>
      </c>
      <c r="C4" s="78"/>
      <c r="D4" s="78"/>
      <c r="E4" s="133" t="s">
        <v>52</v>
      </c>
      <c r="F4" s="133"/>
      <c r="G4" s="133"/>
      <c r="H4" s="134"/>
      <c r="I4" s="135" t="s">
        <v>53</v>
      </c>
      <c r="J4" s="135"/>
      <c r="K4" s="135"/>
      <c r="L4" s="135"/>
      <c r="P4" s="136" t="s">
        <v>54</v>
      </c>
      <c r="Q4" s="137"/>
      <c r="R4" s="137"/>
      <c r="S4" s="138"/>
    </row>
    <row r="5" spans="1:19" ht="17.25" thickBot="1">
      <c r="B5" s="79" t="s">
        <v>55</v>
      </c>
      <c r="C5" s="80" t="s">
        <v>56</v>
      </c>
      <c r="D5" s="80" t="s">
        <v>57</v>
      </c>
      <c r="E5" s="81" t="s">
        <v>46</v>
      </c>
      <c r="F5" s="81" t="s">
        <v>58</v>
      </c>
      <c r="G5" s="81" t="s">
        <v>59</v>
      </c>
      <c r="H5" s="81" t="s">
        <v>60</v>
      </c>
      <c r="I5" s="82" t="s">
        <v>46</v>
      </c>
      <c r="J5" s="82" t="s">
        <v>58</v>
      </c>
      <c r="K5" s="82" t="s">
        <v>59</v>
      </c>
      <c r="L5" s="82" t="s">
        <v>60</v>
      </c>
      <c r="M5" s="83" t="s">
        <v>61</v>
      </c>
      <c r="N5" s="83" t="s">
        <v>62</v>
      </c>
      <c r="O5" s="83" t="s">
        <v>63</v>
      </c>
      <c r="P5" s="84" t="s">
        <v>46</v>
      </c>
      <c r="Q5" s="84" t="s">
        <v>47</v>
      </c>
      <c r="R5" s="84" t="s">
        <v>48</v>
      </c>
      <c r="S5" s="85" t="s">
        <v>49</v>
      </c>
    </row>
    <row r="6" spans="1:19">
      <c r="B6" s="86" t="s">
        <v>64</v>
      </c>
      <c r="C6" s="87">
        <v>300</v>
      </c>
      <c r="D6" s="87">
        <v>11</v>
      </c>
      <c r="E6" s="88">
        <f>(($D6*$M6*$N6*[1]main!$E$2)+(($D6*(1-$M6)*$N6*$O6*[1]main!$G$2)+($D6*(1-$M6)*[1]main!$E$2*($O6+1)))+($D6*[1]main!$I$2)+[1]main!$K$2)/$I$3</f>
        <v>74.171953777777787</v>
      </c>
      <c r="F6" s="88">
        <f>(($D6*$M6*$N6*[1]main!$E$2)+(($D6*(1-$M6)*$N6*$O6*[1]main!$G$2)+($D6*(1-$M6)*[1]main!$E$2*($O6+1)))+($D6*[1]main!$I$2)+[1]main!$K$2)/$J$3</f>
        <v>66.754758400000014</v>
      </c>
      <c r="G6" s="88">
        <f>(($D6*$M6*$N6*[1]main!$E$2)+(($D6*(1-$M6)*$N6*$O6*[1]main!$G$2)+($D6*(1-$M6)*[1]main!$E$2*($O6+1)))+($D6*[1]main!$I$2)+[1]main!$K$2)/$K$3</f>
        <v>83.443448000000018</v>
      </c>
      <c r="H6" s="88">
        <f>(($D6*$M6*$N6*[1]main!$E$2)+(($D6*(1-$M6)*$N6*$O6*[1]main!$G$2)+($D6*(1-$M6)*[1]main!$E$2*($O6+1)))+($D6*[1]main!$I$2)+[1]main!$K$2)/$L$3</f>
        <v>83.443448000000018</v>
      </c>
      <c r="I6" s="89">
        <f>$C6*E6/60/60</f>
        <v>6.1809961481481492</v>
      </c>
      <c r="J6" s="89">
        <f>$C6*F6/60/60</f>
        <v>5.5628965333333342</v>
      </c>
      <c r="K6" s="89">
        <f>$C6*G6/60/60</f>
        <v>6.9536206666666676</v>
      </c>
      <c r="L6" s="89">
        <f>$C6*H6/60/60</f>
        <v>6.9536206666666676</v>
      </c>
      <c r="M6" s="90">
        <f>VLOOKUP(B6,[2]設定!$A$4:$E$2000,3,FALSE)</f>
        <v>0.73</v>
      </c>
      <c r="N6" s="90">
        <f>VLOOKUP(B6,[2]設定!$A$4:$E$2000,4,FALSE)</f>
        <v>1.32</v>
      </c>
      <c r="O6" s="90">
        <f>VLOOKUP(B6,[2]設定!$A$4:$E$2000,5,FALSE)</f>
        <v>3.2</v>
      </c>
      <c r="P6" s="91">
        <f>3600/E6</f>
        <v>48.535865871697915</v>
      </c>
      <c r="Q6" s="91">
        <f t="shared" ref="Q6:S17" si="0">3600/F6</f>
        <v>53.928739857442118</v>
      </c>
      <c r="R6" s="91">
        <f t="shared" si="0"/>
        <v>43.142991885953698</v>
      </c>
      <c r="S6" s="91">
        <f t="shared" si="0"/>
        <v>43.142991885953698</v>
      </c>
    </row>
    <row r="7" spans="1:19">
      <c r="B7" s="86" t="s">
        <v>65</v>
      </c>
      <c r="C7" s="87">
        <v>348</v>
      </c>
      <c r="D7" s="87">
        <v>11</v>
      </c>
      <c r="E7" s="88">
        <f>(($D7*$M7*$N7*[1]main!$E$2)+(($D7*(1-$M7)*$N7*$O7*[1]main!$G$2)+($D7*(1-$M7)*[1]main!$E$2*($O7+1)))+($D7*[1]main!$I$2)+[1]main!$K$2)/$I$3</f>
        <v>74.171953777777787</v>
      </c>
      <c r="F7" s="88">
        <f>(($D7*$M7*$N7*[1]main!$E$2)+(($D7*(1-$M7)*$N7*$O7*[1]main!$G$2)+($D7*(1-$M7)*[1]main!$E$2*($O7+1)))+($D7*[1]main!$I$2)+[1]main!$K$2)/$J$3</f>
        <v>66.754758400000014</v>
      </c>
      <c r="G7" s="88">
        <f>(($D7*$M7*$N7*[1]main!$E$2)+(($D7*(1-$M7)*$N7*$O7*[1]main!$G$2)+($D7*(1-$M7)*[1]main!$E$2*($O7+1)))+($D7*[1]main!$I$2)+[1]main!$K$2)/$K$3</f>
        <v>83.443448000000018</v>
      </c>
      <c r="H7" s="88">
        <f>(($D7*$M7*$N7*[1]main!$E$2)+(($D7*(1-$M7)*$N7*$O7*[1]main!$G$2)+($D7*(1-$M7)*[1]main!$E$2*($O7+1)))+($D7*[1]main!$I$2)+[1]main!$K$2)/$L$3</f>
        <v>83.443448000000018</v>
      </c>
      <c r="I7" s="89">
        <f t="shared" ref="I7:L17" si="1">$C7*E7/60/60</f>
        <v>7.1699555318518531</v>
      </c>
      <c r="J7" s="89">
        <f t="shared" si="1"/>
        <v>6.4529599786666676</v>
      </c>
      <c r="K7" s="89">
        <f t="shared" si="1"/>
        <v>8.0661999733333349</v>
      </c>
      <c r="L7" s="89">
        <f t="shared" si="1"/>
        <v>8.0661999733333349</v>
      </c>
      <c r="M7" s="90">
        <f>VLOOKUP(B7,[2]設定!$A$4:$E$2000,3,FALSE)</f>
        <v>0.73</v>
      </c>
      <c r="N7" s="90">
        <f>VLOOKUP(B7,[2]設定!$A$4:$E$2000,4,FALSE)</f>
        <v>1.32</v>
      </c>
      <c r="O7" s="90">
        <f>VLOOKUP(B7,[2]設定!$A$4:$E$2000,5,FALSE)</f>
        <v>3.2</v>
      </c>
      <c r="P7" s="91">
        <f t="shared" ref="P7:P17" si="2">3600/E7</f>
        <v>48.535865871697915</v>
      </c>
      <c r="Q7" s="91">
        <f t="shared" si="0"/>
        <v>53.928739857442118</v>
      </c>
      <c r="R7" s="91">
        <f t="shared" si="0"/>
        <v>43.142991885953698</v>
      </c>
      <c r="S7" s="91">
        <f t="shared" si="0"/>
        <v>43.142991885953698</v>
      </c>
    </row>
    <row r="8" spans="1:19">
      <c r="B8" s="86" t="s">
        <v>66</v>
      </c>
      <c r="C8" s="87">
        <v>60</v>
      </c>
      <c r="D8" s="87">
        <v>5</v>
      </c>
      <c r="E8" s="88">
        <f>(($D8*$M8*$N8*[1]main!$E$2)+(($D8*(1-$M8)*$N8*$O8*[1]main!$G$2)+($D8*(1-$M8)*[1]main!$E$2*($O8+1)))+($D8*[1]main!$I$2)+[1]main!$K$2)/$I$3</f>
        <v>39.047857777777779</v>
      </c>
      <c r="F8" s="88">
        <f>(($D8*$M8*$N8*[1]main!$E$2)+(($D8*(1-$M8)*$N8*$O8*[1]main!$G$2)+($D8*(1-$M8)*[1]main!$E$2*($O8+1)))+($D8*[1]main!$I$2)+[1]main!$K$2)/$J$3</f>
        <v>35.143072000000004</v>
      </c>
      <c r="G8" s="88">
        <f>(($D8*$M8*$N8*[1]main!$E$2)+(($D8*(1-$M8)*$N8*$O8*[1]main!$G$2)+($D8*(1-$M8)*[1]main!$E$2*($O8+1)))+($D8*[1]main!$I$2)+[1]main!$K$2)/$K$3</f>
        <v>43.928840000000001</v>
      </c>
      <c r="H8" s="88">
        <f>(($D8*$M8*$N8*[1]main!$E$2)+(($D8*(1-$M8)*$N8*$O8*[1]main!$G$2)+($D8*(1-$M8)*[1]main!$E$2*($O8+1)))+($D8*[1]main!$I$2)+[1]main!$K$2)/$L$3</f>
        <v>43.928840000000001</v>
      </c>
      <c r="I8" s="89">
        <f t="shared" si="1"/>
        <v>0.6507976296296295</v>
      </c>
      <c r="J8" s="89">
        <f t="shared" si="1"/>
        <v>0.5857178666666667</v>
      </c>
      <c r="K8" s="89">
        <f t="shared" si="1"/>
        <v>0.73214733333333337</v>
      </c>
      <c r="L8" s="89">
        <f t="shared" si="1"/>
        <v>0.73214733333333337</v>
      </c>
      <c r="M8" s="90">
        <f>VLOOKUP(B8,[2]設定!$A$4:$E$2000,3,FALSE)</f>
        <v>0.73</v>
      </c>
      <c r="N8" s="90">
        <f>VLOOKUP(B8,[2]設定!$A$4:$E$2000,4,FALSE)</f>
        <v>1.32</v>
      </c>
      <c r="O8" s="90">
        <f>VLOOKUP(B8,[2]設定!$A$4:$E$2000,5,FALSE)</f>
        <v>3.2</v>
      </c>
      <c r="P8" s="91">
        <f t="shared" si="2"/>
        <v>92.194558290180211</v>
      </c>
      <c r="Q8" s="91">
        <f t="shared" si="0"/>
        <v>102.43839810020022</v>
      </c>
      <c r="R8" s="91">
        <f t="shared" si="0"/>
        <v>81.950718480160191</v>
      </c>
      <c r="S8" s="91">
        <f t="shared" si="0"/>
        <v>81.950718480160191</v>
      </c>
    </row>
    <row r="9" spans="1:19">
      <c r="B9" s="86" t="s">
        <v>67</v>
      </c>
      <c r="C9" s="87">
        <v>60</v>
      </c>
      <c r="D9" s="87">
        <v>10</v>
      </c>
      <c r="E9" s="88">
        <f>(($D9*$M9*$N9*[1]main!$E$2)+(($D9*(1-$M9)*$N9*$O9*[1]main!$G$2)+($D9*(1-$M9)*[1]main!$E$2*($O9+1)))+($D9*[1]main!$I$2)+[1]main!$K$2)/$I$3</f>
        <v>59.236626666666666</v>
      </c>
      <c r="F9" s="88">
        <f>(($D9*$M9*$N9*[1]main!$E$2)+(($D9*(1-$M9)*$N9*$O9*[1]main!$G$2)+($D9*(1-$M9)*[1]main!$E$2*($O9+1)))+($D9*[1]main!$I$2)+[1]main!$K$2)/$J$3</f>
        <v>53.312964000000001</v>
      </c>
      <c r="G9" s="88">
        <f>(($D9*$M9*$N9*[1]main!$E$2)+(($D9*(1-$M9)*$N9*$O9*[1]main!$G$2)+($D9*(1-$M9)*[1]main!$E$2*($O9+1)))+($D9*[1]main!$I$2)+[1]main!$K$2)/$K$3</f>
        <v>66.641204999999999</v>
      </c>
      <c r="H9" s="88">
        <f>(($D9*$M9*$N9*[1]main!$E$2)+(($D9*(1-$M9)*$N9*$O9*[1]main!$G$2)+($D9*(1-$M9)*[1]main!$E$2*($O9+1)))+($D9*[1]main!$I$2)+[1]main!$K$2)/$L$3</f>
        <v>66.641204999999999</v>
      </c>
      <c r="I9" s="89">
        <f t="shared" si="1"/>
        <v>0.98727711111111105</v>
      </c>
      <c r="J9" s="89">
        <f t="shared" si="1"/>
        <v>0.88854940000000004</v>
      </c>
      <c r="K9" s="89">
        <f t="shared" si="1"/>
        <v>1.1106867499999999</v>
      </c>
      <c r="L9" s="89">
        <f t="shared" si="1"/>
        <v>1.1106867499999999</v>
      </c>
      <c r="M9" s="90">
        <f>VLOOKUP(B9,[2]設定!$A$4:$E$2000,3,FALSE)</f>
        <v>0.7</v>
      </c>
      <c r="N9" s="90">
        <f>VLOOKUP(B9,[2]設定!$A$4:$E$2000,4,FALSE)</f>
        <v>1.43</v>
      </c>
      <c r="O9" s="90">
        <f>VLOOKUP(B9,[2]設定!$A$4:$E$2000,5,FALSE)</f>
        <v>1.97</v>
      </c>
      <c r="P9" s="91">
        <f t="shared" si="2"/>
        <v>60.773210808538053</v>
      </c>
      <c r="Q9" s="91">
        <f t="shared" si="0"/>
        <v>67.5257897872645</v>
      </c>
      <c r="R9" s="91">
        <f t="shared" si="0"/>
        <v>54.020631829811599</v>
      </c>
      <c r="S9" s="91">
        <f t="shared" si="0"/>
        <v>54.020631829811599</v>
      </c>
    </row>
    <row r="10" spans="1:19">
      <c r="B10" s="86" t="s">
        <v>68</v>
      </c>
      <c r="C10" s="87">
        <v>60</v>
      </c>
      <c r="D10" s="87">
        <v>12</v>
      </c>
      <c r="E10" s="88">
        <f>(($D10*$M10*$N10*[1]main!$E$2)+(($D10*(1-$M10)*$N10*$O10*[1]main!$G$2)+($D10*(1-$M10)*[1]main!$E$2*($O10+1)))+($D10*[1]main!$I$2)+[1]main!$K$2)/$I$3</f>
        <v>80.025969777777789</v>
      </c>
      <c r="F10" s="88">
        <f>(($D10*$M10*$N10*[1]main!$E$2)+(($D10*(1-$M10)*$N10*$O10*[1]main!$G$2)+($D10*(1-$M10)*[1]main!$E$2*($O10+1)))+($D10*[1]main!$I$2)+[1]main!$K$2)/$J$3</f>
        <v>72.023372800000004</v>
      </c>
      <c r="G10" s="88">
        <f>(($D10*$M10*$N10*[1]main!$E$2)+(($D10*(1-$M10)*$N10*$O10*[1]main!$G$2)+($D10*(1-$M10)*[1]main!$E$2*($O10+1)))+($D10*[1]main!$I$2)+[1]main!$K$2)/$K$3</f>
        <v>90.029216000000005</v>
      </c>
      <c r="H10" s="88">
        <f>(($D10*$M10*$N10*[1]main!$E$2)+(($D10*(1-$M10)*$N10*$O10*[1]main!$G$2)+($D10*(1-$M10)*[1]main!$E$2*($O10+1)))+($D10*[1]main!$I$2)+[1]main!$K$2)/$L$3</f>
        <v>90.029216000000005</v>
      </c>
      <c r="I10" s="89">
        <f t="shared" si="1"/>
        <v>1.3337661629629631</v>
      </c>
      <c r="J10" s="89">
        <f t="shared" si="1"/>
        <v>1.2003895466666668</v>
      </c>
      <c r="K10" s="89">
        <f t="shared" si="1"/>
        <v>1.5004869333333335</v>
      </c>
      <c r="L10" s="89">
        <f t="shared" si="1"/>
        <v>1.5004869333333335</v>
      </c>
      <c r="M10" s="90">
        <f>VLOOKUP(B10,[2]設定!$A$4:$E$2000,3,FALSE)</f>
        <v>0.73</v>
      </c>
      <c r="N10" s="90">
        <f>VLOOKUP(B10,[2]設定!$A$4:$E$2000,4,FALSE)</f>
        <v>1.32</v>
      </c>
      <c r="O10" s="90">
        <f>VLOOKUP(B10,[2]設定!$A$4:$E$2000,5,FALSE)</f>
        <v>3.2</v>
      </c>
      <c r="P10" s="91">
        <f>3600/E10</f>
        <v>44.985396740542534</v>
      </c>
      <c r="Q10" s="91">
        <f t="shared" si="0"/>
        <v>49.983774156158368</v>
      </c>
      <c r="R10" s="91">
        <f t="shared" si="0"/>
        <v>39.987019324926699</v>
      </c>
      <c r="S10" s="91">
        <f t="shared" si="0"/>
        <v>39.987019324926699</v>
      </c>
    </row>
    <row r="11" spans="1:19">
      <c r="B11" s="86"/>
      <c r="C11" s="87"/>
      <c r="D11" s="87"/>
      <c r="E11" s="88" t="e">
        <f>(($D11*$M11*$N11*[1]main!$E$2)+(($D11*(1-$M11)*$N11*$O11*[1]main!$G$2)+($D11*(1-$M11)*[1]main!$E$2*($O11+1)))+($D11*[1]main!$I$2)+[1]main!$K$2)/$I$3</f>
        <v>#N/A</v>
      </c>
      <c r="F11" s="88" t="e">
        <f>(($D11*$M11*$N11*[1]main!$E$2)+(($D11*(1-$M11)*$N11*$O11*[1]main!$G$2)+($D11*(1-$M11)*[1]main!$E$2*($O11+1)))+($D11*[1]main!$I$2)+[1]main!$K$2)/$J$3</f>
        <v>#N/A</v>
      </c>
      <c r="G11" s="88" t="e">
        <f>(($D11*$M11*$N11*[1]main!$E$2)+(($D11*(1-$M11)*$N11*$O11*[1]main!$G$2)+($D11*(1-$M11)*[1]main!$E$2*($O11+1)))+($D11*[1]main!$I$2)+[1]main!$K$2)/$K$3</f>
        <v>#N/A</v>
      </c>
      <c r="H11" s="88" t="e">
        <f>(($D11*$M11*$N11*[1]main!$E$2)+(($D11*(1-$M11)*$N11*$O11*[1]main!$G$2)+($D11*(1-$M11)*[1]main!$E$2*($O11+1)))+($D11*[1]main!$I$2)+[1]main!$K$2)/$L$3</f>
        <v>#N/A</v>
      </c>
      <c r="I11" s="89" t="e">
        <f t="shared" si="1"/>
        <v>#N/A</v>
      </c>
      <c r="J11" s="89" t="e">
        <f t="shared" si="1"/>
        <v>#N/A</v>
      </c>
      <c r="K11" s="89" t="e">
        <f t="shared" si="1"/>
        <v>#N/A</v>
      </c>
      <c r="L11" s="89" t="e">
        <f t="shared" si="1"/>
        <v>#N/A</v>
      </c>
      <c r="M11" s="90" t="e">
        <f>VLOOKUP(B11,[2]設定!$A$4:$E$2000,3,FALSE)</f>
        <v>#N/A</v>
      </c>
      <c r="N11" s="90" t="e">
        <f>VLOOKUP(B11,[2]設定!$A$4:$E$2000,4,FALSE)</f>
        <v>#N/A</v>
      </c>
      <c r="O11" s="90" t="e">
        <f>VLOOKUP(B11,[2]設定!$A$4:$E$2000,5,FALSE)</f>
        <v>#N/A</v>
      </c>
      <c r="P11" s="91" t="e">
        <f t="shared" si="2"/>
        <v>#N/A</v>
      </c>
      <c r="Q11" s="91" t="e">
        <f t="shared" si="0"/>
        <v>#N/A</v>
      </c>
      <c r="R11" s="91" t="e">
        <f t="shared" si="0"/>
        <v>#N/A</v>
      </c>
      <c r="S11" s="91" t="e">
        <f t="shared" si="0"/>
        <v>#N/A</v>
      </c>
    </row>
    <row r="12" spans="1:19">
      <c r="B12" s="86"/>
      <c r="C12" s="87"/>
      <c r="D12" s="87"/>
      <c r="E12" s="88" t="e">
        <f>(($D12*$M12*$N12*[1]main!$E$2)+(($D12*(1-$M12)*$N12*$O12*[1]main!$G$2)+($D12*(1-$M12)*[1]main!$E$2*($O12+1)))+($D12*[1]main!$I$2)+[1]main!$K$2)/$I$3</f>
        <v>#N/A</v>
      </c>
      <c r="F12" s="88" t="e">
        <f>(($D12*$M12*$N12*[1]main!$E$2)+(($D12*(1-$M12)*$N12*$O12*[1]main!$G$2)+($D12*(1-$M12)*[1]main!$E$2*($O12+1)))+($D12*[1]main!$I$2)+[1]main!$K$2)/$J$3</f>
        <v>#N/A</v>
      </c>
      <c r="G12" s="88" t="e">
        <f>(($D12*$M12*$N12*[1]main!$E$2)+(($D12*(1-$M12)*$N12*$O12*[1]main!$G$2)+($D12*(1-$M12)*[1]main!$E$2*($O12+1)))+($D12*[1]main!$I$2)+[1]main!$K$2)/$K$3</f>
        <v>#N/A</v>
      </c>
      <c r="H12" s="88" t="e">
        <f>(($D12*$M12*$N12*[1]main!$E$2)+(($D12*(1-$M12)*$N12*$O12*[1]main!$G$2)+($D12*(1-$M12)*[1]main!$E$2*($O12+1)))+($D12*[1]main!$I$2)+[1]main!$K$2)/$L$3</f>
        <v>#N/A</v>
      </c>
      <c r="I12" s="89" t="e">
        <f t="shared" si="1"/>
        <v>#N/A</v>
      </c>
      <c r="J12" s="89" t="e">
        <f t="shared" si="1"/>
        <v>#N/A</v>
      </c>
      <c r="K12" s="89" t="e">
        <f t="shared" si="1"/>
        <v>#N/A</v>
      </c>
      <c r="L12" s="89" t="e">
        <f t="shared" si="1"/>
        <v>#N/A</v>
      </c>
      <c r="M12" s="90" t="e">
        <f>VLOOKUP(B12,[2]設定!$A$4:$E$2000,3,FALSE)</f>
        <v>#N/A</v>
      </c>
      <c r="N12" s="90" t="e">
        <f>VLOOKUP(B12,[2]設定!$A$4:$E$2000,4,FALSE)</f>
        <v>#N/A</v>
      </c>
      <c r="O12" s="90" t="e">
        <f>VLOOKUP(B12,[2]設定!$A$4:$E$2000,5,FALSE)</f>
        <v>#N/A</v>
      </c>
      <c r="P12" s="91" t="e">
        <f t="shared" si="2"/>
        <v>#N/A</v>
      </c>
      <c r="Q12" s="91" t="e">
        <f t="shared" si="0"/>
        <v>#N/A</v>
      </c>
      <c r="R12" s="91" t="e">
        <f t="shared" si="0"/>
        <v>#N/A</v>
      </c>
      <c r="S12" s="91" t="e">
        <f t="shared" si="0"/>
        <v>#N/A</v>
      </c>
    </row>
    <row r="13" spans="1:19">
      <c r="B13" s="86"/>
      <c r="C13" s="87"/>
      <c r="D13" s="87"/>
      <c r="E13" s="88" t="e">
        <f>(($D13*$M13*$N13*[1]main!$E$2)+(($D13*(1-$M13)*$N13*$O13*[1]main!$G$2)+($D13*(1-$M13)*[1]main!$E$2*($O13+1)))+($D13*[1]main!$I$2)+[1]main!$K$2)/$I$3</f>
        <v>#N/A</v>
      </c>
      <c r="F13" s="88" t="e">
        <f>(($D13*$M13*$N13*[1]main!$E$2)+(($D13*(1-$M13)*$N13*$O13*[1]main!$G$2)+($D13*(1-$M13)*[1]main!$E$2*($O13+1)))+($D13*[1]main!$I$2)+[1]main!$K$2)/$J$3</f>
        <v>#N/A</v>
      </c>
      <c r="G13" s="88" t="e">
        <f>(($D13*$M13*$N13*[1]main!$E$2)+(($D13*(1-$M13)*$N13*$O13*[1]main!$G$2)+($D13*(1-$M13)*[1]main!$E$2*($O13+1)))+($D13*[1]main!$I$2)+[1]main!$K$2)/$K$3</f>
        <v>#N/A</v>
      </c>
      <c r="H13" s="88" t="e">
        <f>(($D13*$M13*$N13*[1]main!$E$2)+(($D13*(1-$M13)*$N13*$O13*[1]main!$G$2)+($D13*(1-$M13)*[1]main!$E$2*($O13+1)))+($D13*[1]main!$I$2)+[1]main!$K$2)/$L$3</f>
        <v>#N/A</v>
      </c>
      <c r="I13" s="89" t="e">
        <f t="shared" si="1"/>
        <v>#N/A</v>
      </c>
      <c r="J13" s="89" t="e">
        <f t="shared" si="1"/>
        <v>#N/A</v>
      </c>
      <c r="K13" s="89" t="e">
        <f t="shared" si="1"/>
        <v>#N/A</v>
      </c>
      <c r="L13" s="89" t="e">
        <f t="shared" si="1"/>
        <v>#N/A</v>
      </c>
      <c r="M13" s="90" t="e">
        <f>VLOOKUP(B13,[2]設定!$A$4:$E$2000,3,FALSE)</f>
        <v>#N/A</v>
      </c>
      <c r="N13" s="90" t="e">
        <f>VLOOKUP(B13,[2]設定!$A$4:$E$2000,4,FALSE)</f>
        <v>#N/A</v>
      </c>
      <c r="O13" s="90" t="e">
        <f>VLOOKUP(B13,[2]設定!$A$4:$E$2000,5,FALSE)</f>
        <v>#N/A</v>
      </c>
      <c r="P13" s="91" t="e">
        <f t="shared" si="2"/>
        <v>#N/A</v>
      </c>
      <c r="Q13" s="91" t="e">
        <f t="shared" si="0"/>
        <v>#N/A</v>
      </c>
      <c r="R13" s="91" t="e">
        <f t="shared" si="0"/>
        <v>#N/A</v>
      </c>
      <c r="S13" s="91" t="e">
        <f t="shared" si="0"/>
        <v>#N/A</v>
      </c>
    </row>
    <row r="14" spans="1:19">
      <c r="B14" s="86"/>
      <c r="C14" s="87"/>
      <c r="D14" s="87"/>
      <c r="E14" s="88" t="e">
        <f>(($D14*$M14*$N14*[1]main!$E$2)+(($D14*(1-$M14)*$N14*$O14*[1]main!$G$2)+($D14*(1-$M14)*[1]main!$E$2*($O14+1)))+($D14*[1]main!$I$2)+[1]main!$K$2)/$I$3</f>
        <v>#N/A</v>
      </c>
      <c r="F14" s="88" t="e">
        <f>(($D14*$M14*$N14*[1]main!$E$2)+(($D14*(1-$M14)*$N14*$O14*[1]main!$G$2)+($D14*(1-$M14)*[1]main!$E$2*($O14+1)))+($D14*[1]main!$I$2)+[1]main!$K$2)/$J$3</f>
        <v>#N/A</v>
      </c>
      <c r="G14" s="88" t="e">
        <f>(($D14*$M14*$N14*[1]main!$E$2)+(($D14*(1-$M14)*$N14*$O14*[1]main!$G$2)+($D14*(1-$M14)*[1]main!$E$2*($O14+1)))+($D14*[1]main!$I$2)+[1]main!$K$2)/$K$3</f>
        <v>#N/A</v>
      </c>
      <c r="H14" s="88" t="e">
        <f>(($D14*$M14*$N14*[1]main!$E$2)+(($D14*(1-$M14)*$N14*$O14*[1]main!$G$2)+($D14*(1-$M14)*[1]main!$E$2*($O14+1)))+($D14*[1]main!$I$2)+[1]main!$K$2)/$L$3</f>
        <v>#N/A</v>
      </c>
      <c r="I14" s="89" t="e">
        <f t="shared" si="1"/>
        <v>#N/A</v>
      </c>
      <c r="J14" s="89" t="e">
        <f t="shared" si="1"/>
        <v>#N/A</v>
      </c>
      <c r="K14" s="89" t="e">
        <f t="shared" si="1"/>
        <v>#N/A</v>
      </c>
      <c r="L14" s="89" t="e">
        <f t="shared" si="1"/>
        <v>#N/A</v>
      </c>
      <c r="M14" s="90" t="e">
        <f>VLOOKUP(B14,[2]設定!$A$4:$E$2000,3,FALSE)</f>
        <v>#N/A</v>
      </c>
      <c r="N14" s="90" t="e">
        <f>VLOOKUP(B14,[2]設定!$A$4:$E$2000,4,FALSE)</f>
        <v>#N/A</v>
      </c>
      <c r="O14" s="90" t="e">
        <f>VLOOKUP(B14,[2]設定!$A$4:$E$2000,5,FALSE)</f>
        <v>#N/A</v>
      </c>
      <c r="P14" s="91" t="e">
        <f t="shared" si="2"/>
        <v>#N/A</v>
      </c>
      <c r="Q14" s="91" t="e">
        <f t="shared" si="0"/>
        <v>#N/A</v>
      </c>
      <c r="R14" s="91" t="e">
        <f t="shared" si="0"/>
        <v>#N/A</v>
      </c>
      <c r="S14" s="91" t="e">
        <f t="shared" si="0"/>
        <v>#N/A</v>
      </c>
    </row>
    <row r="15" spans="1:19">
      <c r="B15" s="86"/>
      <c r="C15" s="87"/>
      <c r="D15" s="87"/>
      <c r="E15" s="88" t="e">
        <f>(($D15*$M15*$N15*[1]main!$E$2)+(($D15*(1-$M15)*$N15*$O15*[1]main!$G$2)+($D15*(1-$M15)*[1]main!$E$2*($O15+1)))+($D15*[1]main!$I$2)+[1]main!$K$2)/$I$3</f>
        <v>#N/A</v>
      </c>
      <c r="F15" s="88" t="e">
        <f>(($D15*$M15*$N15*[1]main!$E$2)+(($D15*(1-$M15)*$N15*$O15*[1]main!$G$2)+($D15*(1-$M15)*[1]main!$E$2*($O15+1)))+($D15*[1]main!$I$2)+[1]main!$K$2)/$J$3</f>
        <v>#N/A</v>
      </c>
      <c r="G15" s="88" t="e">
        <f>(($D15*$M15*$N15*[1]main!$E$2)+(($D15*(1-$M15)*$N15*$O15*[1]main!$G$2)+($D15*(1-$M15)*[1]main!$E$2*($O15+1)))+($D15*[1]main!$I$2)+[1]main!$K$2)/$K$3</f>
        <v>#N/A</v>
      </c>
      <c r="H15" s="88" t="e">
        <f>(($D15*$M15*$N15*[1]main!$E$2)+(($D15*(1-$M15)*$N15*$O15*[1]main!$G$2)+($D15*(1-$M15)*[1]main!$E$2*($O15+1)))+($D15*[1]main!$I$2)+[1]main!$K$2)/$L$3</f>
        <v>#N/A</v>
      </c>
      <c r="I15" s="89" t="e">
        <f t="shared" si="1"/>
        <v>#N/A</v>
      </c>
      <c r="J15" s="89" t="e">
        <f t="shared" si="1"/>
        <v>#N/A</v>
      </c>
      <c r="K15" s="89" t="e">
        <f t="shared" si="1"/>
        <v>#N/A</v>
      </c>
      <c r="L15" s="89" t="e">
        <f t="shared" si="1"/>
        <v>#N/A</v>
      </c>
      <c r="M15" s="90" t="e">
        <f>VLOOKUP(B15,[2]設定!$A$4:$E$2000,3,FALSE)</f>
        <v>#N/A</v>
      </c>
      <c r="N15" s="90" t="e">
        <f>VLOOKUP(B15,[2]設定!$A$4:$E$2000,4,FALSE)</f>
        <v>#N/A</v>
      </c>
      <c r="O15" s="90" t="e">
        <f>VLOOKUP(B15,[2]設定!$A$4:$E$2000,5,FALSE)</f>
        <v>#N/A</v>
      </c>
      <c r="P15" s="91" t="e">
        <f t="shared" si="2"/>
        <v>#N/A</v>
      </c>
      <c r="Q15" s="91" t="e">
        <f t="shared" si="0"/>
        <v>#N/A</v>
      </c>
      <c r="R15" s="91" t="e">
        <f t="shared" si="0"/>
        <v>#N/A</v>
      </c>
      <c r="S15" s="91" t="e">
        <f t="shared" si="0"/>
        <v>#N/A</v>
      </c>
    </row>
    <row r="16" spans="1:19">
      <c r="B16" s="86"/>
      <c r="C16" s="87"/>
      <c r="D16" s="87"/>
      <c r="E16" s="88" t="e">
        <f>(($D16*$M16*$N16*[1]main!$E$2)+(($D16*(1-$M16)*$N16*$O16*[1]main!$G$2)+($D16*(1-$M16)*[1]main!$E$2*($O16+1)))+($D16*[1]main!$I$2)+[1]main!$K$2)/$I$3</f>
        <v>#N/A</v>
      </c>
      <c r="F16" s="88" t="e">
        <f>(($D16*$M16*$N16*[1]main!$E$2)+(($D16*(1-$M16)*$N16*$O16*[1]main!$G$2)+($D16*(1-$M16)*[1]main!$E$2*($O16+1)))+($D16*[1]main!$I$2)+[1]main!$K$2)/$J$3</f>
        <v>#N/A</v>
      </c>
      <c r="G16" s="88" t="e">
        <f>(($D16*$M16*$N16*[1]main!$E$2)+(($D16*(1-$M16)*$N16*$O16*[1]main!$G$2)+($D16*(1-$M16)*[1]main!$E$2*($O16+1)))+($D16*[1]main!$I$2)+[1]main!$K$2)/$K$3</f>
        <v>#N/A</v>
      </c>
      <c r="H16" s="88" t="e">
        <f>(($D16*$M16*$N16*[1]main!$E$2)+(($D16*(1-$M16)*$N16*$O16*[1]main!$G$2)+($D16*(1-$M16)*[1]main!$E$2*($O16+1)))+($D16*[1]main!$I$2)+[1]main!$K$2)/$L$3</f>
        <v>#N/A</v>
      </c>
      <c r="I16" s="89" t="e">
        <f t="shared" si="1"/>
        <v>#N/A</v>
      </c>
      <c r="J16" s="89" t="e">
        <f t="shared" si="1"/>
        <v>#N/A</v>
      </c>
      <c r="K16" s="89" t="e">
        <f t="shared" si="1"/>
        <v>#N/A</v>
      </c>
      <c r="L16" s="89" t="e">
        <f t="shared" si="1"/>
        <v>#N/A</v>
      </c>
      <c r="M16" s="90" t="e">
        <f>VLOOKUP(B16,[2]設定!$A$4:$E$2000,3,FALSE)</f>
        <v>#N/A</v>
      </c>
      <c r="N16" s="90" t="e">
        <f>VLOOKUP(B16,[2]設定!$A$4:$E$2000,4,FALSE)</f>
        <v>#N/A</v>
      </c>
      <c r="O16" s="90" t="e">
        <f>VLOOKUP(B16,[2]設定!$A$4:$E$2000,5,FALSE)</f>
        <v>#N/A</v>
      </c>
      <c r="P16" s="91" t="e">
        <f t="shared" si="2"/>
        <v>#N/A</v>
      </c>
      <c r="Q16" s="91" t="e">
        <f t="shared" si="0"/>
        <v>#N/A</v>
      </c>
      <c r="R16" s="91" t="e">
        <f t="shared" si="0"/>
        <v>#N/A</v>
      </c>
      <c r="S16" s="91" t="e">
        <f t="shared" si="0"/>
        <v>#N/A</v>
      </c>
    </row>
    <row r="17" spans="2:19">
      <c r="B17" s="86"/>
      <c r="C17" s="87"/>
      <c r="D17" s="87"/>
      <c r="E17" s="88" t="e">
        <f>(($D17*$M17*$N17*[1]main!$E$2)+(($D17*(1-$M17)*$N17*$O17*[1]main!$G$2)+($D17*(1-$M17)*[1]main!$E$2*($O17+1)))+($D17*[1]main!$I$2)+[1]main!$K$2)/$I$3</f>
        <v>#N/A</v>
      </c>
      <c r="F17" s="88" t="e">
        <f>(($D17*$M17*$N17*[1]main!$E$2)+(($D17*(1-$M17)*$N17*$O17*[1]main!$G$2)+($D17*(1-$M17)*[1]main!$E$2*($O17+1)))+($D17*[1]main!$I$2)+[1]main!$K$2)/$J$3</f>
        <v>#N/A</v>
      </c>
      <c r="G17" s="88" t="e">
        <f>(($D17*$M17*$N17*[1]main!$E$2)+(($D17*(1-$M17)*$N17*$O17*[1]main!$G$2)+($D17*(1-$M17)*[1]main!$E$2*($O17+1)))+($D17*[1]main!$I$2)+[1]main!$K$2)/$K$3</f>
        <v>#N/A</v>
      </c>
      <c r="H17" s="88" t="e">
        <f>(($D17*$M17*$N17*[1]main!$E$2)+(($D17*(1-$M17)*$N17*$O17*[1]main!$G$2)+($D17*(1-$M17)*[1]main!$E$2*($O17+1)))+($D17*[1]main!$I$2)+[1]main!$K$2)/$L$3</f>
        <v>#N/A</v>
      </c>
      <c r="I17" s="89" t="e">
        <f t="shared" si="1"/>
        <v>#N/A</v>
      </c>
      <c r="J17" s="89" t="e">
        <f t="shared" si="1"/>
        <v>#N/A</v>
      </c>
      <c r="K17" s="89" t="e">
        <f t="shared" si="1"/>
        <v>#N/A</v>
      </c>
      <c r="L17" s="89" t="e">
        <f t="shared" si="1"/>
        <v>#N/A</v>
      </c>
      <c r="M17" s="90" t="e">
        <f>VLOOKUP(B17,[2]設定!$A$4:$E$2000,3,FALSE)</f>
        <v>#N/A</v>
      </c>
      <c r="N17" s="90" t="e">
        <f>VLOOKUP(B17,[2]設定!$A$4:$E$2000,4,FALSE)</f>
        <v>#N/A</v>
      </c>
      <c r="O17" s="90" t="e">
        <f>VLOOKUP(B17,[2]設定!$A$4:$E$2000,5,FALSE)</f>
        <v>#N/A</v>
      </c>
      <c r="P17" s="91" t="e">
        <f t="shared" si="2"/>
        <v>#N/A</v>
      </c>
      <c r="Q17" s="91" t="e">
        <f t="shared" si="0"/>
        <v>#N/A</v>
      </c>
      <c r="R17" s="91" t="e">
        <f t="shared" si="0"/>
        <v>#N/A</v>
      </c>
      <c r="S17" s="91" t="e">
        <f t="shared" si="0"/>
        <v>#N/A</v>
      </c>
    </row>
    <row r="18" spans="2:19">
      <c r="I18" s="92"/>
      <c r="J18" s="92"/>
      <c r="K18" s="92"/>
      <c r="L18" s="92"/>
    </row>
    <row r="19" spans="2:19">
      <c r="C19" s="132" t="s">
        <v>46</v>
      </c>
      <c r="D19" s="132"/>
      <c r="E19" s="132"/>
      <c r="F19" s="69"/>
      <c r="G19" s="69"/>
      <c r="H19" s="69"/>
    </row>
    <row r="20" spans="2:19">
      <c r="B20" s="79" t="s">
        <v>55</v>
      </c>
      <c r="C20" s="93" t="s">
        <v>69</v>
      </c>
      <c r="D20" s="93" t="s">
        <v>70</v>
      </c>
      <c r="E20" s="93" t="s">
        <v>71</v>
      </c>
      <c r="F20" s="69"/>
      <c r="G20" s="69"/>
      <c r="H20" s="69"/>
    </row>
    <row r="21" spans="2:19">
      <c r="B21" s="86" t="s">
        <v>64</v>
      </c>
      <c r="C21" s="94">
        <v>74.2</v>
      </c>
      <c r="D21" s="94">
        <v>6</v>
      </c>
      <c r="E21" s="94">
        <f t="shared" ref="E21:E22" si="3">IF(C21,(D21*60*60)/C21,0)</f>
        <v>291.10512129380055</v>
      </c>
      <c r="F21" s="130">
        <f>SUM(E21:E25)</f>
        <v>582.2102425876011</v>
      </c>
      <c r="G21" s="69"/>
      <c r="H21" s="69"/>
    </row>
    <row r="22" spans="2:19">
      <c r="B22" s="86" t="s">
        <v>65</v>
      </c>
      <c r="C22" s="95">
        <v>74.2</v>
      </c>
      <c r="D22" s="95">
        <v>6</v>
      </c>
      <c r="E22" s="94">
        <f t="shared" si="3"/>
        <v>291.10512129380055</v>
      </c>
      <c r="F22" s="131"/>
      <c r="G22" s="69"/>
      <c r="H22" s="69"/>
    </row>
    <row r="23" spans="2:19">
      <c r="B23" s="86"/>
      <c r="C23" s="95"/>
      <c r="D23" s="95"/>
      <c r="E23" s="94">
        <f>IF(C23,(D23*60*60)/C23,0)</f>
        <v>0</v>
      </c>
      <c r="F23" s="131"/>
      <c r="G23" s="69"/>
      <c r="H23" s="69"/>
    </row>
    <row r="24" spans="2:19">
      <c r="B24" s="86"/>
      <c r="C24" s="95"/>
      <c r="D24" s="95"/>
      <c r="E24" s="94">
        <f t="shared" ref="E24:E25" si="4">IF(C24,(D24*60*60)/C24,0)</f>
        <v>0</v>
      </c>
      <c r="F24" s="131"/>
      <c r="G24" s="69"/>
      <c r="H24" s="69"/>
    </row>
    <row r="25" spans="2:19">
      <c r="B25" s="86"/>
      <c r="C25" s="95"/>
      <c r="D25" s="95"/>
      <c r="E25" s="94">
        <f t="shared" si="4"/>
        <v>0</v>
      </c>
      <c r="F25" s="131"/>
      <c r="G25" s="69"/>
      <c r="H25" s="69"/>
    </row>
    <row r="26" spans="2:19">
      <c r="C26" s="132" t="s">
        <v>58</v>
      </c>
      <c r="D26" s="132"/>
      <c r="E26" s="132"/>
      <c r="F26" s="69"/>
      <c r="G26" s="69"/>
      <c r="H26" s="69"/>
    </row>
    <row r="27" spans="2:19">
      <c r="B27" s="79" t="s">
        <v>55</v>
      </c>
      <c r="C27" s="93" t="s">
        <v>69</v>
      </c>
      <c r="D27" s="93" t="s">
        <v>70</v>
      </c>
      <c r="E27" s="93" t="s">
        <v>71</v>
      </c>
      <c r="F27" s="69"/>
      <c r="G27" s="69"/>
      <c r="H27" s="69"/>
    </row>
    <row r="28" spans="2:19">
      <c r="B28" s="86" t="s">
        <v>66</v>
      </c>
      <c r="C28" s="94">
        <v>35.1</v>
      </c>
      <c r="D28" s="94">
        <v>12</v>
      </c>
      <c r="E28" s="94">
        <f>IF(C28,(D28*60*60)/C28,0)</f>
        <v>1230.7692307692307</v>
      </c>
      <c r="F28" s="130">
        <f>SUM(E28:E32)</f>
        <v>1230.7692307692307</v>
      </c>
      <c r="G28" s="69"/>
      <c r="H28" s="69"/>
    </row>
    <row r="29" spans="2:19">
      <c r="B29" s="86"/>
      <c r="C29" s="95"/>
      <c r="D29" s="95"/>
      <c r="E29" s="94">
        <f>IF(C29,(D29*60*60)/C29,0)</f>
        <v>0</v>
      </c>
      <c r="F29" s="131"/>
      <c r="G29" s="69"/>
      <c r="H29" s="69"/>
    </row>
    <row r="30" spans="2:19">
      <c r="B30" s="86"/>
      <c r="C30" s="95"/>
      <c r="D30" s="95"/>
      <c r="E30" s="94">
        <f t="shared" ref="E30:E32" si="5">IF(C30,(D30*60*60)/C30,0)</f>
        <v>0</v>
      </c>
      <c r="F30" s="131"/>
    </row>
    <row r="31" spans="2:19">
      <c r="B31" s="86"/>
      <c r="C31" s="95"/>
      <c r="D31" s="95"/>
      <c r="E31" s="94">
        <f t="shared" si="5"/>
        <v>0</v>
      </c>
      <c r="F31" s="131"/>
    </row>
    <row r="32" spans="2:19">
      <c r="B32" s="86"/>
      <c r="C32" s="95"/>
      <c r="D32" s="95"/>
      <c r="E32" s="94">
        <f t="shared" si="5"/>
        <v>0</v>
      </c>
      <c r="F32" s="131"/>
    </row>
    <row r="33" spans="2:6">
      <c r="C33" s="132" t="s">
        <v>59</v>
      </c>
      <c r="D33" s="132"/>
      <c r="E33" s="132"/>
    </row>
    <row r="34" spans="2:6">
      <c r="B34" s="79" t="s">
        <v>55</v>
      </c>
      <c r="C34" s="93" t="s">
        <v>69</v>
      </c>
      <c r="D34" s="93" t="s">
        <v>70</v>
      </c>
      <c r="E34" s="93" t="s">
        <v>71</v>
      </c>
    </row>
    <row r="35" spans="2:6">
      <c r="B35" s="86" t="s">
        <v>67</v>
      </c>
      <c r="C35" s="94">
        <v>66.599999999999994</v>
      </c>
      <c r="D35" s="94">
        <v>12</v>
      </c>
      <c r="E35" s="94">
        <f>IF(C35,(D35*60*60)/C35,0)</f>
        <v>648.64864864864876</v>
      </c>
      <c r="F35" s="130">
        <f>SUM(E35:E39)</f>
        <v>648.64864864864876</v>
      </c>
    </row>
    <row r="36" spans="2:6">
      <c r="B36" s="86"/>
      <c r="C36" s="95"/>
      <c r="D36" s="95"/>
      <c r="E36" s="94">
        <f>IF(C36,(D36*60*60)/C36,0)</f>
        <v>0</v>
      </c>
      <c r="F36" s="131"/>
    </row>
    <row r="37" spans="2:6">
      <c r="B37" s="86"/>
      <c r="C37" s="95"/>
      <c r="D37" s="95"/>
      <c r="E37" s="94">
        <f t="shared" ref="E37:E39" si="6">IF(C37,(D37*60*60)/C37,0)</f>
        <v>0</v>
      </c>
      <c r="F37" s="131"/>
    </row>
    <row r="38" spans="2:6">
      <c r="B38" s="86"/>
      <c r="C38" s="95"/>
      <c r="D38" s="95"/>
      <c r="E38" s="94">
        <f t="shared" si="6"/>
        <v>0</v>
      </c>
      <c r="F38" s="131"/>
    </row>
    <row r="39" spans="2:6">
      <c r="B39" s="86"/>
      <c r="C39" s="95"/>
      <c r="D39" s="95"/>
      <c r="E39" s="94">
        <f t="shared" si="6"/>
        <v>0</v>
      </c>
      <c r="F39" s="131"/>
    </row>
    <row r="40" spans="2:6">
      <c r="C40" s="132" t="s">
        <v>60</v>
      </c>
      <c r="D40" s="132"/>
      <c r="E40" s="132"/>
    </row>
    <row r="41" spans="2:6">
      <c r="B41" s="79" t="s">
        <v>55</v>
      </c>
      <c r="C41" s="93" t="s">
        <v>69</v>
      </c>
      <c r="D41" s="93" t="s">
        <v>70</v>
      </c>
      <c r="E41" s="93" t="s">
        <v>71</v>
      </c>
    </row>
    <row r="42" spans="2:6">
      <c r="B42" s="86" t="s">
        <v>72</v>
      </c>
      <c r="C42" s="94">
        <v>90</v>
      </c>
      <c r="D42" s="94">
        <v>12</v>
      </c>
      <c r="E42" s="94">
        <f>IF(C42,(D42*60*60)/C42,0)</f>
        <v>480</v>
      </c>
      <c r="F42" s="130">
        <f>SUM(E42:E46)</f>
        <v>480</v>
      </c>
    </row>
    <row r="43" spans="2:6">
      <c r="B43" s="86"/>
      <c r="C43" s="95"/>
      <c r="D43" s="95"/>
      <c r="E43" s="94">
        <f>IF(C43,(D43*60*60)/C43,0)</f>
        <v>0</v>
      </c>
      <c r="F43" s="131"/>
    </row>
    <row r="44" spans="2:6">
      <c r="B44" s="86"/>
      <c r="C44" s="95"/>
      <c r="D44" s="95"/>
      <c r="E44" s="94">
        <f t="shared" ref="E44:E46" si="7">IF(C44,(D44*60*60)/C44,0)</f>
        <v>0</v>
      </c>
      <c r="F44" s="131"/>
    </row>
    <row r="45" spans="2:6">
      <c r="B45" s="86"/>
      <c r="C45" s="95"/>
      <c r="D45" s="95"/>
      <c r="E45" s="94">
        <f t="shared" si="7"/>
        <v>0</v>
      </c>
      <c r="F45" s="131"/>
    </row>
    <row r="46" spans="2:6">
      <c r="B46" s="86"/>
      <c r="C46" s="95"/>
      <c r="D46" s="95"/>
      <c r="E46" s="94">
        <f t="shared" si="7"/>
        <v>0</v>
      </c>
      <c r="F46" s="131"/>
    </row>
    <row r="47" spans="2:6">
      <c r="B47" s="68" t="s">
        <v>73</v>
      </c>
      <c r="F47" s="70">
        <f>SUM(F21,F28,F35,F42)</f>
        <v>2941.6281220054807</v>
      </c>
    </row>
  </sheetData>
  <mergeCells count="11">
    <mergeCell ref="C26:E26"/>
    <mergeCell ref="E4:H4"/>
    <mergeCell ref="I4:L4"/>
    <mergeCell ref="P4:S4"/>
    <mergeCell ref="C19:E19"/>
    <mergeCell ref="F21:F25"/>
    <mergeCell ref="F28:F32"/>
    <mergeCell ref="C33:E33"/>
    <mergeCell ref="F35:F39"/>
    <mergeCell ref="C40:E40"/>
    <mergeCell ref="F42:F46"/>
  </mergeCells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2"/>
  <dimension ref="A1:E47"/>
  <sheetViews>
    <sheetView workbookViewId="0">
      <selection activeCell="H22" sqref="H22"/>
    </sheetView>
  </sheetViews>
  <sheetFormatPr defaultRowHeight="16.5"/>
  <cols>
    <col min="1" max="1" width="9" style="68"/>
    <col min="2" max="2" width="9" style="69"/>
    <col min="3" max="3" width="11.5" style="69" customWidth="1"/>
    <col min="4" max="4" width="11.625" style="69" bestFit="1" customWidth="1"/>
    <col min="5" max="5" width="13.875" style="69" bestFit="1" customWidth="1"/>
    <col min="6" max="16384" width="9" style="69"/>
  </cols>
  <sheetData>
    <row r="1" spans="1:5">
      <c r="A1" s="96" t="s">
        <v>74</v>
      </c>
      <c r="B1" s="93" t="s">
        <v>75</v>
      </c>
      <c r="C1" s="93" t="s">
        <v>47</v>
      </c>
      <c r="D1" s="93" t="s">
        <v>48</v>
      </c>
      <c r="E1" s="93" t="s">
        <v>49</v>
      </c>
    </row>
    <row r="2" spans="1:5">
      <c r="A2" s="97" t="s">
        <v>76</v>
      </c>
      <c r="B2" s="98">
        <v>9</v>
      </c>
      <c r="C2" s="98">
        <v>10</v>
      </c>
      <c r="D2" s="98">
        <v>8</v>
      </c>
      <c r="E2" s="98">
        <v>8</v>
      </c>
    </row>
    <row r="3" spans="1:5">
      <c r="A3" s="99"/>
      <c r="B3" s="100"/>
      <c r="C3" s="101"/>
      <c r="D3" s="102"/>
      <c r="E3" s="102"/>
    </row>
    <row r="4" spans="1:5">
      <c r="A4" s="103" t="s">
        <v>77</v>
      </c>
      <c r="B4" s="95" t="s">
        <v>78</v>
      </c>
      <c r="C4" s="104" t="s">
        <v>79</v>
      </c>
      <c r="D4" s="105" t="s">
        <v>80</v>
      </c>
      <c r="E4" s="105" t="s">
        <v>81</v>
      </c>
    </row>
    <row r="5" spans="1:5">
      <c r="A5" s="86" t="s">
        <v>82</v>
      </c>
      <c r="B5" s="95" t="s">
        <v>83</v>
      </c>
      <c r="C5" s="106">
        <v>0.73</v>
      </c>
      <c r="D5" s="107">
        <v>1.32</v>
      </c>
      <c r="E5" s="107">
        <v>3.2</v>
      </c>
    </row>
    <row r="6" spans="1:5">
      <c r="A6" s="86" t="s">
        <v>84</v>
      </c>
      <c r="B6" s="95" t="s">
        <v>83</v>
      </c>
      <c r="C6" s="106">
        <v>0.73</v>
      </c>
      <c r="D6" s="107">
        <v>1.32</v>
      </c>
      <c r="E6" s="107">
        <v>3.2</v>
      </c>
    </row>
    <row r="7" spans="1:5">
      <c r="A7" s="86" t="s">
        <v>85</v>
      </c>
      <c r="B7" s="95" t="s">
        <v>83</v>
      </c>
      <c r="C7" s="106">
        <v>0.73</v>
      </c>
      <c r="D7" s="107">
        <v>1.32</v>
      </c>
      <c r="E7" s="107">
        <v>3.2</v>
      </c>
    </row>
    <row r="8" spans="1:5">
      <c r="A8" s="86" t="s">
        <v>86</v>
      </c>
      <c r="B8" s="95" t="s">
        <v>87</v>
      </c>
      <c r="C8" s="106">
        <v>0.7</v>
      </c>
      <c r="D8" s="107">
        <v>1.43</v>
      </c>
      <c r="E8" s="107">
        <v>1.97</v>
      </c>
    </row>
    <row r="9" spans="1:5">
      <c r="A9" s="86" t="s">
        <v>88</v>
      </c>
      <c r="B9" s="95" t="s">
        <v>83</v>
      </c>
      <c r="C9" s="106">
        <v>0.73</v>
      </c>
      <c r="D9" s="107">
        <v>1.32</v>
      </c>
      <c r="E9" s="107">
        <v>3.2</v>
      </c>
    </row>
    <row r="10" spans="1:5">
      <c r="A10" s="103" t="s">
        <v>89</v>
      </c>
      <c r="B10" s="95" t="s">
        <v>83</v>
      </c>
      <c r="C10" s="106">
        <v>0.73</v>
      </c>
      <c r="D10" s="107">
        <v>1.32</v>
      </c>
      <c r="E10" s="107">
        <v>3.2</v>
      </c>
    </row>
    <row r="11" spans="1:5">
      <c r="A11" s="103" t="s">
        <v>90</v>
      </c>
      <c r="B11" s="95" t="s">
        <v>83</v>
      </c>
      <c r="C11" s="106">
        <v>0.73</v>
      </c>
      <c r="D11" s="107">
        <v>1.32</v>
      </c>
      <c r="E11" s="107">
        <v>3.2</v>
      </c>
    </row>
    <row r="12" spans="1:5">
      <c r="A12" s="103"/>
      <c r="B12" s="95"/>
      <c r="C12" s="95"/>
      <c r="D12" s="95"/>
      <c r="E12" s="95"/>
    </row>
    <row r="13" spans="1:5">
      <c r="A13" s="103"/>
      <c r="B13" s="95"/>
      <c r="C13" s="95"/>
      <c r="D13" s="95"/>
      <c r="E13" s="95"/>
    </row>
    <row r="14" spans="1:5">
      <c r="A14" s="103"/>
      <c r="B14" s="95"/>
      <c r="C14" s="95"/>
      <c r="D14" s="95"/>
      <c r="E14" s="95"/>
    </row>
    <row r="15" spans="1:5">
      <c r="A15" s="103"/>
      <c r="B15" s="95"/>
      <c r="C15" s="95"/>
      <c r="D15" s="95"/>
      <c r="E15" s="95"/>
    </row>
    <row r="16" spans="1:5">
      <c r="A16" s="103"/>
      <c r="B16" s="95"/>
      <c r="C16" s="95"/>
      <c r="D16" s="95"/>
      <c r="E16" s="95"/>
    </row>
    <row r="17" spans="1:5">
      <c r="A17" s="103"/>
      <c r="B17" s="95"/>
      <c r="C17" s="95"/>
      <c r="D17" s="95"/>
      <c r="E17" s="95"/>
    </row>
    <row r="18" spans="1:5">
      <c r="A18" s="103"/>
      <c r="B18" s="95"/>
      <c r="C18" s="95"/>
      <c r="D18" s="95"/>
      <c r="E18" s="95"/>
    </row>
    <row r="19" spans="1:5">
      <c r="A19" s="103"/>
      <c r="B19" s="95"/>
      <c r="C19" s="95"/>
      <c r="D19" s="95"/>
      <c r="E19" s="95"/>
    </row>
    <row r="20" spans="1:5">
      <c r="A20" s="103"/>
      <c r="B20" s="95"/>
      <c r="C20" s="95"/>
      <c r="D20" s="95"/>
      <c r="E20" s="95"/>
    </row>
    <row r="21" spans="1:5">
      <c r="A21" s="103"/>
      <c r="B21" s="95"/>
      <c r="C21" s="95"/>
      <c r="D21" s="95"/>
      <c r="E21" s="95"/>
    </row>
    <row r="22" spans="1:5">
      <c r="A22" s="103"/>
      <c r="B22" s="95"/>
      <c r="C22" s="95"/>
      <c r="D22" s="95"/>
      <c r="E22" s="95"/>
    </row>
    <row r="23" spans="1:5">
      <c r="A23" s="103"/>
      <c r="B23" s="95"/>
      <c r="C23" s="95"/>
      <c r="D23" s="95"/>
      <c r="E23" s="95"/>
    </row>
    <row r="24" spans="1:5">
      <c r="A24" s="103"/>
      <c r="B24" s="95"/>
      <c r="C24" s="95"/>
      <c r="D24" s="95"/>
      <c r="E24" s="95"/>
    </row>
    <row r="25" spans="1:5">
      <c r="A25" s="103"/>
      <c r="B25" s="95"/>
      <c r="C25" s="95"/>
      <c r="D25" s="95"/>
      <c r="E25" s="95"/>
    </row>
    <row r="26" spans="1:5">
      <c r="A26" s="103"/>
      <c r="B26" s="95"/>
      <c r="C26" s="95"/>
      <c r="D26" s="95"/>
      <c r="E26" s="95"/>
    </row>
    <row r="27" spans="1:5">
      <c r="A27" s="103"/>
      <c r="B27" s="95"/>
      <c r="C27" s="95"/>
      <c r="D27" s="95"/>
      <c r="E27" s="95"/>
    </row>
    <row r="28" spans="1:5">
      <c r="A28" s="103"/>
      <c r="B28" s="95"/>
      <c r="C28" s="95"/>
      <c r="D28" s="95"/>
      <c r="E28" s="95"/>
    </row>
    <row r="29" spans="1:5">
      <c r="A29" s="103"/>
      <c r="B29" s="95"/>
      <c r="C29" s="95"/>
      <c r="D29" s="95"/>
      <c r="E29" s="95"/>
    </row>
    <row r="30" spans="1:5">
      <c r="A30" s="103"/>
      <c r="B30" s="95"/>
      <c r="C30" s="95"/>
      <c r="D30" s="95"/>
      <c r="E30" s="95"/>
    </row>
    <row r="31" spans="1:5">
      <c r="A31" s="103"/>
      <c r="B31" s="95"/>
      <c r="C31" s="95"/>
      <c r="D31" s="95"/>
      <c r="E31" s="95"/>
    </row>
    <row r="32" spans="1:5">
      <c r="A32" s="103"/>
      <c r="B32" s="95"/>
      <c r="C32" s="95"/>
      <c r="D32" s="95"/>
      <c r="E32" s="95"/>
    </row>
    <row r="33" spans="1:5">
      <c r="A33" s="103"/>
      <c r="B33" s="95"/>
      <c r="C33" s="95"/>
      <c r="D33" s="95"/>
      <c r="E33" s="95"/>
    </row>
    <row r="34" spans="1:5">
      <c r="A34" s="103"/>
      <c r="B34" s="95"/>
      <c r="C34" s="95"/>
      <c r="D34" s="95"/>
      <c r="E34" s="95"/>
    </row>
    <row r="35" spans="1:5">
      <c r="A35" s="103"/>
      <c r="B35" s="95"/>
      <c r="C35" s="95"/>
      <c r="D35" s="95"/>
      <c r="E35" s="95"/>
    </row>
    <row r="36" spans="1:5">
      <c r="A36" s="103"/>
      <c r="B36" s="95"/>
      <c r="C36" s="95"/>
      <c r="D36" s="95"/>
      <c r="E36" s="95"/>
    </row>
    <row r="37" spans="1:5">
      <c r="A37" s="103"/>
      <c r="B37" s="95"/>
      <c r="C37" s="95"/>
      <c r="D37" s="95"/>
      <c r="E37" s="95"/>
    </row>
    <row r="38" spans="1:5">
      <c r="A38" s="103"/>
      <c r="B38" s="95"/>
      <c r="C38" s="95"/>
      <c r="D38" s="95"/>
      <c r="E38" s="95"/>
    </row>
    <row r="39" spans="1:5">
      <c r="A39" s="103"/>
      <c r="B39" s="95"/>
      <c r="C39" s="95"/>
      <c r="D39" s="95"/>
      <c r="E39" s="95"/>
    </row>
    <row r="40" spans="1:5">
      <c r="A40" s="103"/>
      <c r="B40" s="95"/>
      <c r="C40" s="95"/>
      <c r="D40" s="95"/>
      <c r="E40" s="95"/>
    </row>
    <row r="41" spans="1:5">
      <c r="A41" s="103"/>
      <c r="B41" s="95"/>
      <c r="C41" s="95"/>
      <c r="D41" s="95"/>
      <c r="E41" s="95"/>
    </row>
    <row r="42" spans="1:5">
      <c r="A42" s="103"/>
      <c r="B42" s="95"/>
      <c r="C42" s="95"/>
      <c r="D42" s="95"/>
      <c r="E42" s="95"/>
    </row>
    <row r="43" spans="1:5">
      <c r="A43" s="103"/>
      <c r="B43" s="95"/>
      <c r="C43" s="95"/>
      <c r="D43" s="95"/>
      <c r="E43" s="95"/>
    </row>
    <row r="44" spans="1:5">
      <c r="A44" s="103"/>
      <c r="B44" s="95"/>
      <c r="C44" s="95"/>
      <c r="D44" s="95"/>
      <c r="E44" s="95"/>
    </row>
    <row r="45" spans="1:5">
      <c r="A45" s="103"/>
      <c r="B45" s="95"/>
      <c r="C45" s="95"/>
      <c r="D45" s="95"/>
      <c r="E45" s="95"/>
    </row>
    <row r="46" spans="1:5">
      <c r="A46" s="103"/>
      <c r="B46" s="95"/>
      <c r="C46" s="95"/>
      <c r="D46" s="95"/>
      <c r="E46" s="95"/>
    </row>
    <row r="47" spans="1:5">
      <c r="A47" s="103"/>
      <c r="B47" s="95"/>
      <c r="C47" s="95"/>
      <c r="D47" s="95"/>
      <c r="E47" s="95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4"/>
  <dimension ref="A109:J123"/>
  <sheetViews>
    <sheetView zoomScale="70" zoomScaleNormal="70" workbookViewId="0">
      <selection activeCell="J123" sqref="J123"/>
    </sheetView>
  </sheetViews>
  <sheetFormatPr defaultRowHeight="16.5"/>
  <sheetData>
    <row r="109" spans="1:6">
      <c r="A109" t="s">
        <v>91</v>
      </c>
      <c r="B109" t="s">
        <v>92</v>
      </c>
      <c r="C109" t="s">
        <v>93</v>
      </c>
      <c r="D109">
        <v>910</v>
      </c>
      <c r="E109" t="s">
        <v>94</v>
      </c>
      <c r="F109">
        <v>45</v>
      </c>
    </row>
    <row r="110" spans="1:6">
      <c r="A110" t="s">
        <v>95</v>
      </c>
      <c r="B110" s="108">
        <v>0.82969999999999999</v>
      </c>
      <c r="C110" t="s">
        <v>96</v>
      </c>
      <c r="D110">
        <v>155</v>
      </c>
    </row>
    <row r="111" spans="1:6">
      <c r="A111" t="s">
        <v>97</v>
      </c>
      <c r="B111" t="s">
        <v>98</v>
      </c>
      <c r="C111" t="s">
        <v>99</v>
      </c>
      <c r="D111" t="s">
        <v>100</v>
      </c>
    </row>
    <row r="112" spans="1:6">
      <c r="A112" t="s">
        <v>101</v>
      </c>
      <c r="B112" t="s">
        <v>102</v>
      </c>
      <c r="C112" t="s">
        <v>103</v>
      </c>
      <c r="D112" t="s">
        <v>104</v>
      </c>
      <c r="E112" t="s">
        <v>105</v>
      </c>
      <c r="F112" s="109" t="s">
        <v>106</v>
      </c>
    </row>
    <row r="113" spans="1:10">
      <c r="A113">
        <v>1</v>
      </c>
      <c r="B113" t="s">
        <v>107</v>
      </c>
      <c r="C113" s="108">
        <v>0.15379999999999999</v>
      </c>
      <c r="D113">
        <v>4.3559999999999999</v>
      </c>
      <c r="E113">
        <v>140</v>
      </c>
      <c r="F113" s="109">
        <v>196</v>
      </c>
    </row>
    <row r="114" spans="1:10">
      <c r="A114">
        <v>2</v>
      </c>
      <c r="B114" t="s">
        <v>108</v>
      </c>
      <c r="C114" s="108">
        <v>6.6E-3</v>
      </c>
      <c r="D114">
        <v>0.13300000000000001</v>
      </c>
      <c r="E114">
        <v>6</v>
      </c>
      <c r="F114" s="109">
        <v>6</v>
      </c>
    </row>
    <row r="115" spans="1:10">
      <c r="A115">
        <v>3</v>
      </c>
      <c r="B115" t="s">
        <v>109</v>
      </c>
      <c r="C115" s="108">
        <v>5.4999999999999997E-3</v>
      </c>
      <c r="D115">
        <v>0.111</v>
      </c>
      <c r="E115">
        <v>5</v>
      </c>
      <c r="F115" s="109">
        <v>5</v>
      </c>
    </row>
    <row r="116" spans="1:10">
      <c r="A116">
        <v>4</v>
      </c>
      <c r="B116" t="s">
        <v>110</v>
      </c>
      <c r="C116" s="108">
        <v>1.1000000000000001E-3</v>
      </c>
      <c r="D116">
        <v>4.3999999999999997E-2</v>
      </c>
      <c r="E116">
        <v>1</v>
      </c>
      <c r="F116" s="109">
        <v>2</v>
      </c>
    </row>
    <row r="117" spans="1:10">
      <c r="A117">
        <v>5</v>
      </c>
      <c r="B117" t="s">
        <v>111</v>
      </c>
      <c r="C117" s="108">
        <v>1.1000000000000001E-3</v>
      </c>
      <c r="D117">
        <v>0</v>
      </c>
      <c r="E117">
        <v>1</v>
      </c>
      <c r="F117" s="109">
        <v>0</v>
      </c>
    </row>
    <row r="118" spans="1:10">
      <c r="A118">
        <v>6</v>
      </c>
      <c r="B118" t="s">
        <v>112</v>
      </c>
      <c r="C118" s="108">
        <v>1.1000000000000001E-3</v>
      </c>
      <c r="D118">
        <v>2.1999999999999999E-2</v>
      </c>
      <c r="E118">
        <v>1</v>
      </c>
      <c r="F118" s="109">
        <v>1</v>
      </c>
    </row>
    <row r="119" spans="1:10">
      <c r="A119">
        <v>7</v>
      </c>
      <c r="B119" t="s">
        <v>113</v>
      </c>
      <c r="C119" s="108">
        <v>1.1000000000000001E-3</v>
      </c>
      <c r="D119">
        <v>2.1999999999999999E-2</v>
      </c>
      <c r="E119">
        <v>1</v>
      </c>
      <c r="F119" s="109">
        <v>1</v>
      </c>
    </row>
    <row r="120" spans="1:10">
      <c r="F120">
        <f>SUM(F113:F119)</f>
        <v>211</v>
      </c>
    </row>
    <row r="122" spans="1:10">
      <c r="A122" t="s">
        <v>114</v>
      </c>
    </row>
    <row r="123" spans="1:10">
      <c r="A123" s="110">
        <f>211/45</f>
        <v>4.6888888888888891</v>
      </c>
      <c r="J123" t="s">
        <v>115</v>
      </c>
    </row>
  </sheetData>
  <phoneticPr fontId="1" type="noConversion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班別</vt:lpstr>
      <vt:lpstr>績效看板</vt:lpstr>
      <vt:lpstr>加權</vt:lpstr>
      <vt:lpstr>RVRP Tact Time 預估工具</vt:lpstr>
      <vt:lpstr>設定</vt:lpstr>
      <vt:lpstr>平均P點計算</vt:lpstr>
    </vt:vector>
  </TitlesOfParts>
  <Company>Innolux Corp.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pocheng.yen</dc:creator>
  <cp:lastModifiedBy>Administrator</cp:lastModifiedBy>
  <dcterms:created xsi:type="dcterms:W3CDTF">2020-05-29T07:19:43Z</dcterms:created>
  <dcterms:modified xsi:type="dcterms:W3CDTF">2020-09-03T02:37:47Z</dcterms:modified>
</cp:coreProperties>
</file>