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720" yWindow="315" windowWidth="18075" windowHeight="11370" tabRatio="650" activeTab="2"/>
  </bookViews>
  <sheets>
    <sheet name="ROW" sheetId="1" r:id="rId1"/>
    <sheet name="架構" sheetId="2" r:id="rId2"/>
    <sheet name="看板" sheetId="4" r:id="rId3"/>
    <sheet name="滿批率" sheetId="5" r:id="rId4"/>
    <sheet name="實驗貨" sheetId="13" r:id="rId5"/>
    <sheet name="INPUT" sheetId="6" r:id="rId6"/>
    <sheet name="OUTPUT" sheetId="7" r:id="rId7"/>
    <sheet name="Empty CST" sheetId="10" r:id="rId8"/>
    <sheet name="滿批總表" sheetId="12" r:id="rId9"/>
    <sheet name="LCD總表" sheetId="14" r:id="rId10"/>
    <sheet name="時序" sheetId="8" r:id="rId11"/>
    <sheet name="實驗貨確認" sheetId="15" r:id="rId12"/>
    <sheet name="SUM" sheetId="16" r:id="rId13"/>
  </sheets>
  <functionGroups/>
  <definedNames>
    <definedName name="_xlnm._FilterDatabase" localSheetId="8" hidden="1">滿批總表!$A$1:$L$1556</definedName>
    <definedName name="Z_86E069D6_AAB6_4ACE_BC4B_ADB04AF4E9D6_.wvu.FilterData" localSheetId="3" hidden="1">滿批率!$A$1:$C$495</definedName>
    <definedName name="Z_86E069D6_AAB6_4ACE_BC4B_ADB04AF4E9D6_.wvu.Rows" localSheetId="0" hidden="1">ROW!$19:$20</definedName>
  </definedNames>
  <calcPr calcId="125725"/>
  <customWorkbookViews>
    <customWorkbookView name="sampen.ho - 個人檢視畫面" guid="{86E069D6-AAB6-4ACE-BC4B-ADB04AF4E9D6}" mergeInterval="0" personalView="1" maximized="1" xWindow="1" yWindow="1" windowWidth="1276" windowHeight="781" activeSheetId="4"/>
  </customWorkbookViews>
</workbook>
</file>

<file path=xl/calcChain.xml><?xml version="1.0" encoding="utf-8"?>
<calcChain xmlns="http://schemas.openxmlformats.org/spreadsheetml/2006/main">
  <c r="K195" i="16"/>
  <c r="L195"/>
  <c r="M195"/>
  <c r="N195"/>
  <c r="O195"/>
  <c r="P195"/>
  <c r="Q195"/>
  <c r="R195"/>
  <c r="S195"/>
  <c r="S196" s="1"/>
  <c r="K215"/>
  <c r="L215"/>
  <c r="M215"/>
  <c r="N215"/>
  <c r="O215"/>
  <c r="P215"/>
  <c r="Q215"/>
  <c r="R215"/>
  <c r="S215"/>
  <c r="K235"/>
  <c r="L235"/>
  <c r="M235"/>
  <c r="N235"/>
  <c r="O235"/>
  <c r="P235"/>
  <c r="Q235"/>
  <c r="R235"/>
  <c r="S235"/>
  <c r="K255"/>
  <c r="L255"/>
  <c r="L256" s="1"/>
  <c r="M255"/>
  <c r="N255"/>
  <c r="O255"/>
  <c r="P255"/>
  <c r="P256" s="1"/>
  <c r="Q255"/>
  <c r="R255"/>
  <c r="S255"/>
  <c r="K256"/>
  <c r="K275"/>
  <c r="L275"/>
  <c r="M275"/>
  <c r="N275"/>
  <c r="O275"/>
  <c r="P275"/>
  <c r="Q275"/>
  <c r="R275"/>
  <c r="R276" s="1"/>
  <c r="S275"/>
  <c r="K295"/>
  <c r="O296" s="1"/>
  <c r="L295"/>
  <c r="M295"/>
  <c r="N295"/>
  <c r="O295"/>
  <c r="P295"/>
  <c r="Q295"/>
  <c r="R295"/>
  <c r="S295"/>
  <c r="S296"/>
  <c r="K315"/>
  <c r="L315"/>
  <c r="M315"/>
  <c r="N315"/>
  <c r="O315"/>
  <c r="P315"/>
  <c r="Q315"/>
  <c r="R315"/>
  <c r="S315"/>
  <c r="K335"/>
  <c r="L335"/>
  <c r="M335"/>
  <c r="N335"/>
  <c r="O335"/>
  <c r="P335"/>
  <c r="Q335"/>
  <c r="R335"/>
  <c r="S335"/>
  <c r="K355"/>
  <c r="L355"/>
  <c r="M355"/>
  <c r="N355"/>
  <c r="O355"/>
  <c r="P355"/>
  <c r="Q355"/>
  <c r="R355"/>
  <c r="S355"/>
  <c r="K375"/>
  <c r="L375"/>
  <c r="M375"/>
  <c r="N375"/>
  <c r="N376" s="1"/>
  <c r="O375"/>
  <c r="P375"/>
  <c r="Q375"/>
  <c r="R375"/>
  <c r="R376" s="1"/>
  <c r="S375"/>
  <c r="S376"/>
  <c r="K395"/>
  <c r="R396" s="1"/>
  <c r="L395"/>
  <c r="M395"/>
  <c r="N395"/>
  <c r="O395"/>
  <c r="P395"/>
  <c r="Q395"/>
  <c r="R395"/>
  <c r="S395"/>
  <c r="K415"/>
  <c r="K416" s="1"/>
  <c r="L415"/>
  <c r="M415"/>
  <c r="N415"/>
  <c r="O415"/>
  <c r="O416" s="1"/>
  <c r="P415"/>
  <c r="Q415"/>
  <c r="Q416" s="1"/>
  <c r="R415"/>
  <c r="S415"/>
  <c r="K435"/>
  <c r="L435"/>
  <c r="M435"/>
  <c r="N435"/>
  <c r="O435"/>
  <c r="P435"/>
  <c r="Q435"/>
  <c r="R435"/>
  <c r="S435"/>
  <c r="K455"/>
  <c r="L455"/>
  <c r="S456" s="1"/>
  <c r="M455"/>
  <c r="N455"/>
  <c r="O455"/>
  <c r="P455"/>
  <c r="Q455"/>
  <c r="R455"/>
  <c r="S455"/>
  <c r="K475"/>
  <c r="R476" s="1"/>
  <c r="L475"/>
  <c r="M475"/>
  <c r="N475"/>
  <c r="O475"/>
  <c r="P475"/>
  <c r="Q475"/>
  <c r="R475"/>
  <c r="S475"/>
  <c r="K495"/>
  <c r="L495"/>
  <c r="M495"/>
  <c r="N495"/>
  <c r="O495"/>
  <c r="P495"/>
  <c r="Q495"/>
  <c r="R495"/>
  <c r="S495"/>
  <c r="K515"/>
  <c r="L515"/>
  <c r="M515"/>
  <c r="N515"/>
  <c r="O515"/>
  <c r="P515"/>
  <c r="Q515"/>
  <c r="R515"/>
  <c r="S515"/>
  <c r="K535"/>
  <c r="K536" s="1"/>
  <c r="L535"/>
  <c r="M535"/>
  <c r="M536" s="1"/>
  <c r="N535"/>
  <c r="O535"/>
  <c r="P535"/>
  <c r="Q535"/>
  <c r="Q536" s="1"/>
  <c r="R535"/>
  <c r="S535"/>
  <c r="S536"/>
  <c r="K555"/>
  <c r="R556" s="1"/>
  <c r="L555"/>
  <c r="M555"/>
  <c r="N555"/>
  <c r="O555"/>
  <c r="P555"/>
  <c r="Q555"/>
  <c r="R555"/>
  <c r="S555"/>
  <c r="K575"/>
  <c r="L575"/>
  <c r="M575"/>
  <c r="N575"/>
  <c r="O575"/>
  <c r="P575"/>
  <c r="Q575"/>
  <c r="R575"/>
  <c r="S575"/>
  <c r="K595"/>
  <c r="L595"/>
  <c r="M595"/>
  <c r="N595"/>
  <c r="O595"/>
  <c r="P595"/>
  <c r="Q595"/>
  <c r="R595"/>
  <c r="S595"/>
  <c r="K615"/>
  <c r="L615"/>
  <c r="S616" s="1"/>
  <c r="M615"/>
  <c r="N615"/>
  <c r="N616" s="1"/>
  <c r="O615"/>
  <c r="O616" s="1"/>
  <c r="P615"/>
  <c r="P616" s="1"/>
  <c r="Q615"/>
  <c r="R615"/>
  <c r="R616" s="1"/>
  <c r="S615"/>
  <c r="K635"/>
  <c r="L635"/>
  <c r="M635"/>
  <c r="N635"/>
  <c r="O635"/>
  <c r="P635"/>
  <c r="Q635"/>
  <c r="R635"/>
  <c r="S635"/>
  <c r="K655"/>
  <c r="L655"/>
  <c r="L656" s="1"/>
  <c r="M655"/>
  <c r="N655"/>
  <c r="O655"/>
  <c r="P655"/>
  <c r="P656" s="1"/>
  <c r="Q655"/>
  <c r="R655"/>
  <c r="S655"/>
  <c r="O656"/>
  <c r="K675"/>
  <c r="Q676" s="1"/>
  <c r="L675"/>
  <c r="M675"/>
  <c r="N675"/>
  <c r="N676" s="1"/>
  <c r="O675"/>
  <c r="P675"/>
  <c r="Q675"/>
  <c r="R675"/>
  <c r="R676" s="1"/>
  <c r="S675"/>
  <c r="S676" s="1"/>
  <c r="K695"/>
  <c r="O696" s="1"/>
  <c r="L695"/>
  <c r="M695"/>
  <c r="N695"/>
  <c r="O695"/>
  <c r="P695"/>
  <c r="Q695"/>
  <c r="R695"/>
  <c r="S695"/>
  <c r="S696" s="1"/>
  <c r="P696"/>
  <c r="K715"/>
  <c r="L715"/>
  <c r="M715"/>
  <c r="N715"/>
  <c r="N716" s="1"/>
  <c r="O715"/>
  <c r="P715"/>
  <c r="Q715"/>
  <c r="R715"/>
  <c r="S715"/>
  <c r="R716"/>
  <c r="K735"/>
  <c r="L735"/>
  <c r="S736" s="1"/>
  <c r="M735"/>
  <c r="N735"/>
  <c r="O735"/>
  <c r="P735"/>
  <c r="Q735"/>
  <c r="R735"/>
  <c r="S735"/>
  <c r="K755"/>
  <c r="M756" s="1"/>
  <c r="L755"/>
  <c r="M755"/>
  <c r="N755"/>
  <c r="O755"/>
  <c r="P755"/>
  <c r="Q755"/>
  <c r="R755"/>
  <c r="S755"/>
  <c r="K775"/>
  <c r="P776" s="1"/>
  <c r="L775"/>
  <c r="M775"/>
  <c r="N775"/>
  <c r="O775"/>
  <c r="P775"/>
  <c r="Q775"/>
  <c r="R775"/>
  <c r="S775"/>
  <c r="S776"/>
  <c r="K795"/>
  <c r="Q796" s="1"/>
  <c r="L795"/>
  <c r="M795"/>
  <c r="N795"/>
  <c r="O795"/>
  <c r="P795"/>
  <c r="Q795"/>
  <c r="R795"/>
  <c r="S795"/>
  <c r="S796" s="1"/>
  <c r="K815"/>
  <c r="L815"/>
  <c r="L816" s="1"/>
  <c r="M815"/>
  <c r="M816" s="1"/>
  <c r="N815"/>
  <c r="N816" s="1"/>
  <c r="O815"/>
  <c r="P815"/>
  <c r="P816" s="1"/>
  <c r="Q815"/>
  <c r="Q816" s="1"/>
  <c r="R815"/>
  <c r="R816" s="1"/>
  <c r="S815"/>
  <c r="O816"/>
  <c r="K835"/>
  <c r="L835"/>
  <c r="M835"/>
  <c r="M836" s="1"/>
  <c r="N835"/>
  <c r="N836" s="1"/>
  <c r="O835"/>
  <c r="P835"/>
  <c r="Q835"/>
  <c r="R835"/>
  <c r="R836" s="1"/>
  <c r="S835"/>
  <c r="S836" s="1"/>
  <c r="Q836"/>
  <c r="K855"/>
  <c r="L856" s="1"/>
  <c r="L855"/>
  <c r="M855"/>
  <c r="N855"/>
  <c r="N856" s="1"/>
  <c r="O855"/>
  <c r="P855"/>
  <c r="Q855"/>
  <c r="R855"/>
  <c r="R856" s="1"/>
  <c r="S855"/>
  <c r="S856" s="1"/>
  <c r="O856"/>
  <c r="P856"/>
  <c r="K875"/>
  <c r="L875"/>
  <c r="M875"/>
  <c r="N875"/>
  <c r="O875"/>
  <c r="P875"/>
  <c r="Q875"/>
  <c r="R875"/>
  <c r="S875"/>
  <c r="N876"/>
  <c r="R876"/>
  <c r="K895"/>
  <c r="L895"/>
  <c r="L896" s="1"/>
  <c r="M895"/>
  <c r="M896" s="1"/>
  <c r="N895"/>
  <c r="N896" s="1"/>
  <c r="O895"/>
  <c r="P895"/>
  <c r="P896" s="1"/>
  <c r="Q895"/>
  <c r="Q896" s="1"/>
  <c r="R895"/>
  <c r="R896" s="1"/>
  <c r="S895"/>
  <c r="K896"/>
  <c r="O896"/>
  <c r="S896"/>
  <c r="K915"/>
  <c r="L915"/>
  <c r="M915"/>
  <c r="M916" s="1"/>
  <c r="N915"/>
  <c r="O915"/>
  <c r="P915"/>
  <c r="Q915"/>
  <c r="R915"/>
  <c r="R916" s="1"/>
  <c r="S915"/>
  <c r="S916" s="1"/>
  <c r="Q916"/>
  <c r="K935"/>
  <c r="O936" s="1"/>
  <c r="L935"/>
  <c r="M935"/>
  <c r="N935"/>
  <c r="N936" s="1"/>
  <c r="O935"/>
  <c r="P935"/>
  <c r="Q935"/>
  <c r="R935"/>
  <c r="R936" s="1"/>
  <c r="S935"/>
  <c r="P936"/>
  <c r="S936"/>
  <c r="K955"/>
  <c r="L955"/>
  <c r="M955"/>
  <c r="N955"/>
  <c r="O955"/>
  <c r="P955"/>
  <c r="Q955"/>
  <c r="R955"/>
  <c r="R956" s="1"/>
  <c r="S955"/>
  <c r="S956" s="1"/>
  <c r="K975"/>
  <c r="O976" s="1"/>
  <c r="L975"/>
  <c r="S976" s="1"/>
  <c r="M975"/>
  <c r="N975"/>
  <c r="O975"/>
  <c r="P975"/>
  <c r="Q975"/>
  <c r="R975"/>
  <c r="S975"/>
  <c r="K995"/>
  <c r="L995"/>
  <c r="M995"/>
  <c r="N995"/>
  <c r="N996" s="1"/>
  <c r="O995"/>
  <c r="P995"/>
  <c r="Q995"/>
  <c r="Q996" s="1"/>
  <c r="R995"/>
  <c r="R996" s="1"/>
  <c r="S995"/>
  <c r="M996"/>
  <c r="K1015"/>
  <c r="L1015"/>
  <c r="M1015"/>
  <c r="M1016" s="1"/>
  <c r="N1015"/>
  <c r="N1016" s="1"/>
  <c r="O1015"/>
  <c r="P1015"/>
  <c r="Q1015"/>
  <c r="Q1016" s="1"/>
  <c r="R1015"/>
  <c r="R1016" s="1"/>
  <c r="S1015"/>
  <c r="K1016"/>
  <c r="L1016"/>
  <c r="O1016"/>
  <c r="P1016"/>
  <c r="S1016"/>
  <c r="K1035"/>
  <c r="R1036" s="1"/>
  <c r="L1035"/>
  <c r="M1035"/>
  <c r="N1035"/>
  <c r="O1035"/>
  <c r="P1035"/>
  <c r="Q1035"/>
  <c r="R1035"/>
  <c r="S1035"/>
  <c r="S1036" s="1"/>
  <c r="K1055"/>
  <c r="L1055"/>
  <c r="L1056" s="1"/>
  <c r="M1055"/>
  <c r="M1056" s="1"/>
  <c r="N1055"/>
  <c r="N1056" s="1"/>
  <c r="O1055"/>
  <c r="P1055"/>
  <c r="P1056" s="1"/>
  <c r="Q1055"/>
  <c r="Q1056" s="1"/>
  <c r="R1055"/>
  <c r="R1056" s="1"/>
  <c r="S1055"/>
  <c r="K1056"/>
  <c r="O1056"/>
  <c r="K1075"/>
  <c r="N1076" s="1"/>
  <c r="L1075"/>
  <c r="M1075"/>
  <c r="N1075"/>
  <c r="O1075"/>
  <c r="P1075"/>
  <c r="Q1075"/>
  <c r="Q1076" s="1"/>
  <c r="R1075"/>
  <c r="R1076" s="1"/>
  <c r="S1075"/>
  <c r="M1076"/>
  <c r="K1095"/>
  <c r="L1095"/>
  <c r="M1095"/>
  <c r="M1096" s="1"/>
  <c r="N1095"/>
  <c r="N1096" s="1"/>
  <c r="O1095"/>
  <c r="P1095"/>
  <c r="Q1095"/>
  <c r="Q1096" s="1"/>
  <c r="R1095"/>
  <c r="R1096" s="1"/>
  <c r="S1095"/>
  <c r="L1096"/>
  <c r="O1096"/>
  <c r="P1096"/>
  <c r="S1096"/>
  <c r="K1115"/>
  <c r="L1115"/>
  <c r="M1115"/>
  <c r="N1115"/>
  <c r="O1115"/>
  <c r="P1115"/>
  <c r="Q1115"/>
  <c r="R1115"/>
  <c r="S1115"/>
  <c r="R1116"/>
  <c r="K1135"/>
  <c r="O1136" s="1"/>
  <c r="L1135"/>
  <c r="M1135"/>
  <c r="N1135"/>
  <c r="N1136" s="1"/>
  <c r="O1135"/>
  <c r="P1135"/>
  <c r="Q1135"/>
  <c r="R1135"/>
  <c r="R1136" s="1"/>
  <c r="S1135"/>
  <c r="S1136" s="1"/>
  <c r="K1155"/>
  <c r="M1156" s="1"/>
  <c r="L1155"/>
  <c r="M1155"/>
  <c r="N1155"/>
  <c r="O1155"/>
  <c r="P1155"/>
  <c r="Q1155"/>
  <c r="R1155"/>
  <c r="S1155"/>
  <c r="S1156" s="1"/>
  <c r="K1175"/>
  <c r="L1175"/>
  <c r="L1176" s="1"/>
  <c r="M1175"/>
  <c r="M1176" s="1"/>
  <c r="N1175"/>
  <c r="N1176" s="1"/>
  <c r="O1175"/>
  <c r="P1175"/>
  <c r="P1176" s="1"/>
  <c r="Q1175"/>
  <c r="Q1176" s="1"/>
  <c r="R1175"/>
  <c r="R1176" s="1"/>
  <c r="S1175"/>
  <c r="K1176"/>
  <c r="O1176"/>
  <c r="S1176"/>
  <c r="K1195"/>
  <c r="R1196" s="1"/>
  <c r="L1195"/>
  <c r="M1195"/>
  <c r="N1195"/>
  <c r="O1195"/>
  <c r="P1195"/>
  <c r="Q1195"/>
  <c r="R1195"/>
  <c r="S1195"/>
  <c r="S1196" s="1"/>
  <c r="K1215"/>
  <c r="K1216" s="1"/>
  <c r="L1215"/>
  <c r="M1215"/>
  <c r="N1215"/>
  <c r="O1215"/>
  <c r="P1215"/>
  <c r="Q1215"/>
  <c r="R1215"/>
  <c r="S1215"/>
  <c r="K1235"/>
  <c r="N1236" s="1"/>
  <c r="L1235"/>
  <c r="M1235"/>
  <c r="N1235"/>
  <c r="O1235"/>
  <c r="P1235"/>
  <c r="Q1235"/>
  <c r="R1235"/>
  <c r="S1235"/>
  <c r="S1236" s="1"/>
  <c r="K1255"/>
  <c r="L1255"/>
  <c r="S1256" s="1"/>
  <c r="M1255"/>
  <c r="M1256" s="1"/>
  <c r="N1255"/>
  <c r="N1256" s="1"/>
  <c r="O1255"/>
  <c r="P1255"/>
  <c r="P1256" s="1"/>
  <c r="Q1255"/>
  <c r="Q1256" s="1"/>
  <c r="R1255"/>
  <c r="R1256" s="1"/>
  <c r="S1255"/>
  <c r="L1256"/>
  <c r="O1256"/>
  <c r="K1275"/>
  <c r="Q1276" s="1"/>
  <c r="L1275"/>
  <c r="M1275"/>
  <c r="N1275"/>
  <c r="O1275"/>
  <c r="P1275"/>
  <c r="Q1275"/>
  <c r="R1275"/>
  <c r="S1275"/>
  <c r="S1276" s="1"/>
  <c r="K1295"/>
  <c r="L1295"/>
  <c r="L1296" s="1"/>
  <c r="M1295"/>
  <c r="M1296" s="1"/>
  <c r="N1295"/>
  <c r="N1296" s="1"/>
  <c r="O1295"/>
  <c r="P1295"/>
  <c r="P1296" s="1"/>
  <c r="Q1295"/>
  <c r="Q1296" s="1"/>
  <c r="R1295"/>
  <c r="R1296" s="1"/>
  <c r="S1295"/>
  <c r="O1296"/>
  <c r="S1296"/>
  <c r="K1315"/>
  <c r="Q1316" s="1"/>
  <c r="L1315"/>
  <c r="M1315"/>
  <c r="N1315"/>
  <c r="N1316" s="1"/>
  <c r="O1315"/>
  <c r="P1315"/>
  <c r="Q1315"/>
  <c r="R1315"/>
  <c r="R1316" s="1"/>
  <c r="S1315"/>
  <c r="S1316" s="1"/>
  <c r="K1335"/>
  <c r="O1336" s="1"/>
  <c r="L1335"/>
  <c r="M1335"/>
  <c r="N1335"/>
  <c r="O1335"/>
  <c r="P1335"/>
  <c r="Q1335"/>
  <c r="R1335"/>
  <c r="S1335"/>
  <c r="S1336" s="1"/>
  <c r="P1336"/>
  <c r="K1355"/>
  <c r="L1355"/>
  <c r="M1355"/>
  <c r="N1355"/>
  <c r="N1356" s="1"/>
  <c r="O1355"/>
  <c r="P1355"/>
  <c r="Q1355"/>
  <c r="R1355"/>
  <c r="S1355"/>
  <c r="S1356" s="1"/>
  <c r="R1356"/>
  <c r="K1375"/>
  <c r="O1376" s="1"/>
  <c r="L1375"/>
  <c r="M1375"/>
  <c r="N1375"/>
  <c r="N1376" s="1"/>
  <c r="O1375"/>
  <c r="P1375"/>
  <c r="Q1375"/>
  <c r="R1375"/>
  <c r="R1376" s="1"/>
  <c r="S1375"/>
  <c r="S1376"/>
  <c r="K1395"/>
  <c r="M1396" s="1"/>
  <c r="L1395"/>
  <c r="M1395"/>
  <c r="N1395"/>
  <c r="O1395"/>
  <c r="P1395"/>
  <c r="Q1395"/>
  <c r="R1395"/>
  <c r="R1396" s="1"/>
  <c r="S1395"/>
  <c r="S1396" s="1"/>
  <c r="K1415"/>
  <c r="P1416" s="1"/>
  <c r="L1415"/>
  <c r="M1415"/>
  <c r="N1415"/>
  <c r="O1415"/>
  <c r="P1415"/>
  <c r="Q1415"/>
  <c r="R1415"/>
  <c r="S1415"/>
  <c r="S1416" s="1"/>
  <c r="K1435"/>
  <c r="Q1436" s="1"/>
  <c r="L1435"/>
  <c r="M1435"/>
  <c r="N1435"/>
  <c r="O1435"/>
  <c r="P1435"/>
  <c r="Q1435"/>
  <c r="R1435"/>
  <c r="S1435"/>
  <c r="S1436" s="1"/>
  <c r="K1455"/>
  <c r="L1455"/>
  <c r="L1456" s="1"/>
  <c r="M1455"/>
  <c r="M1456" s="1"/>
  <c r="N1455"/>
  <c r="N1456" s="1"/>
  <c r="O1455"/>
  <c r="P1455"/>
  <c r="P1456" s="1"/>
  <c r="Q1455"/>
  <c r="Q1456" s="1"/>
  <c r="R1455"/>
  <c r="R1456" s="1"/>
  <c r="S1455"/>
  <c r="O1456"/>
  <c r="K1475"/>
  <c r="L1475"/>
  <c r="M1475"/>
  <c r="M1476" s="1"/>
  <c r="N1475"/>
  <c r="N1476" s="1"/>
  <c r="O1475"/>
  <c r="P1475"/>
  <c r="Q1475"/>
  <c r="R1475"/>
  <c r="R1476" s="1"/>
  <c r="S1475"/>
  <c r="S1476" s="1"/>
  <c r="Q1476"/>
  <c r="K1495"/>
  <c r="L1496" s="1"/>
  <c r="L1495"/>
  <c r="M1495"/>
  <c r="N1495"/>
  <c r="N1496" s="1"/>
  <c r="O1495"/>
  <c r="P1495"/>
  <c r="Q1495"/>
  <c r="R1495"/>
  <c r="R1496" s="1"/>
  <c r="S1495"/>
  <c r="S1496" s="1"/>
  <c r="O1496"/>
  <c r="P1496"/>
  <c r="K1515"/>
  <c r="L1515"/>
  <c r="M1515"/>
  <c r="N1515"/>
  <c r="O1515"/>
  <c r="P1515"/>
  <c r="Q1515"/>
  <c r="R1515"/>
  <c r="S1515"/>
  <c r="N1516"/>
  <c r="R1516"/>
  <c r="K1535"/>
  <c r="L1535"/>
  <c r="L1536" s="1"/>
  <c r="M1535"/>
  <c r="M1536" s="1"/>
  <c r="N1535"/>
  <c r="N1536" s="1"/>
  <c r="O1535"/>
  <c r="P1535"/>
  <c r="P1536" s="1"/>
  <c r="Q1535"/>
  <c r="Q1536" s="1"/>
  <c r="R1535"/>
  <c r="R1536" s="1"/>
  <c r="S1535"/>
  <c r="K1536"/>
  <c r="O1536"/>
  <c r="S1536"/>
  <c r="K1555"/>
  <c r="L1555"/>
  <c r="M1555"/>
  <c r="M1556" s="1"/>
  <c r="N1555"/>
  <c r="O1555"/>
  <c r="P1555"/>
  <c r="Q1555"/>
  <c r="R1555"/>
  <c r="R1556" s="1"/>
  <c r="S1555"/>
  <c r="S1556" s="1"/>
  <c r="Q1556"/>
  <c r="K1575"/>
  <c r="L1575"/>
  <c r="S1576" s="1"/>
  <c r="M1575"/>
  <c r="N1575"/>
  <c r="N1576" s="1"/>
  <c r="O1575"/>
  <c r="P1575"/>
  <c r="Q1575"/>
  <c r="R1575"/>
  <c r="R1576" s="1"/>
  <c r="S1575"/>
  <c r="P1576"/>
  <c r="K1595"/>
  <c r="L1595"/>
  <c r="M1595"/>
  <c r="N1595"/>
  <c r="O1595"/>
  <c r="P1595"/>
  <c r="Q1595"/>
  <c r="R1595"/>
  <c r="R1596" s="1"/>
  <c r="S1595"/>
  <c r="S1596" s="1"/>
  <c r="K1615"/>
  <c r="O1616" s="1"/>
  <c r="L1615"/>
  <c r="S1616" s="1"/>
  <c r="M1615"/>
  <c r="N1615"/>
  <c r="O1615"/>
  <c r="P1615"/>
  <c r="Q1615"/>
  <c r="R1615"/>
  <c r="S1615"/>
  <c r="K1635"/>
  <c r="L1635"/>
  <c r="M1635"/>
  <c r="N1635"/>
  <c r="N1636" s="1"/>
  <c r="O1635"/>
  <c r="P1635"/>
  <c r="Q1635"/>
  <c r="Q1636" s="1"/>
  <c r="R1635"/>
  <c r="R1636" s="1"/>
  <c r="S1635"/>
  <c r="M1636"/>
  <c r="K1655"/>
  <c r="L1655"/>
  <c r="M1655"/>
  <c r="M1656" s="1"/>
  <c r="N1655"/>
  <c r="N1656" s="1"/>
  <c r="O1655"/>
  <c r="P1655"/>
  <c r="Q1655"/>
  <c r="Q1656" s="1"/>
  <c r="R1655"/>
  <c r="R1656" s="1"/>
  <c r="S1655"/>
  <c r="K1656"/>
  <c r="L1656"/>
  <c r="O1656"/>
  <c r="P1656"/>
  <c r="S1656"/>
  <c r="K1675"/>
  <c r="N1676" s="1"/>
  <c r="L1675"/>
  <c r="M1675"/>
  <c r="N1675"/>
  <c r="O1675"/>
  <c r="P1675"/>
  <c r="Q1675"/>
  <c r="R1675"/>
  <c r="S1675"/>
  <c r="S1676" s="1"/>
  <c r="K1695"/>
  <c r="L1695"/>
  <c r="L1696" s="1"/>
  <c r="M1695"/>
  <c r="M1696" s="1"/>
  <c r="N1695"/>
  <c r="N1696" s="1"/>
  <c r="O1695"/>
  <c r="P1695"/>
  <c r="P1696" s="1"/>
  <c r="Q1695"/>
  <c r="Q1696" s="1"/>
  <c r="R1695"/>
  <c r="R1696" s="1"/>
  <c r="S1695"/>
  <c r="K1696"/>
  <c r="O1696"/>
  <c r="K1715"/>
  <c r="N1716" s="1"/>
  <c r="L1715"/>
  <c r="M1715"/>
  <c r="N1715"/>
  <c r="O1715"/>
  <c r="P1715"/>
  <c r="Q1715"/>
  <c r="Q1716" s="1"/>
  <c r="R1715"/>
  <c r="R1716" s="1"/>
  <c r="S1715"/>
  <c r="M1716"/>
  <c r="K1735"/>
  <c r="L1735"/>
  <c r="M1735"/>
  <c r="M1736" s="1"/>
  <c r="N1735"/>
  <c r="N1736" s="1"/>
  <c r="O1735"/>
  <c r="P1735"/>
  <c r="Q1735"/>
  <c r="Q1736" s="1"/>
  <c r="R1735"/>
  <c r="R1736" s="1"/>
  <c r="S1735"/>
  <c r="L1736"/>
  <c r="O1736"/>
  <c r="P1736"/>
  <c r="S1736"/>
  <c r="K1755"/>
  <c r="L1755"/>
  <c r="M1755"/>
  <c r="N1755"/>
  <c r="O1755"/>
  <c r="P1755"/>
  <c r="Q1755"/>
  <c r="R1755"/>
  <c r="S1755"/>
  <c r="R1756"/>
  <c r="K1775"/>
  <c r="O1776" s="1"/>
  <c r="L1775"/>
  <c r="M1775"/>
  <c r="N1775"/>
  <c r="N1776" s="1"/>
  <c r="O1775"/>
  <c r="P1775"/>
  <c r="Q1775"/>
  <c r="R1775"/>
  <c r="R1776" s="1"/>
  <c r="S1775"/>
  <c r="S1776" s="1"/>
  <c r="K1795"/>
  <c r="M1796" s="1"/>
  <c r="L1795"/>
  <c r="M1795"/>
  <c r="N1795"/>
  <c r="O1795"/>
  <c r="P1795"/>
  <c r="Q1795"/>
  <c r="R1795"/>
  <c r="S1795"/>
  <c r="S1796" s="1"/>
  <c r="K1815"/>
  <c r="L1815"/>
  <c r="L1816" s="1"/>
  <c r="M1815"/>
  <c r="M1816" s="1"/>
  <c r="N1815"/>
  <c r="N1816" s="1"/>
  <c r="O1815"/>
  <c r="P1815"/>
  <c r="P1816" s="1"/>
  <c r="Q1815"/>
  <c r="Q1816" s="1"/>
  <c r="R1815"/>
  <c r="R1816" s="1"/>
  <c r="S1815"/>
  <c r="K1816"/>
  <c r="O1816"/>
  <c r="S1816"/>
  <c r="K1835"/>
  <c r="R1836" s="1"/>
  <c r="L1835"/>
  <c r="M1835"/>
  <c r="N1835"/>
  <c r="O1835"/>
  <c r="P1835"/>
  <c r="Q1835"/>
  <c r="R1835"/>
  <c r="S1835"/>
  <c r="S1836" s="1"/>
  <c r="K1855"/>
  <c r="K1856" s="1"/>
  <c r="L1855"/>
  <c r="M1855"/>
  <c r="N1855"/>
  <c r="O1855"/>
  <c r="P1855"/>
  <c r="Q1855"/>
  <c r="R1855"/>
  <c r="S1855"/>
  <c r="K1875"/>
  <c r="N1876" s="1"/>
  <c r="L1875"/>
  <c r="M1875"/>
  <c r="N1875"/>
  <c r="O1875"/>
  <c r="P1875"/>
  <c r="Q1875"/>
  <c r="R1875"/>
  <c r="S1875"/>
  <c r="S1876" s="1"/>
  <c r="K1895"/>
  <c r="L1895"/>
  <c r="S1896" s="1"/>
  <c r="M1895"/>
  <c r="M1896" s="1"/>
  <c r="N1895"/>
  <c r="N1896" s="1"/>
  <c r="O1895"/>
  <c r="P1895"/>
  <c r="P1896" s="1"/>
  <c r="Q1895"/>
  <c r="Q1896" s="1"/>
  <c r="R1895"/>
  <c r="R1896" s="1"/>
  <c r="S1895"/>
  <c r="L1896"/>
  <c r="O1896"/>
  <c r="K1915"/>
  <c r="R1916" s="1"/>
  <c r="L1915"/>
  <c r="M1915"/>
  <c r="N1915"/>
  <c r="O1915"/>
  <c r="P1915"/>
  <c r="Q1915"/>
  <c r="R1915"/>
  <c r="S1915"/>
  <c r="S1916" s="1"/>
  <c r="K1935"/>
  <c r="L1935"/>
  <c r="L1936" s="1"/>
  <c r="M1935"/>
  <c r="M1936" s="1"/>
  <c r="N1935"/>
  <c r="N1936" s="1"/>
  <c r="O1935"/>
  <c r="P1935"/>
  <c r="P1936" s="1"/>
  <c r="Q1935"/>
  <c r="Q1936" s="1"/>
  <c r="R1935"/>
  <c r="R1936" s="1"/>
  <c r="S1935"/>
  <c r="O1936"/>
  <c r="S1936"/>
  <c r="K1955"/>
  <c r="Q1956" s="1"/>
  <c r="L1955"/>
  <c r="M1955"/>
  <c r="N1955"/>
  <c r="N1956" s="1"/>
  <c r="O1955"/>
  <c r="P1955"/>
  <c r="Q1955"/>
  <c r="R1955"/>
  <c r="R1956" s="1"/>
  <c r="S1955"/>
  <c r="S1956" s="1"/>
  <c r="K1975"/>
  <c r="O1976" s="1"/>
  <c r="L1975"/>
  <c r="M1975"/>
  <c r="N1975"/>
  <c r="O1975"/>
  <c r="P1975"/>
  <c r="Q1975"/>
  <c r="R1975"/>
  <c r="S1975"/>
  <c r="S1976" s="1"/>
  <c r="P1976"/>
  <c r="K1995"/>
  <c r="L1995"/>
  <c r="M1995"/>
  <c r="N1995"/>
  <c r="N1996" s="1"/>
  <c r="O1995"/>
  <c r="P1995"/>
  <c r="Q1995"/>
  <c r="R1995"/>
  <c r="S1995"/>
  <c r="S1996" s="1"/>
  <c r="R1996"/>
  <c r="K2015"/>
  <c r="O2016" s="1"/>
  <c r="L2015"/>
  <c r="M2015"/>
  <c r="N2015"/>
  <c r="N2016" s="1"/>
  <c r="O2015"/>
  <c r="P2015"/>
  <c r="Q2015"/>
  <c r="R2015"/>
  <c r="R2016" s="1"/>
  <c r="S2015"/>
  <c r="S2016"/>
  <c r="K2035"/>
  <c r="L2035"/>
  <c r="M2035"/>
  <c r="N2035"/>
  <c r="O2035"/>
  <c r="P2035"/>
  <c r="Q2035"/>
  <c r="R2035"/>
  <c r="R2036" s="1"/>
  <c r="S2035"/>
  <c r="S2036" s="1"/>
  <c r="K2055"/>
  <c r="P2056" s="1"/>
  <c r="L2055"/>
  <c r="M2055"/>
  <c r="N2055"/>
  <c r="O2055"/>
  <c r="P2055"/>
  <c r="Q2055"/>
  <c r="R2055"/>
  <c r="S2055"/>
  <c r="S2056"/>
  <c r="K2075"/>
  <c r="Q2076" s="1"/>
  <c r="L2075"/>
  <c r="M2075"/>
  <c r="N2075"/>
  <c r="O2075"/>
  <c r="P2075"/>
  <c r="Q2075"/>
  <c r="R2075"/>
  <c r="S2075"/>
  <c r="S2076" s="1"/>
  <c r="K2095"/>
  <c r="L2095"/>
  <c r="L2096" s="1"/>
  <c r="M2095"/>
  <c r="M2096" s="1"/>
  <c r="N2095"/>
  <c r="N2096" s="1"/>
  <c r="O2095"/>
  <c r="P2095"/>
  <c r="P2096" s="1"/>
  <c r="Q2095"/>
  <c r="Q2096" s="1"/>
  <c r="R2095"/>
  <c r="R2096" s="1"/>
  <c r="S2095"/>
  <c r="O2096"/>
  <c r="K2115"/>
  <c r="L2115"/>
  <c r="M2115"/>
  <c r="M2116" s="1"/>
  <c r="N2115"/>
  <c r="N2116" s="1"/>
  <c r="O2115"/>
  <c r="P2115"/>
  <c r="Q2115"/>
  <c r="R2115"/>
  <c r="R2116" s="1"/>
  <c r="S2115"/>
  <c r="S2116" s="1"/>
  <c r="Q2116"/>
  <c r="K2135"/>
  <c r="L2136" s="1"/>
  <c r="L2135"/>
  <c r="M2135"/>
  <c r="N2135"/>
  <c r="N2136" s="1"/>
  <c r="O2135"/>
  <c r="P2135"/>
  <c r="Q2135"/>
  <c r="R2135"/>
  <c r="R2136" s="1"/>
  <c r="S2135"/>
  <c r="S2136" s="1"/>
  <c r="O2136"/>
  <c r="P2136"/>
  <c r="K2155"/>
  <c r="L2155"/>
  <c r="M2155"/>
  <c r="N2155"/>
  <c r="O2155"/>
  <c r="P2155"/>
  <c r="Q2155"/>
  <c r="R2155"/>
  <c r="S2155"/>
  <c r="N2156"/>
  <c r="R2156"/>
  <c r="K2175"/>
  <c r="L2175"/>
  <c r="L2176" s="1"/>
  <c r="M2175"/>
  <c r="M2176" s="1"/>
  <c r="N2175"/>
  <c r="N2176" s="1"/>
  <c r="O2175"/>
  <c r="P2175"/>
  <c r="P2176" s="1"/>
  <c r="Q2175"/>
  <c r="Q2176" s="1"/>
  <c r="R2175"/>
  <c r="R2176" s="1"/>
  <c r="S2175"/>
  <c r="K2176"/>
  <c r="O2176"/>
  <c r="S2176"/>
  <c r="K2195"/>
  <c r="L2195"/>
  <c r="M2195"/>
  <c r="M2196" s="1"/>
  <c r="N2195"/>
  <c r="O2195"/>
  <c r="P2195"/>
  <c r="Q2195"/>
  <c r="R2195"/>
  <c r="R2196" s="1"/>
  <c r="S2195"/>
  <c r="S2196" s="1"/>
  <c r="Q2196"/>
  <c r="K2215"/>
  <c r="O2216" s="1"/>
  <c r="L2215"/>
  <c r="M2215"/>
  <c r="N2215"/>
  <c r="N2216" s="1"/>
  <c r="O2215"/>
  <c r="P2215"/>
  <c r="Q2215"/>
  <c r="R2215"/>
  <c r="R2216" s="1"/>
  <c r="S2215"/>
  <c r="S2216" s="1"/>
  <c r="P2216"/>
  <c r="K2235"/>
  <c r="L2235"/>
  <c r="M2235"/>
  <c r="N2235"/>
  <c r="O2235"/>
  <c r="P2235"/>
  <c r="Q2235"/>
  <c r="Q2236" s="1"/>
  <c r="R2235"/>
  <c r="S2235"/>
  <c r="S2236" s="1"/>
  <c r="K2255"/>
  <c r="O2256" s="1"/>
  <c r="L2255"/>
  <c r="M2255"/>
  <c r="N2255"/>
  <c r="O2255"/>
  <c r="P2255"/>
  <c r="Q2255"/>
  <c r="R2255"/>
  <c r="S2255"/>
  <c r="K2276" s="1"/>
  <c r="P2256"/>
  <c r="K2275"/>
  <c r="L2275"/>
  <c r="M2275"/>
  <c r="N2275"/>
  <c r="O2275"/>
  <c r="P2275"/>
  <c r="Q2275"/>
  <c r="Q2276" s="1"/>
  <c r="R2275"/>
  <c r="R2276" s="1"/>
  <c r="S2275"/>
  <c r="M2276"/>
  <c r="N2276"/>
  <c r="O2276"/>
  <c r="K2295"/>
  <c r="O2296" s="1"/>
  <c r="L2295"/>
  <c r="M2295"/>
  <c r="N2295"/>
  <c r="O2295"/>
  <c r="P2295"/>
  <c r="Q2295"/>
  <c r="R2295"/>
  <c r="S2295"/>
  <c r="K2316" s="1"/>
  <c r="P2296"/>
  <c r="K2315"/>
  <c r="L2315"/>
  <c r="M2315"/>
  <c r="N2315"/>
  <c r="O2315"/>
  <c r="P2315"/>
  <c r="Q2315"/>
  <c r="Q2316" s="1"/>
  <c r="R2315"/>
  <c r="R2316" s="1"/>
  <c r="S2315"/>
  <c r="M2316"/>
  <c r="N2316"/>
  <c r="O2316"/>
  <c r="K2335"/>
  <c r="O2336" s="1"/>
  <c r="L2335"/>
  <c r="M2335"/>
  <c r="N2335"/>
  <c r="O2335"/>
  <c r="P2335"/>
  <c r="Q2335"/>
  <c r="R2335"/>
  <c r="S2335"/>
  <c r="K2356" s="1"/>
  <c r="P2336"/>
  <c r="K2355"/>
  <c r="L2355"/>
  <c r="M2355"/>
  <c r="N2355"/>
  <c r="O2355"/>
  <c r="P2355"/>
  <c r="Q2355"/>
  <c r="Q2356" s="1"/>
  <c r="R2355"/>
  <c r="R2356" s="1"/>
  <c r="S2355"/>
  <c r="M2356"/>
  <c r="N2356"/>
  <c r="O2356"/>
  <c r="K2375"/>
  <c r="O2376" s="1"/>
  <c r="L2375"/>
  <c r="M2375"/>
  <c r="N2375"/>
  <c r="O2375"/>
  <c r="P2375"/>
  <c r="Q2375"/>
  <c r="R2375"/>
  <c r="S2375"/>
  <c r="K2396" s="1"/>
  <c r="P2376"/>
  <c r="K2395"/>
  <c r="L2395"/>
  <c r="M2395"/>
  <c r="N2395"/>
  <c r="O2395"/>
  <c r="P2395"/>
  <c r="Q2395"/>
  <c r="Q2396" s="1"/>
  <c r="R2395"/>
  <c r="R2396" s="1"/>
  <c r="S2395"/>
  <c r="M2396"/>
  <c r="N2396"/>
  <c r="O2396"/>
  <c r="K2415"/>
  <c r="O2416" s="1"/>
  <c r="L2415"/>
  <c r="M2415"/>
  <c r="N2415"/>
  <c r="O2415"/>
  <c r="P2415"/>
  <c r="Q2415"/>
  <c r="R2415"/>
  <c r="S2415"/>
  <c r="K2436" s="1"/>
  <c r="P2416"/>
  <c r="K2435"/>
  <c r="L2435"/>
  <c r="M2435"/>
  <c r="N2435"/>
  <c r="O2435"/>
  <c r="P2435"/>
  <c r="Q2435"/>
  <c r="Q2436" s="1"/>
  <c r="R2435"/>
  <c r="R2436" s="1"/>
  <c r="S2435"/>
  <c r="M2436"/>
  <c r="N2436"/>
  <c r="O2436"/>
  <c r="K2455"/>
  <c r="O2456" s="1"/>
  <c r="L2455"/>
  <c r="M2455"/>
  <c r="N2455"/>
  <c r="O2455"/>
  <c r="P2455"/>
  <c r="Q2455"/>
  <c r="R2455"/>
  <c r="S2455"/>
  <c r="K2476" s="1"/>
  <c r="P2456"/>
  <c r="K2475"/>
  <c r="L2475"/>
  <c r="S2476" s="1"/>
  <c r="M2475"/>
  <c r="N2475"/>
  <c r="O2475"/>
  <c r="P2475"/>
  <c r="Q2475"/>
  <c r="Q2476" s="1"/>
  <c r="R2475"/>
  <c r="R2476" s="1"/>
  <c r="S2475"/>
  <c r="M2476"/>
  <c r="N2476"/>
  <c r="O2476"/>
  <c r="K2495"/>
  <c r="O2496" s="1"/>
  <c r="L2495"/>
  <c r="M2495"/>
  <c r="N2495"/>
  <c r="O2495"/>
  <c r="P2495"/>
  <c r="Q2495"/>
  <c r="R2495"/>
  <c r="S2495"/>
  <c r="K2516" s="1"/>
  <c r="P2496"/>
  <c r="K2515"/>
  <c r="L2515"/>
  <c r="L2516" s="1"/>
  <c r="M2515"/>
  <c r="N2515"/>
  <c r="N2516" s="1"/>
  <c r="O2515"/>
  <c r="P2515"/>
  <c r="P2516" s="1"/>
  <c r="Q2515"/>
  <c r="Q2516" s="1"/>
  <c r="R2515"/>
  <c r="R2516" s="1"/>
  <c r="S2515"/>
  <c r="M2516"/>
  <c r="O2516"/>
  <c r="S2516"/>
  <c r="K2535"/>
  <c r="L2536" s="1"/>
  <c r="L2535"/>
  <c r="M2535"/>
  <c r="N2535"/>
  <c r="O2535"/>
  <c r="P2535"/>
  <c r="Q2535"/>
  <c r="R2535"/>
  <c r="S2535"/>
  <c r="K2556" s="1"/>
  <c r="Q2536"/>
  <c r="K2555"/>
  <c r="L2555"/>
  <c r="L2556" s="1"/>
  <c r="M2555"/>
  <c r="N2555"/>
  <c r="N2556" s="1"/>
  <c r="O2555"/>
  <c r="P2555"/>
  <c r="P2556" s="1"/>
  <c r="Q2555"/>
  <c r="Q2556" s="1"/>
  <c r="R2555"/>
  <c r="R2556" s="1"/>
  <c r="S2555"/>
  <c r="M2556"/>
  <c r="O2556"/>
  <c r="S2556"/>
  <c r="K2575"/>
  <c r="L2576" s="1"/>
  <c r="L2575"/>
  <c r="M2575"/>
  <c r="N2575"/>
  <c r="O2575"/>
  <c r="P2575"/>
  <c r="Q2575"/>
  <c r="R2575"/>
  <c r="S2575"/>
  <c r="K2596" s="1"/>
  <c r="Q2576"/>
  <c r="K2595"/>
  <c r="L2595"/>
  <c r="L2596" s="1"/>
  <c r="M2595"/>
  <c r="N2595"/>
  <c r="N2596" s="1"/>
  <c r="O2595"/>
  <c r="P2595"/>
  <c r="P2596" s="1"/>
  <c r="Q2595"/>
  <c r="Q2596" s="1"/>
  <c r="R2595"/>
  <c r="R2596" s="1"/>
  <c r="S2595"/>
  <c r="M2596"/>
  <c r="O2596"/>
  <c r="S2596"/>
  <c r="K2615"/>
  <c r="L2616" s="1"/>
  <c r="L2615"/>
  <c r="M2615"/>
  <c r="N2615"/>
  <c r="O2615"/>
  <c r="P2615"/>
  <c r="Q2615"/>
  <c r="R2615"/>
  <c r="S2615"/>
  <c r="K2636" s="1"/>
  <c r="Q2616"/>
  <c r="K2635"/>
  <c r="L2635"/>
  <c r="L2636" s="1"/>
  <c r="M2635"/>
  <c r="N2635"/>
  <c r="N2636" s="1"/>
  <c r="O2635"/>
  <c r="P2635"/>
  <c r="P2636" s="1"/>
  <c r="Q2635"/>
  <c r="Q2636" s="1"/>
  <c r="R2635"/>
  <c r="R2636" s="1"/>
  <c r="S2635"/>
  <c r="M2636"/>
  <c r="O2636"/>
  <c r="S2636"/>
  <c r="K2655"/>
  <c r="L2656" s="1"/>
  <c r="L2655"/>
  <c r="M2655"/>
  <c r="N2655"/>
  <c r="O2655"/>
  <c r="P2655"/>
  <c r="Q2655"/>
  <c r="R2655"/>
  <c r="S2655"/>
  <c r="K2676" s="1"/>
  <c r="Q2656"/>
  <c r="K2675"/>
  <c r="L2675"/>
  <c r="L2676" s="1"/>
  <c r="M2675"/>
  <c r="N2675"/>
  <c r="N2676" s="1"/>
  <c r="O2675"/>
  <c r="P2675"/>
  <c r="P2676" s="1"/>
  <c r="Q2675"/>
  <c r="Q2676" s="1"/>
  <c r="R2675"/>
  <c r="R2676" s="1"/>
  <c r="S2675"/>
  <c r="M2676"/>
  <c r="O2676"/>
  <c r="S2676"/>
  <c r="K2695"/>
  <c r="L2696" s="1"/>
  <c r="L2695"/>
  <c r="M2695"/>
  <c r="N2695"/>
  <c r="O2695"/>
  <c r="P2695"/>
  <c r="Q2695"/>
  <c r="R2695"/>
  <c r="S2695"/>
  <c r="K2716" s="1"/>
  <c r="Q2696"/>
  <c r="K2715"/>
  <c r="L2715"/>
  <c r="L2716" s="1"/>
  <c r="M2715"/>
  <c r="N2715"/>
  <c r="N2716" s="1"/>
  <c r="O2715"/>
  <c r="P2715"/>
  <c r="P2716" s="1"/>
  <c r="Q2715"/>
  <c r="Q2716" s="1"/>
  <c r="R2715"/>
  <c r="R2716" s="1"/>
  <c r="S2715"/>
  <c r="M2716"/>
  <c r="O2716"/>
  <c r="S2716"/>
  <c r="K2735"/>
  <c r="L2736" s="1"/>
  <c r="L2735"/>
  <c r="M2735"/>
  <c r="N2735"/>
  <c r="O2735"/>
  <c r="P2735"/>
  <c r="Q2735"/>
  <c r="R2735"/>
  <c r="S2735"/>
  <c r="S2736" s="1"/>
  <c r="Q2736"/>
  <c r="K2755"/>
  <c r="L2755"/>
  <c r="M2755"/>
  <c r="N2755"/>
  <c r="N2756" s="1"/>
  <c r="O2755"/>
  <c r="P2755"/>
  <c r="Q2755"/>
  <c r="R2755"/>
  <c r="R2756" s="1"/>
  <c r="S2755"/>
  <c r="K2775"/>
  <c r="P2776" s="1"/>
  <c r="L2775"/>
  <c r="S2776" s="1"/>
  <c r="M2775"/>
  <c r="N2775"/>
  <c r="O2775"/>
  <c r="P2775"/>
  <c r="Q2775"/>
  <c r="R2775"/>
  <c r="S2775"/>
  <c r="K2795"/>
  <c r="L2795"/>
  <c r="M2795"/>
  <c r="N2795"/>
  <c r="O2795"/>
  <c r="P2795"/>
  <c r="Q2795"/>
  <c r="R2795"/>
  <c r="R2796" s="1"/>
  <c r="S2795"/>
  <c r="N2796"/>
  <c r="K2815"/>
  <c r="P2816" s="1"/>
  <c r="L2815"/>
  <c r="M2815"/>
  <c r="N2815"/>
  <c r="O2815"/>
  <c r="P2815"/>
  <c r="Q2815"/>
  <c r="R2815"/>
  <c r="S2815"/>
  <c r="S2816" s="1"/>
  <c r="K2835"/>
  <c r="N2836" s="1"/>
  <c r="L2835"/>
  <c r="M2835"/>
  <c r="N2835"/>
  <c r="O2835"/>
  <c r="P2835"/>
  <c r="Q2835"/>
  <c r="R2835"/>
  <c r="S2835"/>
  <c r="K2855"/>
  <c r="L2855"/>
  <c r="M2855"/>
  <c r="M2856" s="1"/>
  <c r="N2855"/>
  <c r="O2855"/>
  <c r="P2855"/>
  <c r="Q2855"/>
  <c r="Q2856" s="1"/>
  <c r="R2855"/>
  <c r="S2855"/>
  <c r="O2856"/>
  <c r="S2856"/>
  <c r="K2875"/>
  <c r="N2876" s="1"/>
  <c r="L2875"/>
  <c r="M2875"/>
  <c r="N2875"/>
  <c r="O2875"/>
  <c r="P2875"/>
  <c r="Q2875"/>
  <c r="R2875"/>
  <c r="R2876" s="1"/>
  <c r="S2875"/>
  <c r="K2895"/>
  <c r="L2895"/>
  <c r="S2896" s="1"/>
  <c r="M2895"/>
  <c r="M2896" s="1"/>
  <c r="N2895"/>
  <c r="O2895"/>
  <c r="P2895"/>
  <c r="Q2895"/>
  <c r="Q2896" s="1"/>
  <c r="R2895"/>
  <c r="S2895"/>
  <c r="O2896"/>
  <c r="K2915"/>
  <c r="L2915"/>
  <c r="M2915"/>
  <c r="N2915"/>
  <c r="N2916" s="1"/>
  <c r="O2915"/>
  <c r="P2915"/>
  <c r="Q2915"/>
  <c r="R2915"/>
  <c r="R2916" s="1"/>
  <c r="S2915"/>
  <c r="K2935"/>
  <c r="P2936" s="1"/>
  <c r="L2935"/>
  <c r="S2936" s="1"/>
  <c r="M2935"/>
  <c r="N2935"/>
  <c r="O2935"/>
  <c r="P2935"/>
  <c r="Q2935"/>
  <c r="R2935"/>
  <c r="S2935"/>
  <c r="K2955"/>
  <c r="L2955"/>
  <c r="M2955"/>
  <c r="N2955"/>
  <c r="O2955"/>
  <c r="P2955"/>
  <c r="Q2955"/>
  <c r="R2955"/>
  <c r="R2956" s="1"/>
  <c r="S2955"/>
  <c r="N2956"/>
  <c r="K2975"/>
  <c r="P2976" s="1"/>
  <c r="L2975"/>
  <c r="M2975"/>
  <c r="N2975"/>
  <c r="O2975"/>
  <c r="P2975"/>
  <c r="Q2975"/>
  <c r="R2975"/>
  <c r="S2975"/>
  <c r="S2976" s="1"/>
  <c r="K2995"/>
  <c r="N2996" s="1"/>
  <c r="L2995"/>
  <c r="M2995"/>
  <c r="N2995"/>
  <c r="O2995"/>
  <c r="P2995"/>
  <c r="Q2995"/>
  <c r="R2995"/>
  <c r="S2995"/>
  <c r="K3015"/>
  <c r="P3016" s="1"/>
  <c r="L3015"/>
  <c r="M3015"/>
  <c r="M3016" s="1"/>
  <c r="N3015"/>
  <c r="O3015"/>
  <c r="O3016" s="1"/>
  <c r="P3015"/>
  <c r="Q3015"/>
  <c r="Q3016" s="1"/>
  <c r="R3015"/>
  <c r="S3015"/>
  <c r="S3016"/>
  <c r="K3035"/>
  <c r="N3036" s="1"/>
  <c r="L3035"/>
  <c r="M3035"/>
  <c r="N3035"/>
  <c r="O3035"/>
  <c r="P3035"/>
  <c r="Q3035"/>
  <c r="R3035"/>
  <c r="R3036" s="1"/>
  <c r="S3035"/>
  <c r="K3055"/>
  <c r="L3055"/>
  <c r="S3056" s="1"/>
  <c r="M3055"/>
  <c r="M3056" s="1"/>
  <c r="N3055"/>
  <c r="O3055"/>
  <c r="P3055"/>
  <c r="Q3055"/>
  <c r="Q3056" s="1"/>
  <c r="R3055"/>
  <c r="S3055"/>
  <c r="O3056"/>
  <c r="K3075"/>
  <c r="L3075"/>
  <c r="M3075"/>
  <c r="N3075"/>
  <c r="N3076" s="1"/>
  <c r="O3075"/>
  <c r="P3075"/>
  <c r="Q3075"/>
  <c r="R3075"/>
  <c r="R3076" s="1"/>
  <c r="S3075"/>
  <c r="K3095"/>
  <c r="P3096" s="1"/>
  <c r="L3095"/>
  <c r="S3096" s="1"/>
  <c r="M3095"/>
  <c r="N3095"/>
  <c r="O3095"/>
  <c r="P3095"/>
  <c r="Q3095"/>
  <c r="R3095"/>
  <c r="S3095"/>
  <c r="K3115"/>
  <c r="L3115"/>
  <c r="M3115"/>
  <c r="N3115"/>
  <c r="O3115"/>
  <c r="P3115"/>
  <c r="Q3115"/>
  <c r="R3115"/>
  <c r="R3116" s="1"/>
  <c r="S3115"/>
  <c r="N3116"/>
  <c r="K3135"/>
  <c r="P3136" s="1"/>
  <c r="L3135"/>
  <c r="M3135"/>
  <c r="N3135"/>
  <c r="O3135"/>
  <c r="P3135"/>
  <c r="Q3135"/>
  <c r="R3135"/>
  <c r="S3135"/>
  <c r="S3136" s="1"/>
  <c r="K3155"/>
  <c r="N3156" s="1"/>
  <c r="L3155"/>
  <c r="M3155"/>
  <c r="N3155"/>
  <c r="O3155"/>
  <c r="P3155"/>
  <c r="Q3155"/>
  <c r="R3155"/>
  <c r="S3155"/>
  <c r="K3175"/>
  <c r="L3175"/>
  <c r="M3175"/>
  <c r="M3176" s="1"/>
  <c r="N3175"/>
  <c r="O3175"/>
  <c r="O3176" s="1"/>
  <c r="P3175"/>
  <c r="Q3175"/>
  <c r="Q3176" s="1"/>
  <c r="R3175"/>
  <c r="S3175"/>
  <c r="S3176"/>
  <c r="K3195"/>
  <c r="N3196" s="1"/>
  <c r="L3195"/>
  <c r="M3195"/>
  <c r="N3195"/>
  <c r="O3195"/>
  <c r="P3195"/>
  <c r="Q3195"/>
  <c r="R3195"/>
  <c r="R3196" s="1"/>
  <c r="S3195"/>
  <c r="K3215"/>
  <c r="L3215"/>
  <c r="S3216" s="1"/>
  <c r="M3215"/>
  <c r="M3216" s="1"/>
  <c r="N3215"/>
  <c r="O3215"/>
  <c r="P3215"/>
  <c r="Q3215"/>
  <c r="Q3216" s="1"/>
  <c r="R3215"/>
  <c r="S3215"/>
  <c r="O3216"/>
  <c r="K3235"/>
  <c r="L3235"/>
  <c r="M3235"/>
  <c r="N3235"/>
  <c r="N3236" s="1"/>
  <c r="O3235"/>
  <c r="P3235"/>
  <c r="Q3235"/>
  <c r="R3235"/>
  <c r="R3236" s="1"/>
  <c r="S3235"/>
  <c r="K55"/>
  <c r="K115"/>
  <c r="L116" s="1"/>
  <c r="L115"/>
  <c r="M115"/>
  <c r="N115"/>
  <c r="N116" s="1"/>
  <c r="O115"/>
  <c r="P115"/>
  <c r="Q115"/>
  <c r="R115"/>
  <c r="R116" s="1"/>
  <c r="S115"/>
  <c r="K135"/>
  <c r="L135"/>
  <c r="M135"/>
  <c r="N135"/>
  <c r="O135"/>
  <c r="P135"/>
  <c r="Q135"/>
  <c r="R135"/>
  <c r="S135"/>
  <c r="R136"/>
  <c r="K155"/>
  <c r="L155"/>
  <c r="M155"/>
  <c r="N155"/>
  <c r="O155"/>
  <c r="P155"/>
  <c r="Q155"/>
  <c r="R155"/>
  <c r="S155"/>
  <c r="K175"/>
  <c r="L175"/>
  <c r="M175"/>
  <c r="N175"/>
  <c r="O175"/>
  <c r="P175"/>
  <c r="Q175"/>
  <c r="R175"/>
  <c r="S175"/>
  <c r="K15"/>
  <c r="K16" s="1"/>
  <c r="L15"/>
  <c r="M15"/>
  <c r="N15"/>
  <c r="O15"/>
  <c r="P15"/>
  <c r="Q15"/>
  <c r="R15"/>
  <c r="S15"/>
  <c r="K35"/>
  <c r="L35"/>
  <c r="M35"/>
  <c r="N35"/>
  <c r="O35"/>
  <c r="P35"/>
  <c r="Q35"/>
  <c r="R35"/>
  <c r="S35"/>
  <c r="L55"/>
  <c r="M55"/>
  <c r="N55"/>
  <c r="O55"/>
  <c r="P55"/>
  <c r="Q55"/>
  <c r="R55"/>
  <c r="S55"/>
  <c r="K75"/>
  <c r="L75"/>
  <c r="M75"/>
  <c r="N75"/>
  <c r="O75"/>
  <c r="P75"/>
  <c r="Q75"/>
  <c r="R75"/>
  <c r="S75"/>
  <c r="K95"/>
  <c r="L95"/>
  <c r="M95"/>
  <c r="N95"/>
  <c r="O95"/>
  <c r="P95"/>
  <c r="Q95"/>
  <c r="R95"/>
  <c r="S95"/>
  <c r="O1576" l="1"/>
  <c r="S756"/>
  <c r="R756"/>
  <c r="O736"/>
  <c r="R736"/>
  <c r="N736"/>
  <c r="S716"/>
  <c r="S656"/>
  <c r="Q656"/>
  <c r="M656"/>
  <c r="R656"/>
  <c r="N656"/>
  <c r="Q636"/>
  <c r="S636"/>
  <c r="Q616"/>
  <c r="M616"/>
  <c r="L616"/>
  <c r="N596"/>
  <c r="S596"/>
  <c r="O576"/>
  <c r="S556"/>
  <c r="R536"/>
  <c r="N536"/>
  <c r="O536"/>
  <c r="P536"/>
  <c r="L536"/>
  <c r="Q516"/>
  <c r="S516"/>
  <c r="O496"/>
  <c r="S496"/>
  <c r="R496"/>
  <c r="N496"/>
  <c r="P456"/>
  <c r="L456"/>
  <c r="O456"/>
  <c r="Q456"/>
  <c r="M456"/>
  <c r="R456"/>
  <c r="N456"/>
  <c r="N436"/>
  <c r="M436"/>
  <c r="Q436"/>
  <c r="M416"/>
  <c r="P416"/>
  <c r="L416"/>
  <c r="S396"/>
  <c r="L376"/>
  <c r="O376"/>
  <c r="K376"/>
  <c r="P376"/>
  <c r="Q376"/>
  <c r="M376"/>
  <c r="M356"/>
  <c r="Q356"/>
  <c r="O336"/>
  <c r="R316"/>
  <c r="R296"/>
  <c r="N296"/>
  <c r="P296"/>
  <c r="Q276"/>
  <c r="M276"/>
  <c r="O256"/>
  <c r="S256"/>
  <c r="Q256"/>
  <c r="M256"/>
  <c r="R256"/>
  <c r="N256"/>
  <c r="N236"/>
  <c r="R236"/>
  <c r="S216"/>
  <c r="L216"/>
  <c r="R216"/>
  <c r="N216"/>
  <c r="O216"/>
  <c r="P216"/>
  <c r="Q196"/>
  <c r="O3096"/>
  <c r="O2936"/>
  <c r="K2736"/>
  <c r="S2696"/>
  <c r="K2656"/>
  <c r="K2616"/>
  <c r="K2576"/>
  <c r="K2536"/>
  <c r="K2496"/>
  <c r="L2496"/>
  <c r="K2456"/>
  <c r="K2416"/>
  <c r="Q2376"/>
  <c r="L2376"/>
  <c r="Q2336"/>
  <c r="L2336"/>
  <c r="K2296"/>
  <c r="L2296"/>
  <c r="K2256"/>
  <c r="L2256"/>
  <c r="S2096"/>
  <c r="L2056"/>
  <c r="N2036"/>
  <c r="K1976"/>
  <c r="M1876"/>
  <c r="P1856"/>
  <c r="P1616"/>
  <c r="S1456"/>
  <c r="M1236"/>
  <c r="P1216"/>
  <c r="N1036"/>
  <c r="P976"/>
  <c r="L776"/>
  <c r="K696"/>
  <c r="R636"/>
  <c r="M596"/>
  <c r="K576"/>
  <c r="P576"/>
  <c r="L576"/>
  <c r="M516"/>
  <c r="N396"/>
  <c r="P336"/>
  <c r="L336"/>
  <c r="K76"/>
  <c r="R176"/>
  <c r="P116"/>
  <c r="P3176"/>
  <c r="O3136"/>
  <c r="Q3096"/>
  <c r="M3096"/>
  <c r="O2976"/>
  <c r="Q2936"/>
  <c r="M2936"/>
  <c r="P2856"/>
  <c r="O2816"/>
  <c r="Q2776"/>
  <c r="M2776"/>
  <c r="M2736"/>
  <c r="M2696"/>
  <c r="M2656"/>
  <c r="M2616"/>
  <c r="M2576"/>
  <c r="M2536"/>
  <c r="M2496"/>
  <c r="M2456"/>
  <c r="M2416"/>
  <c r="M2376"/>
  <c r="M2336"/>
  <c r="M2296"/>
  <c r="M2256"/>
  <c r="L2216"/>
  <c r="N2196"/>
  <c r="K2136"/>
  <c r="R2076"/>
  <c r="O2056"/>
  <c r="Q2056"/>
  <c r="M2056"/>
  <c r="M2036"/>
  <c r="K2016"/>
  <c r="P2016"/>
  <c r="L2016"/>
  <c r="L1976"/>
  <c r="Q1976"/>
  <c r="M1976"/>
  <c r="M1956"/>
  <c r="Q1876"/>
  <c r="O1856"/>
  <c r="Q1856"/>
  <c r="M1856"/>
  <c r="N1836"/>
  <c r="Q1796"/>
  <c r="P1776"/>
  <c r="L1776"/>
  <c r="S1696"/>
  <c r="R1676"/>
  <c r="Q1616"/>
  <c r="M1616"/>
  <c r="Q1596"/>
  <c r="L1576"/>
  <c r="N1556"/>
  <c r="K1496"/>
  <c r="R1436"/>
  <c r="O1416"/>
  <c r="Q1416"/>
  <c r="M1416"/>
  <c r="K1376"/>
  <c r="P1376"/>
  <c r="L1376"/>
  <c r="L1336"/>
  <c r="Q1336"/>
  <c r="M1336"/>
  <c r="M1316"/>
  <c r="Q1236"/>
  <c r="O1216"/>
  <c r="Q1216"/>
  <c r="M1216"/>
  <c r="N1196"/>
  <c r="Q1156"/>
  <c r="P1136"/>
  <c r="L1136"/>
  <c r="S1056"/>
  <c r="Q976"/>
  <c r="M976"/>
  <c r="Q956"/>
  <c r="L936"/>
  <c r="N916"/>
  <c r="K856"/>
  <c r="R796"/>
  <c r="O776"/>
  <c r="Q776"/>
  <c r="M776"/>
  <c r="K736"/>
  <c r="P736"/>
  <c r="L736"/>
  <c r="L696"/>
  <c r="Q696"/>
  <c r="M696"/>
  <c r="M676"/>
  <c r="Q596"/>
  <c r="Q576"/>
  <c r="M576"/>
  <c r="N556"/>
  <c r="P496"/>
  <c r="L496"/>
  <c r="R436"/>
  <c r="S416"/>
  <c r="R416"/>
  <c r="N416"/>
  <c r="R356"/>
  <c r="N356"/>
  <c r="S336"/>
  <c r="Q336"/>
  <c r="M336"/>
  <c r="S316"/>
  <c r="Q316"/>
  <c r="L296"/>
  <c r="S276"/>
  <c r="N276"/>
  <c r="K216"/>
  <c r="O2776"/>
  <c r="K2696"/>
  <c r="S2656"/>
  <c r="S2616"/>
  <c r="S2576"/>
  <c r="S2536"/>
  <c r="Q2496"/>
  <c r="Q2456"/>
  <c r="L2456"/>
  <c r="Q2416"/>
  <c r="L2416"/>
  <c r="K2376"/>
  <c r="K2336"/>
  <c r="Q2296"/>
  <c r="Q2256"/>
  <c r="L1856"/>
  <c r="L1616"/>
  <c r="L1416"/>
  <c r="N1396"/>
  <c r="K1336"/>
  <c r="R1276"/>
  <c r="L1216"/>
  <c r="L976"/>
  <c r="S816"/>
  <c r="N756"/>
  <c r="Q116"/>
  <c r="M116"/>
  <c r="P3216"/>
  <c r="R3156"/>
  <c r="Q3136"/>
  <c r="M3136"/>
  <c r="P3056"/>
  <c r="R2996"/>
  <c r="Q2976"/>
  <c r="M2976"/>
  <c r="P2896"/>
  <c r="R2836"/>
  <c r="Q2816"/>
  <c r="M2816"/>
  <c r="O2736"/>
  <c r="R2736"/>
  <c r="N2736"/>
  <c r="O2696"/>
  <c r="R2696"/>
  <c r="N2696"/>
  <c r="O2656"/>
  <c r="R2656"/>
  <c r="N2656"/>
  <c r="O2616"/>
  <c r="R2616"/>
  <c r="N2616"/>
  <c r="O2576"/>
  <c r="R2576"/>
  <c r="N2576"/>
  <c r="O2536"/>
  <c r="R2536"/>
  <c r="N2536"/>
  <c r="R2496"/>
  <c r="N2496"/>
  <c r="R2456"/>
  <c r="N2456"/>
  <c r="S2436"/>
  <c r="R2416"/>
  <c r="N2416"/>
  <c r="S2396"/>
  <c r="R2376"/>
  <c r="N2376"/>
  <c r="S2356"/>
  <c r="R2336"/>
  <c r="N2336"/>
  <c r="S2316"/>
  <c r="R2296"/>
  <c r="N2296"/>
  <c r="S2276"/>
  <c r="R2256"/>
  <c r="N2256"/>
  <c r="Q2216"/>
  <c r="M2216"/>
  <c r="S2156"/>
  <c r="Q2136"/>
  <c r="M2136"/>
  <c r="R2056"/>
  <c r="N2056"/>
  <c r="Q2036"/>
  <c r="Q2016"/>
  <c r="M2016"/>
  <c r="R1976"/>
  <c r="N1976"/>
  <c r="R1876"/>
  <c r="S1856"/>
  <c r="R1856"/>
  <c r="N1856"/>
  <c r="R1796"/>
  <c r="N1796"/>
  <c r="Q1776"/>
  <c r="M1776"/>
  <c r="S1756"/>
  <c r="Q1756"/>
  <c r="S1716"/>
  <c r="S1636"/>
  <c r="R1616"/>
  <c r="N1616"/>
  <c r="Q1576"/>
  <c r="M1576"/>
  <c r="S1516"/>
  <c r="Q1496"/>
  <c r="M1496"/>
  <c r="R1416"/>
  <c r="N1416"/>
  <c r="Q1396"/>
  <c r="Q1376"/>
  <c r="M1376"/>
  <c r="R1336"/>
  <c r="N1336"/>
  <c r="R1236"/>
  <c r="S1216"/>
  <c r="R1216"/>
  <c r="N1216"/>
  <c r="R1156"/>
  <c r="N1156"/>
  <c r="Q1136"/>
  <c r="M1136"/>
  <c r="S1116"/>
  <c r="Q1116"/>
  <c r="S1076"/>
  <c r="S996"/>
  <c r="R976"/>
  <c r="N976"/>
  <c r="Q936"/>
  <c r="M936"/>
  <c r="S876"/>
  <c r="Q856"/>
  <c r="M856"/>
  <c r="R776"/>
  <c r="N776"/>
  <c r="Q756"/>
  <c r="Q736"/>
  <c r="M736"/>
  <c r="R696"/>
  <c r="N696"/>
  <c r="R596"/>
  <c r="S576"/>
  <c r="R576"/>
  <c r="N576"/>
  <c r="R516"/>
  <c r="N516"/>
  <c r="Q496"/>
  <c r="M496"/>
  <c r="S476"/>
  <c r="Q476"/>
  <c r="S436"/>
  <c r="S356"/>
  <c r="R336"/>
  <c r="N336"/>
  <c r="Q296"/>
  <c r="M296"/>
  <c r="S236"/>
  <c r="Q216"/>
  <c r="M216"/>
  <c r="M196"/>
  <c r="R196"/>
  <c r="N196"/>
  <c r="L2236"/>
  <c r="P2236"/>
  <c r="K2236"/>
  <c r="L1916"/>
  <c r="P1916"/>
  <c r="K1916"/>
  <c r="O1916"/>
  <c r="S176"/>
  <c r="K196"/>
  <c r="L2156"/>
  <c r="P2156"/>
  <c r="K2156"/>
  <c r="O2156"/>
  <c r="L1996"/>
  <c r="P1996"/>
  <c r="K1996"/>
  <c r="O1996"/>
  <c r="L1836"/>
  <c r="P1836"/>
  <c r="K1836"/>
  <c r="O1836"/>
  <c r="L1676"/>
  <c r="P1676"/>
  <c r="K1676"/>
  <c r="O1676"/>
  <c r="L1516"/>
  <c r="P1516"/>
  <c r="K1516"/>
  <c r="O1516"/>
  <c r="L1356"/>
  <c r="P1356"/>
  <c r="K1356"/>
  <c r="O1356"/>
  <c r="L1196"/>
  <c r="P1196"/>
  <c r="K1196"/>
  <c r="O1196"/>
  <c r="L1036"/>
  <c r="P1036"/>
  <c r="K1036"/>
  <c r="O1036"/>
  <c r="L876"/>
  <c r="P876"/>
  <c r="K876"/>
  <c r="O876"/>
  <c r="L716"/>
  <c r="P716"/>
  <c r="K716"/>
  <c r="O716"/>
  <c r="L556"/>
  <c r="P556"/>
  <c r="K556"/>
  <c r="O556"/>
  <c r="L396"/>
  <c r="P396"/>
  <c r="K396"/>
  <c r="O396"/>
  <c r="L236"/>
  <c r="P236"/>
  <c r="K236"/>
  <c r="O236"/>
  <c r="L2476"/>
  <c r="P2476"/>
  <c r="L2436"/>
  <c r="P2436"/>
  <c r="L2396"/>
  <c r="P2396"/>
  <c r="L2356"/>
  <c r="P2356"/>
  <c r="L2316"/>
  <c r="P2316"/>
  <c r="L2276"/>
  <c r="P2276"/>
  <c r="L2116"/>
  <c r="P2116"/>
  <c r="K2116"/>
  <c r="O2116"/>
  <c r="L1956"/>
  <c r="P1956"/>
  <c r="K1956"/>
  <c r="O1956"/>
  <c r="L1796"/>
  <c r="P1796"/>
  <c r="K1796"/>
  <c r="O1796"/>
  <c r="L1636"/>
  <c r="P1636"/>
  <c r="K1636"/>
  <c r="O1636"/>
  <c r="L1476"/>
  <c r="P1476"/>
  <c r="K1476"/>
  <c r="O1476"/>
  <c r="L1316"/>
  <c r="P1316"/>
  <c r="K1316"/>
  <c r="O1316"/>
  <c r="L1156"/>
  <c r="P1156"/>
  <c r="K1156"/>
  <c r="O1156"/>
  <c r="L996"/>
  <c r="P996"/>
  <c r="K996"/>
  <c r="O996"/>
  <c r="L836"/>
  <c r="P836"/>
  <c r="K836"/>
  <c r="O836"/>
  <c r="L676"/>
  <c r="P676"/>
  <c r="K676"/>
  <c r="O676"/>
  <c r="L516"/>
  <c r="P516"/>
  <c r="K516"/>
  <c r="O516"/>
  <c r="L356"/>
  <c r="P356"/>
  <c r="K356"/>
  <c r="O356"/>
  <c r="L196"/>
  <c r="P196"/>
  <c r="O196"/>
  <c r="M176"/>
  <c r="M136"/>
  <c r="S2496"/>
  <c r="S2456"/>
  <c r="S2416"/>
  <c r="S2376"/>
  <c r="S2336"/>
  <c r="S2296"/>
  <c r="S2256"/>
  <c r="N2236"/>
  <c r="K2096"/>
  <c r="N2076"/>
  <c r="K1936"/>
  <c r="N1916"/>
  <c r="K1776"/>
  <c r="N1756"/>
  <c r="K1616"/>
  <c r="N1596"/>
  <c r="K1456"/>
  <c r="N1436"/>
  <c r="K1296"/>
  <c r="N1276"/>
  <c r="K1136"/>
  <c r="N1116"/>
  <c r="K976"/>
  <c r="N956"/>
  <c r="K816"/>
  <c r="N796"/>
  <c r="K656"/>
  <c r="N636"/>
  <c r="K496"/>
  <c r="N476"/>
  <c r="K336"/>
  <c r="N316"/>
  <c r="N176"/>
  <c r="N136"/>
  <c r="S116"/>
  <c r="S3236"/>
  <c r="M3236"/>
  <c r="L3216"/>
  <c r="K3216"/>
  <c r="M3196"/>
  <c r="L3176"/>
  <c r="K3176"/>
  <c r="M3156"/>
  <c r="L3136"/>
  <c r="K3136"/>
  <c r="M3116"/>
  <c r="L3096"/>
  <c r="K3096"/>
  <c r="M3076"/>
  <c r="L3056"/>
  <c r="K3056"/>
  <c r="M3036"/>
  <c r="L3016"/>
  <c r="K3016"/>
  <c r="M2996"/>
  <c r="L2976"/>
  <c r="K2976"/>
  <c r="M2956"/>
  <c r="L2936"/>
  <c r="K2936"/>
  <c r="M2916"/>
  <c r="L2896"/>
  <c r="K2896"/>
  <c r="M2876"/>
  <c r="L2856"/>
  <c r="K2856"/>
  <c r="M2836"/>
  <c r="L2816"/>
  <c r="K2816"/>
  <c r="M2796"/>
  <c r="L2776"/>
  <c r="K2776"/>
  <c r="M2756"/>
  <c r="P2736"/>
  <c r="P2696"/>
  <c r="P2656"/>
  <c r="P2616"/>
  <c r="P2576"/>
  <c r="P2536"/>
  <c r="O2236"/>
  <c r="K2216"/>
  <c r="M2156"/>
  <c r="K2056"/>
  <c r="M1996"/>
  <c r="Q1916"/>
  <c r="K1896"/>
  <c r="M1836"/>
  <c r="K1736"/>
  <c r="M1676"/>
  <c r="K1576"/>
  <c r="M1516"/>
  <c r="K1416"/>
  <c r="M1356"/>
  <c r="K1256"/>
  <c r="M1196"/>
  <c r="K1096"/>
  <c r="M1036"/>
  <c r="K936"/>
  <c r="M876"/>
  <c r="K776"/>
  <c r="M716"/>
  <c r="K616"/>
  <c r="M556"/>
  <c r="K456"/>
  <c r="M396"/>
  <c r="K296"/>
  <c r="M236"/>
  <c r="L2076"/>
  <c r="P2076"/>
  <c r="K2076"/>
  <c r="O2076"/>
  <c r="L1756"/>
  <c r="P1756"/>
  <c r="K1756"/>
  <c r="O1756"/>
  <c r="L1596"/>
  <c r="P1596"/>
  <c r="K1596"/>
  <c r="O1596"/>
  <c r="L1436"/>
  <c r="P1436"/>
  <c r="K1436"/>
  <c r="O1436"/>
  <c r="L1276"/>
  <c r="P1276"/>
  <c r="K1276"/>
  <c r="O1276"/>
  <c r="L1116"/>
  <c r="P1116"/>
  <c r="K1116"/>
  <c r="O1116"/>
  <c r="L956"/>
  <c r="P956"/>
  <c r="K956"/>
  <c r="O956"/>
  <c r="L796"/>
  <c r="P796"/>
  <c r="K796"/>
  <c r="O796"/>
  <c r="L636"/>
  <c r="P636"/>
  <c r="K636"/>
  <c r="O636"/>
  <c r="L476"/>
  <c r="P476"/>
  <c r="K476"/>
  <c r="O476"/>
  <c r="L316"/>
  <c r="P316"/>
  <c r="K316"/>
  <c r="O316"/>
  <c r="L2196"/>
  <c r="P2196"/>
  <c r="K2196"/>
  <c r="O2196"/>
  <c r="L2036"/>
  <c r="P2036"/>
  <c r="K2036"/>
  <c r="O2036"/>
  <c r="L1876"/>
  <c r="P1876"/>
  <c r="K1876"/>
  <c r="O1876"/>
  <c r="L1716"/>
  <c r="P1716"/>
  <c r="K1716"/>
  <c r="O1716"/>
  <c r="L1556"/>
  <c r="P1556"/>
  <c r="K1556"/>
  <c r="O1556"/>
  <c r="L1396"/>
  <c r="P1396"/>
  <c r="K1396"/>
  <c r="O1396"/>
  <c r="L1236"/>
  <c r="P1236"/>
  <c r="K1236"/>
  <c r="O1236"/>
  <c r="L1076"/>
  <c r="P1076"/>
  <c r="K1076"/>
  <c r="O1076"/>
  <c r="L916"/>
  <c r="P916"/>
  <c r="K916"/>
  <c r="O916"/>
  <c r="L756"/>
  <c r="P756"/>
  <c r="K756"/>
  <c r="O756"/>
  <c r="L596"/>
  <c r="P596"/>
  <c r="K596"/>
  <c r="O596"/>
  <c r="L436"/>
  <c r="P436"/>
  <c r="K436"/>
  <c r="O436"/>
  <c r="L276"/>
  <c r="P276"/>
  <c r="K276"/>
  <c r="O276"/>
  <c r="R3216"/>
  <c r="N3216"/>
  <c r="R3176"/>
  <c r="N3176"/>
  <c r="R3136"/>
  <c r="N3136"/>
  <c r="R3096"/>
  <c r="N3096"/>
  <c r="R3056"/>
  <c r="N3056"/>
  <c r="R3016"/>
  <c r="N3016"/>
  <c r="R2976"/>
  <c r="N2976"/>
  <c r="R2936"/>
  <c r="N2936"/>
  <c r="R2896"/>
  <c r="N2896"/>
  <c r="R2856"/>
  <c r="N2856"/>
  <c r="R2816"/>
  <c r="N2816"/>
  <c r="R2776"/>
  <c r="N2776"/>
  <c r="R2236"/>
  <c r="M2236"/>
  <c r="Q2156"/>
  <c r="M2076"/>
  <c r="Q1996"/>
  <c r="M1916"/>
  <c r="Q1836"/>
  <c r="M1756"/>
  <c r="Q1676"/>
  <c r="M1596"/>
  <c r="Q1516"/>
  <c r="M1436"/>
  <c r="Q1356"/>
  <c r="M1276"/>
  <c r="Q1196"/>
  <c r="M1116"/>
  <c r="Q1036"/>
  <c r="M956"/>
  <c r="Q876"/>
  <c r="M796"/>
  <c r="Q716"/>
  <c r="M636"/>
  <c r="Q556"/>
  <c r="M476"/>
  <c r="Q396"/>
  <c r="M316"/>
  <c r="Q236"/>
  <c r="O156"/>
  <c r="S156"/>
  <c r="L156"/>
  <c r="K156"/>
  <c r="P156"/>
  <c r="Q156"/>
  <c r="M156"/>
  <c r="R156"/>
  <c r="N156"/>
  <c r="O3236"/>
  <c r="S3196"/>
  <c r="O3156"/>
  <c r="O3116"/>
  <c r="K3076"/>
  <c r="S3036"/>
  <c r="K3036"/>
  <c r="S2996"/>
  <c r="O2996"/>
  <c r="S2956"/>
  <c r="K2956"/>
  <c r="O2916"/>
  <c r="S2876"/>
  <c r="K2876"/>
  <c r="S2836"/>
  <c r="O2796"/>
  <c r="O2756"/>
  <c r="P3236"/>
  <c r="L3236"/>
  <c r="P3196"/>
  <c r="L3196"/>
  <c r="P3156"/>
  <c r="L3156"/>
  <c r="P3116"/>
  <c r="L3116"/>
  <c r="P3076"/>
  <c r="L3076"/>
  <c r="P3036"/>
  <c r="L3036"/>
  <c r="P2996"/>
  <c r="L2996"/>
  <c r="P2956"/>
  <c r="L2956"/>
  <c r="P2916"/>
  <c r="L2916"/>
  <c r="P2876"/>
  <c r="L2876"/>
  <c r="P2836"/>
  <c r="L2836"/>
  <c r="P2796"/>
  <c r="L2796"/>
  <c r="P2756"/>
  <c r="L2756"/>
  <c r="K3236"/>
  <c r="O3196"/>
  <c r="K3196"/>
  <c r="S3156"/>
  <c r="K3156"/>
  <c r="S3116"/>
  <c r="K3116"/>
  <c r="S3076"/>
  <c r="O3076"/>
  <c r="O3036"/>
  <c r="K2996"/>
  <c r="O2956"/>
  <c r="S2916"/>
  <c r="K2916"/>
  <c r="O2876"/>
  <c r="O2836"/>
  <c r="K2836"/>
  <c r="S2796"/>
  <c r="K2796"/>
  <c r="S2756"/>
  <c r="K2756"/>
  <c r="Q3236"/>
  <c r="Q3196"/>
  <c r="Q3156"/>
  <c r="Q3116"/>
  <c r="Q3076"/>
  <c r="Q3036"/>
  <c r="Q2996"/>
  <c r="Q2956"/>
  <c r="Q2916"/>
  <c r="Q2876"/>
  <c r="Q2836"/>
  <c r="Q2796"/>
  <c r="Q2756"/>
  <c r="K56"/>
  <c r="K36"/>
  <c r="O176"/>
  <c r="K176"/>
  <c r="S136"/>
  <c r="O136"/>
  <c r="P176"/>
  <c r="L176"/>
  <c r="P136"/>
  <c r="L136"/>
  <c r="Q176"/>
  <c r="Q136"/>
  <c r="O116"/>
  <c r="Q96"/>
  <c r="M96"/>
  <c r="Q16"/>
  <c r="M16"/>
  <c r="R96"/>
  <c r="N96"/>
  <c r="S76"/>
  <c r="R16"/>
  <c r="N16"/>
  <c r="M36"/>
  <c r="R56"/>
  <c r="N56"/>
  <c r="S36"/>
  <c r="R76"/>
  <c r="Q56"/>
  <c r="M56"/>
  <c r="L96"/>
  <c r="P96"/>
  <c r="L56"/>
  <c r="P56"/>
  <c r="L16"/>
  <c r="P16"/>
  <c r="R36"/>
  <c r="M76"/>
  <c r="N76"/>
  <c r="S56"/>
  <c r="S96"/>
  <c r="N36"/>
  <c r="S16"/>
  <c r="O76"/>
  <c r="O36"/>
  <c r="P76"/>
  <c r="L76"/>
  <c r="P36"/>
  <c r="L36"/>
  <c r="O96"/>
  <c r="Q76"/>
  <c r="O56"/>
  <c r="Q36"/>
  <c r="O16"/>
</calcChain>
</file>

<file path=xl/comments1.xml><?xml version="1.0" encoding="utf-8"?>
<comments xmlns="http://schemas.openxmlformats.org/spreadsheetml/2006/main">
  <authors>
    <author>sampen.ho</author>
  </authors>
  <commentList>
    <comment ref="E6" authorId="0">
      <text>
        <r>
          <rPr>
            <b/>
            <sz val="9"/>
            <color indexed="81"/>
            <rFont val="Tahoma"/>
            <family val="2"/>
          </rPr>
          <t xml:space="preserve">0211 : </t>
        </r>
        <r>
          <rPr>
            <b/>
            <sz val="9"/>
            <color indexed="81"/>
            <rFont val="Tahoma"/>
            <family val="2"/>
          </rPr>
          <t xml:space="preserve">RECY - R1
0221 : </t>
        </r>
        <r>
          <rPr>
            <b/>
            <sz val="9"/>
            <color indexed="81"/>
            <rFont val="Tahoma"/>
            <family val="2"/>
          </rPr>
          <t>RECY - R1</t>
        </r>
        <r>
          <rPr>
            <sz val="9"/>
            <color indexed="81"/>
            <rFont val="Tahoma"/>
            <family val="2"/>
          </rPr>
          <t xml:space="preserve">
</t>
        </r>
      </text>
    </comment>
  </commentList>
</comments>
</file>

<file path=xl/comments2.xml><?xml version="1.0" encoding="utf-8"?>
<comments xmlns="http://schemas.openxmlformats.org/spreadsheetml/2006/main">
  <authors>
    <author>sampen.ho</author>
  </authors>
  <commentList>
    <comment ref="C8" authorId="0">
      <text>
        <r>
          <rPr>
            <b/>
            <sz val="9"/>
            <color indexed="81"/>
            <rFont val="Tahoma"/>
            <family val="2"/>
          </rPr>
          <t>CST ID : F5S***</t>
        </r>
        <r>
          <rPr>
            <sz val="9"/>
            <color indexed="81"/>
            <rFont val="Tahoma"/>
            <family val="2"/>
          </rPr>
          <t xml:space="preserve">
</t>
        </r>
      </text>
    </comment>
    <comment ref="G8" authorId="0">
      <text>
        <r>
          <rPr>
            <b/>
            <sz val="9"/>
            <color indexed="81"/>
            <rFont val="Tahoma"/>
            <family val="2"/>
          </rPr>
          <t>OWNER : 
PROD / CRNO / PD** /
MFG5 / RCS* / DUMY</t>
        </r>
        <r>
          <rPr>
            <sz val="9"/>
            <color indexed="81"/>
            <rFont val="Tahoma"/>
            <family val="2"/>
          </rPr>
          <t xml:space="preserve">
</t>
        </r>
      </text>
    </comment>
    <comment ref="O8" authorId="0">
      <text>
        <r>
          <rPr>
            <b/>
            <sz val="9"/>
            <color indexed="81"/>
            <rFont val="細明體"/>
            <family val="3"/>
            <charset val="136"/>
          </rPr>
          <t>抓</t>
        </r>
        <r>
          <rPr>
            <b/>
            <sz val="9"/>
            <color indexed="81"/>
            <rFont val="Tahoma"/>
            <family val="2"/>
          </rPr>
          <t xml:space="preserve"> PIPR01~05 + PFLN01/02
CST ID : F5S***</t>
        </r>
      </text>
    </comment>
    <comment ref="A9" authorId="0">
      <text>
        <r>
          <rPr>
            <b/>
            <sz val="9"/>
            <color indexed="81"/>
            <rFont val="Tahoma"/>
            <family val="2"/>
          </rPr>
          <t>2900 / 5804  MOVE OUT 
CST ID : F5S***
*********************************
0206 MOVE IN 
PROD : OG********
OWNER : ALL
CST : L5S*** + T5S***</t>
        </r>
        <r>
          <rPr>
            <sz val="9"/>
            <color indexed="81"/>
            <rFont val="Tahoma"/>
            <family val="2"/>
          </rPr>
          <t xml:space="preserve">
</t>
        </r>
      </text>
    </comment>
    <comment ref="E9" authorId="0">
      <text>
        <r>
          <rPr>
            <b/>
            <sz val="9"/>
            <color indexed="81"/>
            <rFont val="Tahoma"/>
            <family val="2"/>
          </rPr>
          <t>5804 * 1
2900 * 4
0206 * 16</t>
        </r>
      </text>
    </comment>
    <comment ref="G9" authorId="0">
      <text>
        <r>
          <rPr>
            <b/>
            <sz val="9"/>
            <color indexed="81"/>
            <rFont val="細明體"/>
            <family val="3"/>
            <charset val="136"/>
          </rPr>
          <t>含</t>
        </r>
        <r>
          <rPr>
            <b/>
            <sz val="9"/>
            <color indexed="81"/>
            <rFont val="Tahoma"/>
            <family val="2"/>
          </rPr>
          <t xml:space="preserve"> SAMP </t>
        </r>
        <r>
          <rPr>
            <b/>
            <sz val="9"/>
            <color indexed="81"/>
            <rFont val="細明體"/>
            <family val="3"/>
            <charset val="136"/>
          </rPr>
          <t xml:space="preserve">站點
</t>
        </r>
        <r>
          <rPr>
            <b/>
            <sz val="9"/>
            <color indexed="81"/>
            <rFont val="Tahoma"/>
            <family val="2"/>
          </rPr>
          <t>OPER : 0160 , 1000 , 1300 , 1310 , 1320 , 1340 , 1360 , 1390 , 2300 
           2330 , 2350 , 2390 , 3300 
           3330 , 3390 , 4300
           4310 , 4330 ,4350 , 4390 , 8300
           8313 , 8390 , 7200 
           7300 , 7312
           10A0 , 13A0 
OWNER : PROD , CRN0 , RCS* , PD** , MFG5 , RECY , RES*
CST ID : F5S***</t>
        </r>
      </text>
    </comment>
    <comment ref="O9" authorId="0">
      <text>
        <r>
          <rPr>
            <b/>
            <sz val="9"/>
            <color indexed="81"/>
            <rFont val="細明體"/>
            <family val="3"/>
            <charset val="136"/>
          </rPr>
          <t>抓</t>
        </r>
        <r>
          <rPr>
            <b/>
            <sz val="9"/>
            <color indexed="81"/>
            <rFont val="Tahoma"/>
            <family val="2"/>
          </rPr>
          <t xml:space="preserve"> OHGL03
CST ID : F5S***</t>
        </r>
      </text>
    </comment>
    <comment ref="A10" authorId="0">
      <text>
        <r>
          <rPr>
            <b/>
            <sz val="9"/>
            <color indexed="81"/>
            <rFont val="細明體"/>
            <family val="3"/>
            <charset val="136"/>
          </rPr>
          <t>未抓</t>
        </r>
        <r>
          <rPr>
            <b/>
            <sz val="9"/>
            <color indexed="81"/>
            <rFont val="Tahoma"/>
            <family val="2"/>
          </rPr>
          <t xml:space="preserve"> DUMMY</t>
        </r>
        <r>
          <rPr>
            <sz val="9"/>
            <color indexed="81"/>
            <rFont val="Tahoma"/>
            <family val="2"/>
          </rPr>
          <t xml:space="preserve">
</t>
        </r>
      </text>
    </comment>
    <comment ref="G10" authorId="0">
      <text>
        <r>
          <rPr>
            <b/>
            <sz val="9"/>
            <color indexed="81"/>
            <rFont val="Tahoma"/>
            <family val="2"/>
          </rPr>
          <t xml:space="preserve">PROD : FG********
OPER: 0801 , 0802 , 1000 , 2900 , 2901 , 0902 , 5900 , 5901 , 5902
          5200 , 5201 , 5220 , 5231 , 5601 , 5620 , 5630 ,
          5803 , 5804 , 10A0 , 023B , 9891 , 9892
OWNER : PROD , CRN0 , RCS* , PD** , MFG5 , RECY , RES*
CST ID : F5S*** </t>
        </r>
      </text>
    </comment>
    <comment ref="O10" authorId="0">
      <text>
        <r>
          <rPr>
            <b/>
            <sz val="9"/>
            <color indexed="81"/>
            <rFont val="Tahoma"/>
            <family val="2"/>
          </rPr>
          <t xml:space="preserve">OPER : 0205 MOVE OUT
CST ID : L5S***
</t>
        </r>
        <r>
          <rPr>
            <sz val="9"/>
            <color indexed="81"/>
            <rFont val="Tahoma"/>
            <family val="2"/>
          </rPr>
          <t xml:space="preserve">
</t>
        </r>
      </text>
    </comment>
    <comment ref="G11" authorId="0">
      <text>
        <r>
          <rPr>
            <b/>
            <sz val="9"/>
            <color indexed="81"/>
            <rFont val="Tahoma"/>
            <family val="2"/>
          </rPr>
          <t xml:space="preserve">PROD : OG********
OPER : 0801 , 0802 , 1000 , 2900 , 2901 , 0902 , 5900 , 5901 , 5902
          5200 , 5201 , 5220 , 5231 , 5601 , 5620 , 5630 ,
          5803 , 5804 , 10A0 , 023B , 9891 , 9892
OWNER : PROD , CRN0 , RCS* , PD** , MFG5 , RECY , RES*
CST ID : F5S*** </t>
        </r>
      </text>
    </comment>
    <comment ref="O11" authorId="0">
      <text>
        <r>
          <rPr>
            <b/>
            <sz val="12"/>
            <color indexed="81"/>
            <rFont val="Tahoma"/>
            <family val="2"/>
          </rPr>
          <t xml:space="preserve">OPER : 02X1 + 110T
</t>
        </r>
        <r>
          <rPr>
            <b/>
            <sz val="12"/>
            <color indexed="81"/>
            <rFont val="細明體"/>
            <family val="3"/>
            <charset val="136"/>
          </rPr>
          <t>卡</t>
        </r>
        <r>
          <rPr>
            <b/>
            <sz val="12"/>
            <color indexed="81"/>
            <rFont val="Tahoma"/>
            <family val="2"/>
          </rPr>
          <t xml:space="preserve">  F5S***</t>
        </r>
        <r>
          <rPr>
            <sz val="9"/>
            <color indexed="81"/>
            <rFont val="Tahoma"/>
            <family val="2"/>
          </rPr>
          <t xml:space="preserve">
</t>
        </r>
      </text>
    </comment>
    <comment ref="G12" authorId="0">
      <text>
        <r>
          <rPr>
            <b/>
            <sz val="9"/>
            <color indexed="81"/>
            <rFont val="Tahoma"/>
            <family val="2"/>
          </rPr>
          <t xml:space="preserve">PROD : FG********
OPER : 0190 , 0590 , 1000 , 1190 , 1560 , 1571 , 1570 , 1588 , 
           1603 , 2560 , 2571 , 2960 , 2971 , 2970 , 3560 , 3571 , 
           4560 , 4571 , 4570 , 4565 , 4581 , 4588 , 4590 ,
           5290 , 5560 , 5571 , 5660 , 5671 , 
           7310 , 7560 ,7571 , 7570 , 7574 , 7571 , 7588 , 7590
           8101 , 9560 , 9571 , 9570 , 9591 , 9592 
           0001 , 29A1 , 52A1 , 59A0 , 85A1 
OWNER : PROD , CRN0 , RCS* , PD** , MFG5 , RECY , RES*
CST ID : F5S*** </t>
        </r>
      </text>
    </comment>
    <comment ref="M12" authorId="0">
      <text>
        <r>
          <rPr>
            <b/>
            <sz val="9"/>
            <color indexed="81"/>
            <rFont val="細明體"/>
            <family val="3"/>
            <charset val="136"/>
          </rPr>
          <t>勁耘</t>
        </r>
        <r>
          <rPr>
            <b/>
            <sz val="9"/>
            <color indexed="81"/>
            <rFont val="Tahoma"/>
            <family val="2"/>
          </rPr>
          <t xml:space="preserve"> + CF4
0801 MOVE IN
</t>
        </r>
        <r>
          <rPr>
            <b/>
            <sz val="9"/>
            <color indexed="81"/>
            <rFont val="細明體"/>
            <family val="3"/>
            <charset val="136"/>
          </rPr>
          <t>卡</t>
        </r>
        <r>
          <rPr>
            <b/>
            <sz val="9"/>
            <color indexed="81"/>
            <rFont val="Tahoma"/>
            <family val="2"/>
          </rPr>
          <t xml:space="preserve"> F5S***</t>
        </r>
      </text>
    </comment>
    <comment ref="A13" authorId="0">
      <text>
        <r>
          <rPr>
            <b/>
            <sz val="12"/>
            <color indexed="81"/>
            <rFont val="細明體"/>
            <family val="3"/>
            <charset val="136"/>
          </rPr>
          <t>重複計算</t>
        </r>
      </text>
    </comment>
    <comment ref="G13" authorId="0">
      <text>
        <r>
          <rPr>
            <b/>
            <sz val="9"/>
            <color indexed="81"/>
            <rFont val="Tahoma"/>
            <family val="2"/>
          </rPr>
          <t xml:space="preserve">PROD : OG********
OPER : 0190 , 0590 , 1000 , 1190 , 1560 , 1571 , 1570 , 1588 , 
           1603 , 2560 , 2571 , 2960 , 2971 , 2970 , 3560 , 3571 , 
           4560 , 4571 , 4570 , 4565 , 4581 , 4588 , 4590 ,
           5290 , 5560 , 5571 , 5660 , 5671 , 
           7310 , 7560 ,7571 , 7570 , 7574 , 7571 , 7588 , 7590
           8101 , 9560 , 9571 , 9570 , 9591 , 9592 
           0001 , 29A1 , 52A1 , 59A0 , 85A1 
OWNER : PROD , CRN0 , RCS* , PD** , MFG5 , RECY , RES*
CST ID : F5S*** </t>
        </r>
      </text>
    </comment>
    <comment ref="M13" authorId="0">
      <text>
        <r>
          <rPr>
            <b/>
            <sz val="9"/>
            <color indexed="81"/>
            <rFont val="細明體"/>
            <family val="3"/>
            <charset val="136"/>
          </rPr>
          <t xml:space="preserve">出 </t>
        </r>
        <r>
          <rPr>
            <b/>
            <sz val="9"/>
            <color indexed="81"/>
            <rFont val="Tahoma"/>
            <family val="2"/>
          </rPr>
          <t xml:space="preserve">USL 
CF3 </t>
        </r>
        <r>
          <rPr>
            <b/>
            <sz val="9"/>
            <color indexed="81"/>
            <rFont val="細明體"/>
            <family val="3"/>
            <charset val="136"/>
          </rPr>
          <t>代工回貨
*************
5801 + 5803 MOVE IN</t>
        </r>
        <r>
          <rPr>
            <sz val="9"/>
            <color indexed="81"/>
            <rFont val="Tahoma"/>
            <family val="2"/>
          </rPr>
          <t xml:space="preserve">
</t>
        </r>
      </text>
    </comment>
    <comment ref="A14" authorId="0">
      <text>
        <r>
          <rPr>
            <b/>
            <sz val="9"/>
            <color indexed="81"/>
            <rFont val="Tahoma"/>
            <family val="2"/>
          </rPr>
          <t xml:space="preserve">2901 
PROD : FGARDPNFF4
OPER : 2901 , MOVE OUT
CST ID : F5S***
PROD : FG********
5900 MOVE IN
CST ID : L5S***
PROD : FG********
</t>
        </r>
      </text>
    </comment>
    <comment ref="G14" authorId="0">
      <text>
        <r>
          <rPr>
            <b/>
            <sz val="9"/>
            <color indexed="81"/>
            <rFont val="Tahoma"/>
            <family val="2"/>
          </rPr>
          <t xml:space="preserve">BANK : 2996 , 2999 , 4599 , 5599 , 5996 , 5997 , 5998 , 5999 ,7599 ,7399 
PROD : FG********
CST ID : F5S*** </t>
        </r>
        <r>
          <rPr>
            <sz val="9"/>
            <color indexed="81"/>
            <rFont val="Tahoma"/>
            <family val="2"/>
          </rPr>
          <t xml:space="preserve">
</t>
        </r>
      </text>
    </comment>
    <comment ref="M14" authorId="0">
      <text>
        <r>
          <rPr>
            <b/>
            <sz val="9"/>
            <color indexed="81"/>
            <rFont val="細明體"/>
            <family val="3"/>
            <charset val="136"/>
          </rPr>
          <t>卡</t>
        </r>
        <r>
          <rPr>
            <b/>
            <sz val="9"/>
            <color indexed="81"/>
            <rFont val="Tahoma"/>
            <family val="2"/>
          </rPr>
          <t xml:space="preserve"> OWNER FINT / FPH5 / FTF5 /MFG5
*****************************
5801 MOVE IN</t>
        </r>
        <r>
          <rPr>
            <sz val="9"/>
            <color indexed="81"/>
            <rFont val="Tahoma"/>
            <family val="2"/>
          </rPr>
          <t xml:space="preserve">
</t>
        </r>
      </text>
    </comment>
    <comment ref="A15" authorId="0">
      <text>
        <r>
          <rPr>
            <b/>
            <sz val="9"/>
            <color indexed="81"/>
            <rFont val="Tahoma"/>
            <family val="2"/>
          </rPr>
          <t xml:space="preserve">OPER : 9081 
MOVE OUT - MOVE IN
CST ID : F5S***
</t>
        </r>
        <r>
          <rPr>
            <sz val="9"/>
            <color indexed="81"/>
            <rFont val="Tahoma"/>
            <family val="2"/>
          </rPr>
          <t xml:space="preserve">
</t>
        </r>
      </text>
    </comment>
    <comment ref="G15" authorId="0">
      <text>
        <r>
          <rPr>
            <b/>
            <sz val="9"/>
            <color indexed="81"/>
            <rFont val="Tahoma"/>
            <family val="2"/>
          </rPr>
          <t xml:space="preserve">BANK : 2996 , 2999 , 4599 , 5599 , 5996 , 5997 , 5998 , 5999 ,7599 ,7399
PROD : OG********
CST ID : F5S*** </t>
        </r>
      </text>
    </comment>
    <comment ref="M15" authorId="0">
      <text>
        <r>
          <rPr>
            <b/>
            <sz val="9"/>
            <color indexed="81"/>
            <rFont val="Tahoma"/>
            <family val="2"/>
          </rPr>
          <t xml:space="preserve">OPER : 9080 
MOVE IN - MOVE OUT
CST ID : F5S***
</t>
        </r>
        <r>
          <rPr>
            <sz val="9"/>
            <color indexed="81"/>
            <rFont val="Tahoma"/>
            <family val="2"/>
          </rPr>
          <t xml:space="preserve">
</t>
        </r>
      </text>
    </comment>
    <comment ref="G16" authorId="0">
      <text>
        <r>
          <rPr>
            <b/>
            <sz val="9"/>
            <color indexed="81"/>
            <rFont val="Tahoma"/>
            <family val="2"/>
          </rPr>
          <t xml:space="preserve">OHGC : 0200  , 0201 , 0210 , 0211 , 0221 ,  0205 ,0206 , 
           0207 , 0208 , 0232 , 0233 , 0233 , 0236 , 0241 , 0250 , 0291 
PROD : FG********
CST ID : F5S*** </t>
        </r>
        <r>
          <rPr>
            <sz val="9"/>
            <color indexed="81"/>
            <rFont val="Tahoma"/>
            <family val="2"/>
          </rPr>
          <t xml:space="preserve">
</t>
        </r>
      </text>
    </comment>
    <comment ref="G17" authorId="0">
      <text>
        <r>
          <rPr>
            <b/>
            <sz val="9"/>
            <color indexed="81"/>
            <rFont val="Tahoma"/>
            <family val="2"/>
          </rPr>
          <t xml:space="preserve">OHGC : 0200  , 0201 , 0210 , 0211 , 0221 ,  0205 ,0206 , 
           0207 , 0208 , 0232 , 0233 , 0233 , 0236 , 0241 , 0250 , 0291 
PROD : OG********
CST ID : F5S*** </t>
        </r>
      </text>
    </comment>
    <comment ref="G18" authorId="0">
      <text>
        <r>
          <rPr>
            <b/>
            <sz val="9"/>
            <color indexed="81"/>
            <rFont val="Tahoma"/>
            <family val="2"/>
          </rPr>
          <t xml:space="preserve">9580 / 9500 / 9199 / 9507 / 9509
</t>
        </r>
        <r>
          <rPr>
            <sz val="9"/>
            <color indexed="81"/>
            <rFont val="Tahoma"/>
            <family val="2"/>
          </rPr>
          <t xml:space="preserve">
</t>
        </r>
      </text>
    </comment>
    <comment ref="G19" authorId="0">
      <text>
        <r>
          <rPr>
            <b/>
            <sz val="9"/>
            <color indexed="81"/>
            <rFont val="Tahoma"/>
            <family val="2"/>
          </rPr>
          <t>9080 / 9081</t>
        </r>
      </text>
    </comment>
    <comment ref="G22" authorId="0">
      <text>
        <r>
          <rPr>
            <b/>
            <sz val="9"/>
            <color indexed="81"/>
            <rFont val="Tahoma"/>
            <family val="2"/>
          </rPr>
          <t>OWNER : 
FINS / FINT
FPH5 / FTF5
PM00 / RD00
INT0</t>
        </r>
      </text>
    </comment>
    <comment ref="G23" authorId="0">
      <text>
        <r>
          <rPr>
            <b/>
            <sz val="9"/>
            <color indexed="81"/>
            <rFont val="新細明體"/>
            <family val="1"/>
            <charset val="136"/>
          </rPr>
          <t>OWNER : INT0 / FINT / FTF5 / FPH5 / PM00 / RD00  / FINS
OPER : 0160 , 1000 , 1300 , 1310 , 1320 , 1340 , 1360 , 1390 , 2300 
           2330 , 2350 , 2390 , 3300 
           3330 , 3390 , 4300
           4310 , 4330 ,4350 , 4390 , 8300
           8313 , 8390 , 7200 
           7300 , 7312
           10A0 , 13A0 
           0801 , 0802 , 1000 , 2900 , 2901 , 0902 , 5900 , 5901 , 5902
          5200 , 5201 , 5220 , 5231 , 5601 , 5620 , 5630 ,
          5803 , 5804 , 10A0 , 023B , 9891 , 9892
          0190 , 0590 , 1000 , 1190 , 1560 , 1571 , 1570 , 1588 , 
           1603 , 2560 , 2571 , 2960 , 2971 , 2970 , 3560 , 3571 , 
           4560 , 4571 , 4570 , 4565 , 4581 , 4588 , 4590 ,
           5290 , 5560 , 5571 , 5660 , 5671 , 
CST ID : F5S***</t>
        </r>
      </text>
    </comment>
    <comment ref="Z23" authorId="0">
      <text>
        <r>
          <rPr>
            <b/>
            <sz val="9"/>
            <color indexed="81"/>
            <rFont val="Tahoma"/>
            <family val="2"/>
          </rPr>
          <t>OWNER : FINT / INT0 / RD00 / PM00
CST ID : F5S***
OPER : ALL</t>
        </r>
      </text>
    </comment>
    <comment ref="G24" authorId="0">
      <text>
        <r>
          <rPr>
            <b/>
            <sz val="9"/>
            <color indexed="81"/>
            <rFont val="Tahoma"/>
            <family val="2"/>
          </rPr>
          <t xml:space="preserve"> OPER : 7310 , 7560 ,7571 , 7570 , 7574 , 7571 , 7588 , 7590
            8101 , 9560 , 9571 , 9570 , 9591 , 9592 
            0001 , 29A1 , 52A1 , 59A0 , 85A1
OWNER : INT0 / FINT / FTF5 / FPH5 / PM00 / RD00  / FINS
CST ID : F5S***
 </t>
        </r>
        <r>
          <rPr>
            <sz val="9"/>
            <color indexed="81"/>
            <rFont val="Tahoma"/>
            <family val="2"/>
          </rPr>
          <t xml:space="preserve">
</t>
        </r>
      </text>
    </comment>
    <comment ref="Z24" authorId="0">
      <text>
        <r>
          <rPr>
            <b/>
            <sz val="9"/>
            <color indexed="81"/>
            <rFont val="細明體"/>
            <family val="3"/>
            <charset val="136"/>
          </rPr>
          <t>條件一:</t>
        </r>
        <r>
          <rPr>
            <b/>
            <sz val="9"/>
            <color indexed="81"/>
            <rFont val="Tahoma"/>
            <family val="2"/>
          </rPr>
          <t xml:space="preserve">OWNER :  FINS / FTF5
            OPER : ALL
            CST ID : F5S***
</t>
        </r>
        <r>
          <rPr>
            <b/>
            <sz val="9"/>
            <color indexed="81"/>
            <rFont val="細明體"/>
            <family val="3"/>
            <charset val="136"/>
          </rPr>
          <t>條件二</t>
        </r>
        <r>
          <rPr>
            <b/>
            <sz val="9"/>
            <color indexed="81"/>
            <rFont val="Tahoma"/>
            <family val="2"/>
          </rPr>
          <t xml:space="preserve"> : OWNER : FPH5 
             OPER : ENG
             CST ID : F5S***</t>
        </r>
      </text>
    </comment>
    <comment ref="G25" authorId="0">
      <text>
        <r>
          <rPr>
            <b/>
            <sz val="9"/>
            <color indexed="81"/>
            <rFont val="Tahoma"/>
            <family val="2"/>
          </rPr>
          <t>OPER : ENG
CST ID : F5S***</t>
        </r>
        <r>
          <rPr>
            <sz val="9"/>
            <color indexed="81"/>
            <rFont val="Tahoma"/>
            <family val="2"/>
          </rPr>
          <t xml:space="preserve">
</t>
        </r>
      </text>
    </comment>
  </commentList>
</comments>
</file>

<file path=xl/comments3.xml><?xml version="1.0" encoding="utf-8"?>
<comments xmlns="http://schemas.openxmlformats.org/spreadsheetml/2006/main">
  <authors>
    <author>sampen.ho</author>
  </authors>
  <commentList>
    <comment ref="P1" authorId="0">
      <text>
        <r>
          <rPr>
            <b/>
            <sz val="9"/>
            <color indexed="81"/>
            <rFont val="Tahoma"/>
            <family val="2"/>
          </rPr>
          <t>PROD : FG********</t>
        </r>
        <r>
          <rPr>
            <sz val="9"/>
            <color indexed="81"/>
            <rFont val="Tahoma"/>
            <family val="2"/>
          </rPr>
          <t xml:space="preserve">
</t>
        </r>
      </text>
    </comment>
    <comment ref="Z1" authorId="0">
      <text>
        <r>
          <rPr>
            <b/>
            <sz val="9"/>
            <color indexed="81"/>
            <rFont val="Tahoma"/>
            <family val="2"/>
          </rPr>
          <t>PROD : OG********</t>
        </r>
        <r>
          <rPr>
            <sz val="9"/>
            <color indexed="81"/>
            <rFont val="Tahoma"/>
            <family val="2"/>
          </rPr>
          <t xml:space="preserve">
</t>
        </r>
      </text>
    </comment>
    <comment ref="AJ1" authorId="0">
      <text>
        <r>
          <rPr>
            <b/>
            <sz val="9"/>
            <color indexed="81"/>
            <rFont val="Tahoma"/>
            <family val="2"/>
          </rPr>
          <t>PROD : FG********</t>
        </r>
        <r>
          <rPr>
            <sz val="9"/>
            <color indexed="81"/>
            <rFont val="Tahoma"/>
            <family val="2"/>
          </rPr>
          <t xml:space="preserve">
</t>
        </r>
      </text>
    </comment>
    <comment ref="AT1" authorId="0">
      <text>
        <r>
          <rPr>
            <b/>
            <sz val="9"/>
            <color indexed="81"/>
            <rFont val="Tahoma"/>
            <family val="2"/>
          </rPr>
          <t>PROD : OG********</t>
        </r>
        <r>
          <rPr>
            <sz val="9"/>
            <color indexed="81"/>
            <rFont val="Tahoma"/>
            <family val="2"/>
          </rPr>
          <t xml:space="preserve">
</t>
        </r>
      </text>
    </comment>
    <comment ref="BD1" authorId="0">
      <text>
        <r>
          <rPr>
            <b/>
            <sz val="9"/>
            <color indexed="81"/>
            <rFont val="Tahoma"/>
            <family val="2"/>
          </rPr>
          <t>BANK : 2996 , 2999 , 5996 , 5998 , 5999 , 9199 , 9507 , 9509 
PROD : FG********</t>
        </r>
        <r>
          <rPr>
            <sz val="9"/>
            <color indexed="81"/>
            <rFont val="Tahoma"/>
            <family val="2"/>
          </rPr>
          <t xml:space="preserve">
</t>
        </r>
      </text>
    </comment>
    <comment ref="BN1" authorId="0">
      <text>
        <r>
          <rPr>
            <b/>
            <sz val="9"/>
            <color indexed="81"/>
            <rFont val="Tahoma"/>
            <family val="2"/>
          </rPr>
          <t>BANK : 2996 , 2999 , 5996 , 5998 , 5999 , 9199 , 9507 , 9509 
PROD : OG********</t>
        </r>
        <r>
          <rPr>
            <sz val="9"/>
            <color indexed="81"/>
            <rFont val="Tahoma"/>
            <family val="2"/>
          </rPr>
          <t xml:space="preserve">
</t>
        </r>
      </text>
    </comment>
    <comment ref="BX1" authorId="0">
      <text>
        <r>
          <rPr>
            <b/>
            <sz val="9"/>
            <color indexed="81"/>
            <rFont val="Tahoma"/>
            <family val="2"/>
          </rPr>
          <t>OHGC : 0200 , 0201 , 0210 , 0211 , 0221 , 0205 , 0206 
PROD : FG********</t>
        </r>
        <r>
          <rPr>
            <sz val="9"/>
            <color indexed="81"/>
            <rFont val="Tahoma"/>
            <family val="2"/>
          </rPr>
          <t xml:space="preserve">
</t>
        </r>
      </text>
    </comment>
    <comment ref="CH1" authorId="0">
      <text>
        <r>
          <rPr>
            <b/>
            <sz val="9"/>
            <color indexed="81"/>
            <rFont val="Tahoma"/>
            <family val="2"/>
          </rPr>
          <t>OHGC : 0200 , 0201 , 0210 , 0211 , 0221 , 0205 , 0206 
PROD : OG********</t>
        </r>
        <r>
          <rPr>
            <sz val="9"/>
            <color indexed="81"/>
            <rFont val="Tahoma"/>
            <family val="2"/>
          </rPr>
          <t xml:space="preserve">
</t>
        </r>
      </text>
    </comment>
    <comment ref="A14" authorId="0">
      <text>
        <r>
          <rPr>
            <b/>
            <sz val="9"/>
            <color indexed="81"/>
            <rFont val="細明體"/>
            <family val="3"/>
            <charset val="136"/>
          </rPr>
          <t>六道</t>
        </r>
        <r>
          <rPr>
            <b/>
            <sz val="9"/>
            <color indexed="81"/>
            <rFont val="Tahoma"/>
            <family val="2"/>
          </rPr>
          <t xml:space="preserve"> TOD
BS-ITO
RECY &gt; CF3 (</t>
        </r>
        <r>
          <rPr>
            <b/>
            <sz val="9"/>
            <color indexed="81"/>
            <rFont val="細明體"/>
            <family val="3"/>
            <charset val="136"/>
          </rPr>
          <t>酸</t>
        </r>
        <r>
          <rPr>
            <b/>
            <sz val="9"/>
            <color indexed="81"/>
            <rFont val="Tahoma"/>
            <family val="2"/>
          </rPr>
          <t>-</t>
        </r>
        <r>
          <rPr>
            <b/>
            <sz val="9"/>
            <color indexed="81"/>
            <rFont val="細明體"/>
            <family val="3"/>
            <charset val="136"/>
          </rPr>
          <t>鹼</t>
        </r>
        <r>
          <rPr>
            <b/>
            <sz val="9"/>
            <color indexed="81"/>
            <rFont val="Tahoma"/>
            <family val="2"/>
          </rPr>
          <t>-</t>
        </r>
        <r>
          <rPr>
            <b/>
            <sz val="9"/>
            <color indexed="81"/>
            <rFont val="細明體"/>
            <family val="3"/>
            <charset val="136"/>
          </rPr>
          <t>鹼</t>
        </r>
        <r>
          <rPr>
            <b/>
            <sz val="9"/>
            <color indexed="81"/>
            <rFont val="Tahoma"/>
            <family val="2"/>
          </rPr>
          <t xml:space="preserve">)
</t>
        </r>
      </text>
    </comment>
    <comment ref="A50" authorId="0">
      <text>
        <r>
          <rPr>
            <b/>
            <sz val="9"/>
            <color indexed="81"/>
            <rFont val="Tahoma"/>
            <family val="2"/>
          </rPr>
          <t>2960
2971
2970
0210 
13A0
1300
2903</t>
        </r>
      </text>
    </comment>
    <comment ref="A51" authorId="0">
      <text>
        <r>
          <rPr>
            <b/>
            <sz val="9"/>
            <color indexed="81"/>
            <rFont val="Tahoma"/>
            <family val="2"/>
          </rPr>
          <t xml:space="preserve">1560
1571
1570
1588
15A1
1310
1320
1340
1360
1390
2300
</t>
        </r>
      </text>
    </comment>
    <comment ref="A52" authorId="0">
      <text>
        <r>
          <rPr>
            <b/>
            <sz val="9"/>
            <color indexed="81"/>
            <rFont val="Tahoma"/>
            <family val="2"/>
          </rPr>
          <t>2560
2571
2570
25A1
2310
2330
2350
2360
2390
3300</t>
        </r>
        <r>
          <rPr>
            <sz val="9"/>
            <color indexed="81"/>
            <rFont val="Tahoma"/>
            <family val="2"/>
          </rPr>
          <t xml:space="preserve">
</t>
        </r>
      </text>
    </comment>
    <comment ref="A53" authorId="0">
      <text>
        <r>
          <rPr>
            <b/>
            <sz val="9"/>
            <color indexed="81"/>
            <rFont val="Tahoma"/>
            <family val="2"/>
          </rPr>
          <t>3560
3571
3570
35A1
3310
3330
3350
3360
3390
4300</t>
        </r>
        <r>
          <rPr>
            <sz val="9"/>
            <color indexed="81"/>
            <rFont val="Tahoma"/>
            <family val="2"/>
          </rPr>
          <t xml:space="preserve">
</t>
        </r>
      </text>
    </comment>
    <comment ref="A54" authorId="0">
      <text>
        <r>
          <rPr>
            <b/>
            <sz val="9"/>
            <color indexed="81"/>
            <rFont val="Tahoma"/>
            <family val="2"/>
          </rPr>
          <t>4560
4571
4570
4588
43A0
4310
4330
4350
4360
4390
8300</t>
        </r>
        <r>
          <rPr>
            <sz val="9"/>
            <color indexed="81"/>
            <rFont val="Tahoma"/>
            <family val="2"/>
          </rPr>
          <t xml:space="preserve">
</t>
        </r>
      </text>
    </comment>
    <comment ref="A55" authorId="0">
      <text>
        <r>
          <rPr>
            <b/>
            <sz val="9"/>
            <color indexed="81"/>
            <rFont val="Tahoma"/>
            <family val="2"/>
          </rPr>
          <t>8560
8571
8570
8590
83A0
8310
8313
8330
8340
8350
8360
8390
7200</t>
        </r>
        <r>
          <rPr>
            <sz val="9"/>
            <color indexed="81"/>
            <rFont val="Tahoma"/>
            <family val="2"/>
          </rPr>
          <t xml:space="preserve">
</t>
        </r>
      </text>
    </comment>
    <comment ref="A56" authorId="0">
      <text>
        <r>
          <rPr>
            <b/>
            <sz val="9"/>
            <color indexed="81"/>
            <rFont val="Tahoma"/>
            <family val="2"/>
          </rPr>
          <t xml:space="preserve">7300
7212
7213
7250
7260
7265
72A0
7293
7294
7298
5610
5620
5630
5640
5660
5690
</t>
        </r>
      </text>
    </comment>
    <comment ref="A60" authorId="0">
      <text>
        <r>
          <rPr>
            <b/>
            <sz val="9"/>
            <color indexed="81"/>
            <rFont val="Tahoma"/>
            <family val="2"/>
          </rPr>
          <t xml:space="preserve">5200
5202
</t>
        </r>
      </text>
    </comment>
    <comment ref="A61" authorId="0">
      <text>
        <r>
          <rPr>
            <b/>
            <sz val="9"/>
            <color indexed="81"/>
            <rFont val="Tahoma"/>
            <family val="2"/>
          </rPr>
          <t>5220
5230
5260
2903
0207
5601
5600
5602</t>
        </r>
      </text>
    </comment>
  </commentList>
</comments>
</file>

<file path=xl/comments4.xml><?xml version="1.0" encoding="utf-8"?>
<comments xmlns="http://schemas.openxmlformats.org/spreadsheetml/2006/main">
  <authors>
    <author>sampen.ho</author>
  </authors>
  <commentList>
    <comment ref="E1" authorId="0">
      <text>
        <r>
          <rPr>
            <b/>
            <sz val="9"/>
            <color indexed="81"/>
            <rFont val="新細明體"/>
            <family val="1"/>
            <charset val="136"/>
          </rPr>
          <t>OWNER : INT0 / FINT / FTF5 / FPH5 / PM00 / RD00  / FINS
OPER : 0160 , 1000 , 1300 , 1310 , 1320 , 1340 , 1360 , 1390 , 2300 
           2330 , 2350 , 2390 , 3300 
           3330 , 3390 , 4300
           4310 , 4330 ,4350 , 4390 , 8300
           8313 , 8390 , 7200 
           7300 , 7312
           10A0 , 13A0 
           0801 , 0802 , 1000 , 2900 , 2901 , 0902 , 5900 , 5901 , 5902
          5200 , 5201 , 5220 , 5231 , 5601 , 5620 , 5630 ,
          5803 , 5804 , 10A0 , 023B , 9891 , 9892
          0190 , 0590 , 1000 , 1190 , 1560 , 1571 , 1570 , 1588 , 
           1603 , 2560 , 2571 , 2960 , 2971 , 2970 , 3560 , 3571 , 
           4560 , 4571 , 4570 , 4565 , 4581 , 4588 , 4590 ,
           5290 , 5560 , 5571 , 5660 , 5671 , 
CST ID : F5S***</t>
        </r>
      </text>
    </comment>
    <comment ref="O1" authorId="0">
      <text>
        <r>
          <rPr>
            <b/>
            <sz val="9"/>
            <color indexed="81"/>
            <rFont val="Tahoma"/>
            <family val="2"/>
          </rPr>
          <t xml:space="preserve"> OPER : 7310 , 7560 ,7571 , 7570 , 7574 , 7571 , 7588 , 7590
            8101 , 9560 , 9571 , 9570 , 9591 , 9592 
            0001 , 29A1 , 52A1 , 59A0 , 85A1
OWNER : INT0 / FINT / FTF5 / FPH5 / PM00 / RD00  / FINS
CST ID : F5S***
 </t>
        </r>
        <r>
          <rPr>
            <sz val="9"/>
            <color indexed="81"/>
            <rFont val="Tahoma"/>
            <family val="2"/>
          </rPr>
          <t xml:space="preserve">
</t>
        </r>
      </text>
    </comment>
  </commentList>
</comments>
</file>

<file path=xl/comments5.xml><?xml version="1.0" encoding="utf-8"?>
<comments xmlns="http://schemas.openxmlformats.org/spreadsheetml/2006/main">
  <authors>
    <author>sampen.ho</author>
  </authors>
  <commentList>
    <comment ref="A6" authorId="0">
      <text>
        <r>
          <rPr>
            <b/>
            <sz val="9"/>
            <color indexed="81"/>
            <rFont val="細明體"/>
            <family val="3"/>
            <charset val="136"/>
          </rPr>
          <t>勁耘</t>
        </r>
        <r>
          <rPr>
            <b/>
            <sz val="9"/>
            <color indexed="81"/>
            <rFont val="Tahoma"/>
            <family val="2"/>
          </rPr>
          <t xml:space="preserve"> + CF4</t>
        </r>
        <r>
          <rPr>
            <sz val="9"/>
            <color indexed="81"/>
            <rFont val="Tahoma"/>
            <family val="2"/>
          </rPr>
          <t xml:space="preserve">
</t>
        </r>
      </text>
    </comment>
    <comment ref="A7" authorId="0">
      <text>
        <r>
          <rPr>
            <b/>
            <sz val="9"/>
            <color indexed="81"/>
            <rFont val="Tahoma"/>
            <family val="2"/>
          </rPr>
          <t xml:space="preserve">USL 
CF3 </t>
        </r>
        <r>
          <rPr>
            <b/>
            <sz val="9"/>
            <color indexed="81"/>
            <rFont val="細明體"/>
            <family val="3"/>
            <charset val="136"/>
          </rPr>
          <t>代工回貨</t>
        </r>
        <r>
          <rPr>
            <sz val="9"/>
            <color indexed="81"/>
            <rFont val="Tahoma"/>
            <family val="2"/>
          </rPr>
          <t xml:space="preserve">
</t>
        </r>
      </text>
    </comment>
    <comment ref="T11" authorId="0">
      <text>
        <r>
          <rPr>
            <b/>
            <sz val="9"/>
            <color indexed="81"/>
            <rFont val="Tahoma"/>
            <family val="2"/>
          </rPr>
          <t xml:space="preserve">USL 
CF3 </t>
        </r>
        <r>
          <rPr>
            <b/>
            <sz val="9"/>
            <color indexed="81"/>
            <rFont val="細明體"/>
            <family val="3"/>
            <charset val="136"/>
          </rPr>
          <t>代工回貨</t>
        </r>
        <r>
          <rPr>
            <sz val="9"/>
            <color indexed="81"/>
            <rFont val="Tahoma"/>
            <family val="2"/>
          </rPr>
          <t xml:space="preserve">
</t>
        </r>
      </text>
    </comment>
  </commentList>
</comments>
</file>

<file path=xl/sharedStrings.xml><?xml version="1.0" encoding="utf-8"?>
<sst xmlns="http://schemas.openxmlformats.org/spreadsheetml/2006/main" count="17029" uniqueCount="2917">
  <si>
    <t xml:space="preserve">CST 管理系統 </t>
    <phoneticPr fontId="1" type="noConversion"/>
  </si>
  <si>
    <t>低水位警示</t>
    <phoneticPr fontId="1" type="noConversion"/>
  </si>
  <si>
    <t>系統自動合併功能提升</t>
    <phoneticPr fontId="1" type="noConversion"/>
  </si>
  <si>
    <t>待去化的 RECY WIP 處理</t>
    <phoneticPr fontId="1" type="noConversion"/>
  </si>
  <si>
    <t xml:space="preserve">無去化排程的 RECY WIP , 優先 / 自動  PACK 入 PP ( 4 天以上 ) </t>
    <phoneticPr fontId="1" type="noConversion"/>
  </si>
  <si>
    <t>改善</t>
    <phoneticPr fontId="1" type="noConversion"/>
  </si>
  <si>
    <t>異因</t>
    <phoneticPr fontId="1" type="noConversion"/>
  </si>
  <si>
    <t>2. 限制多 &gt; BANK 外  卡同站點 , 同 GROUP , 同 OWNER  ; 
                    BANK 內 需完成判 CODE .</t>
    <phoneticPr fontId="1" type="noConversion"/>
  </si>
  <si>
    <t xml:space="preserve">1.系統派指令給 CHAG 時 , 無法判斷執行優先順序 </t>
    <phoneticPr fontId="1" type="noConversion"/>
  </si>
  <si>
    <t>INPUT / OUTPUT 不平衡</t>
    <phoneticPr fontId="1" type="noConversion"/>
  </si>
  <si>
    <t>1. GROUP 整併 .
2. 卡關機制修正 .
3. 入 NG PORT CST 的 GLASS 自動判 CODE .
4. BANK 內 WIP 自動轉成 RECY PROD .</t>
    <phoneticPr fontId="1" type="noConversion"/>
  </si>
  <si>
    <t>1. 設定 TARGET 
2. 達警示線 : 可 PACK 的 WIP , OHGC 優先處置</t>
    <phoneticPr fontId="1" type="noConversion"/>
  </si>
  <si>
    <t>實驗貨</t>
    <phoneticPr fontId="1" type="noConversion"/>
  </si>
  <si>
    <t>1.GROUP 多 .
2. 驗證週期不定 .
3. 實驗出貨後 , 殘批
4. LCD 下線殘批 .</t>
    <phoneticPr fontId="1" type="noConversion"/>
  </si>
  <si>
    <t>1. 7300 後 , 全數合併 , 貨主建檔管理 .
2. 實驗出貨後 , 殘批確認需求 , 超過一個月 ,
    提 RECY / SCRAP 需求</t>
    <phoneticPr fontId="1" type="noConversion"/>
  </si>
  <si>
    <t>1. 在 STK08 的 WIP 需優先執行 , 避免等待 CST 搬移時間 .
2. 待合併的 CST , 自動/優先/事前搬入 STK08 .</t>
    <phoneticPr fontId="1" type="noConversion"/>
  </si>
  <si>
    <t>1. 完成判 CODE 及轉換 PROD 的 WIP 
    OHGC 優先執行倒貨 TO SUP PACK .
2. 待 PACK 的 WIP : 
    A. OHGC : 自動/優先/事前搬入 STK06 .
    B. PACK :  自動/優先/事前搬入 STK01 .</t>
    <phoneticPr fontId="1" type="noConversion"/>
  </si>
  <si>
    <t>3.系統派貨時 , 一次只有 2 批 .</t>
    <phoneticPr fontId="1" type="noConversion"/>
  </si>
  <si>
    <t>1. 同條件的 , 一次拉足 .</t>
    <phoneticPr fontId="1" type="noConversion"/>
  </si>
  <si>
    <t>x (OUT)= Finish (9580 MOVE IN)</t>
    <phoneticPr fontId="1" type="noConversion"/>
  </si>
  <si>
    <t>x (OUT)= Finish (5803 MOVE IN)</t>
    <phoneticPr fontId="1" type="noConversion"/>
  </si>
  <si>
    <t>x (OUT)= Finish (0801 + 9891 MOVE IN)</t>
    <phoneticPr fontId="1" type="noConversion"/>
  </si>
  <si>
    <r>
      <rPr>
        <b/>
        <sz val="16"/>
        <color rgb="FF7030A0"/>
        <rFont val="新細明體"/>
        <family val="1"/>
        <charset val="136"/>
        <scheme val="minor"/>
      </rPr>
      <t xml:space="preserve">Y( 空 CST 數量 ) </t>
    </r>
    <r>
      <rPr>
        <b/>
        <sz val="12"/>
        <color theme="1"/>
        <rFont val="新細明體"/>
        <family val="1"/>
        <charset val="136"/>
        <scheme val="minor"/>
      </rPr>
      <t xml:space="preserve">
= </t>
    </r>
    <r>
      <rPr>
        <b/>
        <sz val="12"/>
        <color rgb="FF0000FF"/>
        <rFont val="新細明體"/>
        <family val="1"/>
        <charset val="136"/>
        <scheme val="minor"/>
      </rPr>
      <t>y (Output) + y(滿批率)</t>
    </r>
    <r>
      <rPr>
        <b/>
        <sz val="12"/>
        <color rgb="FFFF0000"/>
        <rFont val="新細明體"/>
        <family val="1"/>
        <charset val="136"/>
        <scheme val="minor"/>
      </rPr>
      <t xml:space="preserve"> - y(Input)</t>
    </r>
    <phoneticPr fontId="1" type="noConversion"/>
  </si>
  <si>
    <t>站點定義</t>
    <phoneticPr fontId="1" type="noConversion"/>
  </si>
  <si>
    <t>X(雙玻)= x (5804 IN)</t>
    <phoneticPr fontId="1" type="noConversion"/>
  </si>
  <si>
    <r>
      <t xml:space="preserve">X(雙玻) = </t>
    </r>
    <r>
      <rPr>
        <b/>
        <sz val="12"/>
        <color rgb="FFFF0000"/>
        <rFont val="新細明體"/>
        <family val="1"/>
        <charset val="136"/>
        <scheme val="minor"/>
      </rPr>
      <t>x (WIP)</t>
    </r>
    <r>
      <rPr>
        <b/>
        <sz val="12"/>
        <color theme="1"/>
        <rFont val="新細明體"/>
        <family val="1"/>
        <charset val="136"/>
        <scheme val="minor"/>
      </rPr>
      <t xml:space="preserve"> + x (OUT)
</t>
    </r>
    <r>
      <rPr>
        <b/>
        <sz val="12"/>
        <color rgb="FFFF0000"/>
        <rFont val="新細明體"/>
        <family val="1"/>
        <charset val="136"/>
        <scheme val="minor"/>
      </rPr>
      <t>&gt;&gt; WIP 訂 ALARM TARGET</t>
    </r>
    <phoneticPr fontId="1" type="noConversion"/>
  </si>
  <si>
    <r>
      <t xml:space="preserve">X(單玻) = </t>
    </r>
    <r>
      <rPr>
        <b/>
        <sz val="12"/>
        <color rgb="FFFF0000"/>
        <rFont val="新細明體"/>
        <family val="1"/>
        <charset val="136"/>
        <scheme val="minor"/>
      </rPr>
      <t>x (WIP)</t>
    </r>
    <r>
      <rPr>
        <b/>
        <sz val="12"/>
        <color theme="1"/>
        <rFont val="新細明體"/>
        <family val="1"/>
        <charset val="136"/>
        <scheme val="minor"/>
      </rPr>
      <t xml:space="preserve"> + x (OUT)
</t>
    </r>
    <r>
      <rPr>
        <b/>
        <sz val="12"/>
        <color rgb="FFFF0000"/>
        <rFont val="新細明體"/>
        <family val="1"/>
        <charset val="136"/>
        <scheme val="minor"/>
      </rPr>
      <t>&gt;&gt; WIP 訂 ALARM TARGET</t>
    </r>
    <phoneticPr fontId="1" type="noConversion"/>
  </si>
  <si>
    <r>
      <t xml:space="preserve">X(CST &gt; PP) = </t>
    </r>
    <r>
      <rPr>
        <b/>
        <sz val="12"/>
        <color rgb="FFFF0000"/>
        <rFont val="新細明體"/>
        <family val="1"/>
        <charset val="136"/>
        <scheme val="minor"/>
      </rPr>
      <t>x (WIP)</t>
    </r>
    <r>
      <rPr>
        <b/>
        <sz val="12"/>
        <color theme="1"/>
        <rFont val="新細明體"/>
        <family val="1"/>
        <charset val="136"/>
        <scheme val="minor"/>
      </rPr>
      <t xml:space="preserve"> + x (OUT)
</t>
    </r>
    <r>
      <rPr>
        <b/>
        <sz val="12"/>
        <color rgb="FFFF0000"/>
        <rFont val="新細明體"/>
        <family val="1"/>
        <charset val="136"/>
        <scheme val="minor"/>
      </rPr>
      <t>&gt;&gt; WIP 訂 ALARM TARGET</t>
    </r>
    <phoneticPr fontId="1" type="noConversion"/>
  </si>
  <si>
    <r>
      <rPr>
        <b/>
        <sz val="16"/>
        <color rgb="FF0000FF"/>
        <rFont val="新細明體"/>
        <family val="1"/>
        <charset val="136"/>
        <scheme val="minor"/>
      </rPr>
      <t xml:space="preserve">y(滿批率) </t>
    </r>
    <r>
      <rPr>
        <b/>
        <sz val="12"/>
        <color theme="1"/>
        <rFont val="新細明體"/>
        <family val="1"/>
        <charset val="136"/>
        <scheme val="minor"/>
      </rPr>
      <t xml:space="preserve">
=X(實驗貨) + X(量產品)</t>
    </r>
    <phoneticPr fontId="1" type="noConversion"/>
  </si>
  <si>
    <r>
      <t xml:space="preserve">X(實驗貨) </t>
    </r>
    <r>
      <rPr>
        <b/>
        <sz val="12"/>
        <color rgb="FFFF0000"/>
        <rFont val="新細明體"/>
        <family val="1"/>
        <charset val="136"/>
        <scheme val="minor"/>
      </rPr>
      <t>&gt;&gt; 訂 ALARM TARGET</t>
    </r>
    <r>
      <rPr>
        <b/>
        <sz val="12"/>
        <color theme="1"/>
        <rFont val="新細明體"/>
        <family val="1"/>
        <charset val="136"/>
        <scheme val="minor"/>
      </rPr>
      <t xml:space="preserve">
= (不含 CST 總片數 / CST 數 )</t>
    </r>
    <phoneticPr fontId="1" type="noConversion"/>
  </si>
  <si>
    <r>
      <t xml:space="preserve">X(量產品) </t>
    </r>
    <r>
      <rPr>
        <b/>
        <sz val="12"/>
        <color rgb="FFFF0000"/>
        <rFont val="新細明體"/>
        <family val="1"/>
        <charset val="136"/>
        <scheme val="minor"/>
      </rPr>
      <t>&gt;&gt; 訂 ALARM TARGET</t>
    </r>
    <r>
      <rPr>
        <b/>
        <sz val="12"/>
        <color theme="1"/>
        <rFont val="新細明體"/>
        <family val="1"/>
        <charset val="136"/>
        <scheme val="minor"/>
      </rPr>
      <t xml:space="preserve">
= (不含 CST 總片數 / CST 數 )</t>
    </r>
    <phoneticPr fontId="1" type="noConversion"/>
  </si>
  <si>
    <t>X(單玻)
=x(Bare IN)+x(Cross IN)+x(PP&gt;CST)</t>
    <phoneticPr fontId="1" type="noConversion"/>
  </si>
  <si>
    <t>x (Cross IN) = CF3 來料 = 9892 IN</t>
    <phoneticPr fontId="1" type="noConversion"/>
  </si>
  <si>
    <t>x ( PP &gt; CST ) = 0802 IN</t>
    <phoneticPr fontId="1" type="noConversion"/>
  </si>
  <si>
    <r>
      <rPr>
        <b/>
        <sz val="16"/>
        <color rgb="FF0000FF"/>
        <rFont val="新細明體"/>
        <family val="1"/>
        <charset val="136"/>
        <scheme val="minor"/>
      </rPr>
      <t>y(Input)</t>
    </r>
    <r>
      <rPr>
        <b/>
        <sz val="12"/>
        <color theme="1"/>
        <rFont val="新細明體"/>
        <family val="1"/>
        <charset val="136"/>
        <scheme val="minor"/>
      </rPr>
      <t xml:space="preserve">
=X(單玻) + X(雙玻)</t>
    </r>
    <phoneticPr fontId="1" type="noConversion"/>
  </si>
  <si>
    <r>
      <rPr>
        <b/>
        <sz val="16"/>
        <color rgb="FF0000FF"/>
        <rFont val="新細明體"/>
        <family val="1"/>
        <charset val="136"/>
        <scheme val="minor"/>
      </rPr>
      <t xml:space="preserve">y (Output) </t>
    </r>
    <r>
      <rPr>
        <b/>
        <sz val="12"/>
        <color rgb="FF0000FF"/>
        <rFont val="新細明體"/>
        <family val="1"/>
        <charset val="136"/>
        <scheme val="minor"/>
      </rPr>
      <t xml:space="preserve">
</t>
    </r>
    <r>
      <rPr>
        <b/>
        <sz val="12"/>
        <color theme="1"/>
        <rFont val="新細明體"/>
        <family val="1"/>
        <charset val="136"/>
        <scheme val="minor"/>
      </rPr>
      <t>= X(雙玻)+X(單玻)+X(CST &gt; PP)</t>
    </r>
    <phoneticPr fontId="1" type="noConversion"/>
  </si>
  <si>
    <t>Owner : INT0、FINT、FPH5、INS5、FTF5</t>
    <phoneticPr fontId="1" type="noConversion"/>
  </si>
  <si>
    <r>
      <t>Owner : PROD</t>
    </r>
    <r>
      <rPr>
        <b/>
        <sz val="12"/>
        <color rgb="FF0000FF"/>
        <rFont val="新細明體"/>
        <family val="1"/>
        <charset val="136"/>
      </rPr>
      <t>、CRN0、RCS*、PD**、
             DUMY、MFG5</t>
    </r>
    <phoneticPr fontId="1" type="noConversion"/>
  </si>
  <si>
    <r>
      <t xml:space="preserve">x (WIP)= 5200~5290
   </t>
    </r>
    <r>
      <rPr>
        <b/>
        <sz val="12"/>
        <color rgb="FFFF0000"/>
        <rFont val="新細明體"/>
        <family val="1"/>
        <charset val="136"/>
        <scheme val="minor"/>
      </rPr>
      <t>Alarm : Stay Hr &gt; 14 天</t>
    </r>
    <phoneticPr fontId="1" type="noConversion"/>
  </si>
  <si>
    <t>抓取項目</t>
    <phoneticPr fontId="1" type="noConversion"/>
  </si>
  <si>
    <t>x (WIP)= 7560~9580</t>
    <phoneticPr fontId="1" type="noConversion"/>
  </si>
  <si>
    <t>DATA 來源</t>
    <phoneticPr fontId="1" type="noConversion"/>
  </si>
  <si>
    <t>REPORT F033</t>
    <phoneticPr fontId="1" type="noConversion"/>
  </si>
  <si>
    <t>執行動作</t>
    <phoneticPr fontId="1" type="noConversion"/>
  </si>
  <si>
    <t>OPER : 7560~9580
PROD : FG********
OWNER : ALL
Qty : 加總
CST Qty : 加總</t>
    <phoneticPr fontId="1" type="noConversion"/>
  </si>
  <si>
    <t>OPER : 5200~5290
PROD : OG********
OWNER : ALL
Qty : 加總
CST Qty : 加總</t>
    <phoneticPr fontId="1" type="noConversion"/>
  </si>
  <si>
    <t xml:space="preserve">一. 確認 75XX WIP / MOVE 
二. 確認  0201 WIP / MOVE </t>
    <phoneticPr fontId="1" type="noConversion"/>
  </si>
  <si>
    <t>x (WIP)= 0211+ 0221+ 5801</t>
    <phoneticPr fontId="1" type="noConversion"/>
  </si>
  <si>
    <t>OPER : 5803
PROD : OG********
OWNER : ALL
Qty : 加總
CST Qty : 加總</t>
    <phoneticPr fontId="1" type="noConversion"/>
  </si>
  <si>
    <t>OPER : 0801 / 9891
PROD : ALL
OWNER : ALL
Qty : 加總
CST Qty : 加總</t>
    <phoneticPr fontId="1" type="noConversion"/>
  </si>
  <si>
    <t>OPER : 0211 / 0221
PROD : ALL
OWNER : ALL
Qty : 加總
CST Qty : 加總</t>
    <phoneticPr fontId="1" type="noConversion"/>
  </si>
  <si>
    <t>OPER : 9580
PROD : FG********
OWNER : ALL
Qty : 加總
CST Qty : 加總</t>
    <phoneticPr fontId="1" type="noConversion"/>
  </si>
  <si>
    <t>CF5 CST 管理系統</t>
    <phoneticPr fontId="1" type="noConversion"/>
  </si>
  <si>
    <t>x (Bare IN) = 0100 (投片區) or 0200 ( STB )</t>
    <phoneticPr fontId="1" type="noConversion"/>
  </si>
  <si>
    <t>0802 RECY 解包</t>
    <phoneticPr fontId="1" type="noConversion"/>
  </si>
  <si>
    <t>CF3 來料解包</t>
    <phoneticPr fontId="1" type="noConversion"/>
  </si>
  <si>
    <t>雙玻來料解包</t>
    <phoneticPr fontId="1" type="noConversion"/>
  </si>
  <si>
    <t>異常貨解包</t>
    <phoneticPr fontId="1" type="noConversion"/>
  </si>
  <si>
    <t>項目</t>
    <phoneticPr fontId="1" type="noConversion"/>
  </si>
  <si>
    <t>PROD</t>
  </si>
  <si>
    <t>Glass Qty</t>
    <phoneticPr fontId="1" type="noConversion"/>
  </si>
  <si>
    <t>CST Qty</t>
    <phoneticPr fontId="1" type="noConversion"/>
  </si>
  <si>
    <t>出委外 RECY</t>
    <phoneticPr fontId="1" type="noConversion"/>
  </si>
  <si>
    <t>素玻璃解包</t>
    <phoneticPr fontId="1" type="noConversion"/>
  </si>
  <si>
    <t>異常貨 PACK</t>
    <phoneticPr fontId="1" type="noConversion"/>
  </si>
  <si>
    <t>實驗貨解包</t>
    <phoneticPr fontId="1" type="noConversion"/>
  </si>
  <si>
    <t>單玻出貨</t>
    <phoneticPr fontId="1" type="noConversion"/>
  </si>
  <si>
    <t>OPER : 0100 or 0200
EQ : DSPK01 / 02
Qty : 加總
CST Qty : 加總</t>
    <phoneticPr fontId="1" type="noConversion"/>
  </si>
  <si>
    <t>OPER : 9892
EQ : PACK01 / 02
OWNER : ALL
Qty : 加總
CST Qty : 加總</t>
    <phoneticPr fontId="1" type="noConversion"/>
  </si>
  <si>
    <t>OPER : 0802
EQ : PACK01 / 02
OWNER : ALL
Qty : 加總
CST Qty : 加總</t>
    <phoneticPr fontId="1" type="noConversion"/>
  </si>
  <si>
    <t>OPER : 5804
EQ : PACK01 / 02
OWNER : ALL
Qty : 加總
CST Qty : 加總</t>
    <phoneticPr fontId="1" type="noConversion"/>
  </si>
  <si>
    <t>OPER : 
Qty : 加總
CST Qty : 加總</t>
    <phoneticPr fontId="1" type="noConversion"/>
  </si>
  <si>
    <t xml:space="preserve">一. 確認 OHGC , </t>
    <phoneticPr fontId="1" type="noConversion"/>
  </si>
  <si>
    <t>Oper.</t>
  </si>
  <si>
    <t>CST Qty*</t>
  </si>
  <si>
    <t>Gls Qty</t>
  </si>
  <si>
    <t>SUM</t>
  </si>
  <si>
    <t>CST ID</t>
  </si>
  <si>
    <t>Owner</t>
  </si>
  <si>
    <t>PH 製程</t>
    <phoneticPr fontId="1" type="noConversion"/>
  </si>
  <si>
    <t>TF 製程</t>
    <phoneticPr fontId="1" type="noConversion"/>
  </si>
  <si>
    <t>滿批率</t>
    <phoneticPr fontId="1" type="noConversion"/>
  </si>
  <si>
    <t>回去看板</t>
  </si>
  <si>
    <t>0100 MOVE OUT</t>
    <phoneticPr fontId="1" type="noConversion"/>
  </si>
  <si>
    <t>9892 MOVE OUT</t>
    <phoneticPr fontId="1" type="noConversion"/>
  </si>
  <si>
    <t>Date Time</t>
  </si>
  <si>
    <t>Pnl Qty</t>
  </si>
  <si>
    <t>Product</t>
  </si>
  <si>
    <t>OVER Q TIME 依組長指示PACK TO PPBOX</t>
  </si>
  <si>
    <t>0801 MOVE IN</t>
    <phoneticPr fontId="1" type="noConversion"/>
  </si>
  <si>
    <t>0211</t>
    <phoneticPr fontId="1" type="noConversion"/>
  </si>
  <si>
    <t>0221</t>
    <phoneticPr fontId="1" type="noConversion"/>
  </si>
  <si>
    <t>ITEM</t>
    <phoneticPr fontId="1" type="noConversion"/>
  </si>
  <si>
    <t>看板呈現</t>
    <phoneticPr fontId="1" type="noConversion"/>
  </si>
  <si>
    <t>DATA 確認</t>
    <phoneticPr fontId="1" type="noConversion"/>
  </si>
  <si>
    <t>ACTION 動作確認</t>
    <phoneticPr fontId="1" type="noConversion"/>
  </si>
  <si>
    <t>預估</t>
    <phoneticPr fontId="1" type="noConversion"/>
  </si>
  <si>
    <t>實際</t>
    <phoneticPr fontId="1" type="noConversion"/>
  </si>
  <si>
    <t>ACTION 自動執行
動作確認</t>
    <phoneticPr fontId="1" type="noConversion"/>
  </si>
  <si>
    <t>ACTION 自動執行
上線</t>
    <phoneticPr fontId="1" type="noConversion"/>
  </si>
  <si>
    <t>各製程未滿批自動優先上 PORT .</t>
    <phoneticPr fontId="1" type="noConversion"/>
  </si>
  <si>
    <t>OPER</t>
    <phoneticPr fontId="1" type="noConversion"/>
  </si>
  <si>
    <t>黃光</t>
    <phoneticPr fontId="1" type="noConversion"/>
  </si>
  <si>
    <t>Bay Area</t>
    <phoneticPr fontId="1" type="noConversion"/>
  </si>
  <si>
    <t>薄膜 (單玻)</t>
    <phoneticPr fontId="1" type="noConversion"/>
  </si>
  <si>
    <t>BANK(單玻)</t>
    <phoneticPr fontId="1" type="noConversion"/>
  </si>
  <si>
    <t>OHGC(單玻)</t>
    <phoneticPr fontId="1" type="noConversion"/>
  </si>
  <si>
    <t>薄膜 (雙玻)</t>
    <phoneticPr fontId="1" type="noConversion"/>
  </si>
  <si>
    <t>OHGC(雙玻)</t>
    <phoneticPr fontId="1" type="noConversion"/>
  </si>
  <si>
    <t>BANK(雙玻)</t>
    <phoneticPr fontId="1" type="noConversion"/>
  </si>
  <si>
    <t>檢測 (單玻)</t>
    <phoneticPr fontId="1" type="noConversion"/>
  </si>
  <si>
    <t>檢測 (雙玻)</t>
    <phoneticPr fontId="1" type="noConversion"/>
  </si>
  <si>
    <t>SHIPPING</t>
    <phoneticPr fontId="1" type="noConversion"/>
  </si>
  <si>
    <t>個</t>
    <phoneticPr fontId="1" type="noConversion"/>
  </si>
  <si>
    <t xml:space="preserve">&gt; </t>
  </si>
  <si>
    <t>空 CST :</t>
    <phoneticPr fontId="1" type="noConversion"/>
  </si>
  <si>
    <t xml:space="preserve">FAB : </t>
    <phoneticPr fontId="1" type="noConversion"/>
  </si>
  <si>
    <t>/</t>
    <phoneticPr fontId="1" type="noConversion"/>
  </si>
  <si>
    <t>SUP :</t>
    <phoneticPr fontId="1" type="noConversion"/>
  </si>
  <si>
    <t>INPUT</t>
    <phoneticPr fontId="1" type="noConversion"/>
  </si>
  <si>
    <t>CST CLEAN 的 CST 確認</t>
    <phoneticPr fontId="1" type="noConversion"/>
  </si>
  <si>
    <t>BANK</t>
    <phoneticPr fontId="1" type="noConversion"/>
  </si>
  <si>
    <t>ITCV</t>
    <phoneticPr fontId="1" type="noConversion"/>
  </si>
  <si>
    <t>IOCV</t>
    <phoneticPr fontId="1" type="noConversion"/>
  </si>
  <si>
    <t>BM</t>
    <phoneticPr fontId="1" type="noConversion"/>
  </si>
  <si>
    <t>R</t>
    <phoneticPr fontId="1" type="noConversion"/>
  </si>
  <si>
    <t>G</t>
    <phoneticPr fontId="1" type="noConversion"/>
  </si>
  <si>
    <t>B</t>
    <phoneticPr fontId="1" type="noConversion"/>
  </si>
  <si>
    <t>OC</t>
    <phoneticPr fontId="1" type="noConversion"/>
  </si>
  <si>
    <t>SPS</t>
    <phoneticPr fontId="1" type="noConversion"/>
  </si>
  <si>
    <t>MPS</t>
    <phoneticPr fontId="1" type="noConversion"/>
  </si>
  <si>
    <t>RECY</t>
    <phoneticPr fontId="1" type="noConversion"/>
  </si>
  <si>
    <t>0205</t>
    <phoneticPr fontId="1" type="noConversion"/>
  </si>
  <si>
    <t>雙玻出貨</t>
    <phoneticPr fontId="1" type="noConversion"/>
  </si>
  <si>
    <t>單玻出貨</t>
    <phoneticPr fontId="1" type="noConversion"/>
  </si>
  <si>
    <t>0201</t>
    <phoneticPr fontId="1" type="noConversion"/>
  </si>
  <si>
    <t>5560</t>
    <phoneticPr fontId="1" type="noConversion"/>
  </si>
  <si>
    <t>5571</t>
    <phoneticPr fontId="1" type="noConversion"/>
  </si>
  <si>
    <t>滿批率畫面 (分單玻 / 雙玻)</t>
    <phoneticPr fontId="1" type="noConversion"/>
  </si>
  <si>
    <t>0207</t>
    <phoneticPr fontId="1" type="noConversion"/>
  </si>
  <si>
    <t>1190</t>
    <phoneticPr fontId="1" type="noConversion"/>
  </si>
  <si>
    <t>0235</t>
    <phoneticPr fontId="1" type="noConversion"/>
  </si>
  <si>
    <t>0231</t>
    <phoneticPr fontId="1" type="noConversion"/>
  </si>
  <si>
    <t>DUMMY</t>
    <phoneticPr fontId="1" type="noConversion"/>
  </si>
  <si>
    <t>滿批率偏低</t>
    <phoneticPr fontId="1" type="noConversion"/>
  </si>
  <si>
    <t>9199 未滿批多</t>
    <phoneticPr fontId="1" type="noConversion"/>
  </si>
  <si>
    <t>工程實驗</t>
    <phoneticPr fontId="1" type="noConversion"/>
  </si>
  <si>
    <t>異常貨待處理 / 驗證</t>
    <phoneticPr fontId="1" type="noConversion"/>
  </si>
  <si>
    <t>OUTPUT</t>
    <phoneticPr fontId="1" type="noConversion"/>
  </si>
  <si>
    <t>異常貨解包 0802</t>
    <phoneticPr fontId="1" type="noConversion"/>
  </si>
  <si>
    <t>個 CST</t>
  </si>
  <si>
    <t xml:space="preserve">INPUT :  </t>
    <phoneticPr fontId="1" type="noConversion"/>
  </si>
  <si>
    <t xml:space="preserve"> 片 /</t>
  </si>
  <si>
    <t>Product</t>
    <phoneticPr fontId="1" type="noConversion"/>
  </si>
  <si>
    <t>CST ID</t>
    <phoneticPr fontId="1" type="noConversion"/>
  </si>
  <si>
    <t>Date Time</t>
    <phoneticPr fontId="1" type="noConversion"/>
  </si>
  <si>
    <t>Gls Qty</t>
    <phoneticPr fontId="1" type="noConversion"/>
  </si>
  <si>
    <t>Pnl Qty</t>
    <phoneticPr fontId="1" type="noConversion"/>
  </si>
  <si>
    <t>Gls Qty</t>
    <phoneticPr fontId="1" type="noConversion"/>
  </si>
  <si>
    <t>Pnl Qty</t>
    <phoneticPr fontId="1" type="noConversion"/>
  </si>
  <si>
    <t>CST ID</t>
    <phoneticPr fontId="1" type="noConversion"/>
  </si>
  <si>
    <t>Owner</t>
    <phoneticPr fontId="1" type="noConversion"/>
  </si>
  <si>
    <t>跨廠出/退貨 5801</t>
    <phoneticPr fontId="1" type="noConversion"/>
  </si>
  <si>
    <t>Owner</t>
    <phoneticPr fontId="1" type="noConversion"/>
  </si>
  <si>
    <t xml:space="preserve"> 個 CST </t>
  </si>
  <si>
    <t xml:space="preserve">OUTPUT : </t>
    <phoneticPr fontId="1" type="noConversion"/>
  </si>
  <si>
    <t xml:space="preserve">  片 /</t>
  </si>
  <si>
    <t xml:space="preserve">片 / </t>
    <phoneticPr fontId="1" type="noConversion"/>
  </si>
  <si>
    <t xml:space="preserve">OUT - IN :  </t>
    <phoneticPr fontId="1" type="noConversion"/>
  </si>
  <si>
    <t>CST Qty*</t>
    <phoneticPr fontId="1" type="noConversion"/>
  </si>
  <si>
    <t>Gls Qty</t>
    <phoneticPr fontId="1" type="noConversion"/>
  </si>
  <si>
    <t>Position</t>
  </si>
  <si>
    <t>STKC0300</t>
  </si>
  <si>
    <t>STKC0500</t>
  </si>
  <si>
    <t>STKC0600</t>
  </si>
  <si>
    <t>STKC0700</t>
  </si>
  <si>
    <t>STKC0900</t>
  </si>
  <si>
    <t>STKC1200</t>
  </si>
  <si>
    <t>STKL0500</t>
  </si>
  <si>
    <t>OPER</t>
    <phoneticPr fontId="1" type="noConversion"/>
  </si>
  <si>
    <t>GROUP</t>
    <phoneticPr fontId="1" type="noConversion"/>
  </si>
  <si>
    <t>CST Qty*</t>
    <phoneticPr fontId="1" type="noConversion"/>
  </si>
  <si>
    <t>Gls Qty</t>
    <phoneticPr fontId="1" type="noConversion"/>
  </si>
  <si>
    <t>CST ID</t>
    <phoneticPr fontId="1" type="noConversion"/>
  </si>
  <si>
    <t>STKC0800</t>
  </si>
  <si>
    <t>STKC0200</t>
  </si>
  <si>
    <t>ENG BANK</t>
    <phoneticPr fontId="1" type="noConversion"/>
  </si>
  <si>
    <t>出貨站點</t>
    <phoneticPr fontId="1" type="noConversion"/>
  </si>
  <si>
    <t>分流 / 合併</t>
    <phoneticPr fontId="1" type="noConversion"/>
  </si>
  <si>
    <t>項目</t>
    <phoneticPr fontId="1" type="noConversion"/>
  </si>
  <si>
    <t>OPER</t>
    <phoneticPr fontId="1" type="noConversion"/>
  </si>
  <si>
    <t>Glass Qty</t>
    <phoneticPr fontId="1" type="noConversion"/>
  </si>
  <si>
    <t>CST Qty</t>
    <phoneticPr fontId="1" type="noConversion"/>
  </si>
  <si>
    <t>CF5 SHIPPING</t>
    <phoneticPr fontId="1" type="noConversion"/>
  </si>
  <si>
    <t>單玻出貨
(FG********)</t>
    <phoneticPr fontId="1" type="noConversion"/>
  </si>
  <si>
    <t>雙玻 出貨 - ARRAY
(OG********)</t>
    <phoneticPr fontId="1" type="noConversion"/>
  </si>
  <si>
    <t>雙玻 出貨 - LCD
(OG********)</t>
    <phoneticPr fontId="1" type="noConversion"/>
  </si>
  <si>
    <t>製程中
&lt; 1300 ~ 7300 &gt;</t>
    <phoneticPr fontId="1" type="noConversion"/>
  </si>
  <si>
    <t xml:space="preserve">製程完成
&lt; 7300 後 ~ </t>
    <phoneticPr fontId="1" type="noConversion"/>
  </si>
  <si>
    <t>回去看板</t>
    <phoneticPr fontId="1" type="noConversion"/>
  </si>
  <si>
    <t>製程完成
&lt; 7300 後 ~ &gt;</t>
    <phoneticPr fontId="1" type="noConversion"/>
  </si>
  <si>
    <t>量產品 總體滿批率</t>
    <phoneticPr fontId="1" type="noConversion"/>
  </si>
  <si>
    <t>實驗貨 總體滿批率</t>
    <phoneticPr fontId="1" type="noConversion"/>
  </si>
  <si>
    <t>STKC0400</t>
  </si>
  <si>
    <t>OGR010XKS1</t>
  </si>
  <si>
    <t>PM00</t>
  </si>
  <si>
    <t>長期 ACTION</t>
    <phoneticPr fontId="1" type="noConversion"/>
  </si>
  <si>
    <t>Action Item</t>
    <phoneticPr fontId="1" type="noConversion"/>
  </si>
  <si>
    <t>預計生成</t>
    <phoneticPr fontId="1" type="noConversion"/>
  </si>
  <si>
    <t>Owner</t>
    <phoneticPr fontId="1" type="noConversion"/>
  </si>
  <si>
    <t>一. CHAG 併批</t>
    <phoneticPr fontId="1" type="noConversion"/>
  </si>
  <si>
    <t>一. Overflow Bank 即時處理 ( 5599 / 5997 / 7399 / 4599 )</t>
    <phoneticPr fontId="1" type="noConversion"/>
  </si>
  <si>
    <t xml:space="preserve">二. 0801 PACK </t>
    <phoneticPr fontId="1" type="noConversion"/>
  </si>
  <si>
    <t xml:space="preserve">二. RECY Bank 即時判 Code &gt; Merge </t>
    <phoneticPr fontId="1" type="noConversion"/>
  </si>
  <si>
    <t>小 PC</t>
    <phoneticPr fontId="1" type="noConversion"/>
  </si>
  <si>
    <t>三. SC / KC PACK</t>
    <phoneticPr fontId="1" type="noConversion"/>
  </si>
  <si>
    <t>三. 委外 RECY &gt; OHGC &gt; PACK</t>
    <phoneticPr fontId="1" type="noConversion"/>
  </si>
  <si>
    <t>四. 委外 RECY  PACK</t>
    <phoneticPr fontId="1" type="noConversion"/>
  </si>
  <si>
    <t>四. 雙 Grade WIP 確認 ( RECY / 後流  / PACK )</t>
    <phoneticPr fontId="1" type="noConversion"/>
  </si>
  <si>
    <t>副組長</t>
    <phoneticPr fontId="1" type="noConversion"/>
  </si>
  <si>
    <t>五. 9199 / 9507 BANK 合併</t>
    <phoneticPr fontId="1" type="noConversion"/>
  </si>
  <si>
    <t>3~4</t>
    <phoneticPr fontId="1" type="noConversion"/>
  </si>
  <si>
    <t xml:space="preserve">五. RTC 片後續確認 </t>
    <phoneticPr fontId="1" type="noConversion"/>
  </si>
  <si>
    <t>作業改善</t>
    <phoneticPr fontId="1" type="noConversion"/>
  </si>
  <si>
    <t>一. 入 NG PORT 的 GLASS 異動判 CODE .</t>
    <phoneticPr fontId="1" type="noConversion"/>
  </si>
  <si>
    <t>二 .黃光小線 NG PORT CST 退 PORT 後自動合併 .</t>
    <phoneticPr fontId="1" type="noConversion"/>
  </si>
  <si>
    <t>三. BANK 內 WIP 自動合併</t>
    <phoneticPr fontId="1" type="noConversion"/>
  </si>
  <si>
    <t>檢測領班
值班組長</t>
    <phoneticPr fontId="1" type="noConversion"/>
  </si>
  <si>
    <t>檢測領班</t>
    <phoneticPr fontId="1" type="noConversion"/>
  </si>
  <si>
    <t>黃光領班</t>
    <phoneticPr fontId="1" type="noConversion"/>
  </si>
  <si>
    <t>薄膜領班
小 PC</t>
    <phoneticPr fontId="1" type="noConversion"/>
  </si>
  <si>
    <t>薄膜領班</t>
    <phoneticPr fontId="1" type="noConversion"/>
  </si>
  <si>
    <t>六. 黃光滿批率確認 ( 少片數 CST 確認/處理 )</t>
    <phoneticPr fontId="1" type="noConversion"/>
  </si>
  <si>
    <t>七. 薄膜滿批率確認 ( 少片數 CST 確認/處理 )</t>
    <phoneticPr fontId="1" type="noConversion"/>
  </si>
  <si>
    <t>八. 檢測滿批率確認 ( 少片數 CST 確認/處理 )</t>
    <phoneticPr fontId="1" type="noConversion"/>
  </si>
  <si>
    <t>九. BANK / OHGC / 出貨 / 分流+合併 滿批率確認
      ( 少片數 CST 確認/處理 )</t>
    <phoneticPr fontId="1" type="noConversion"/>
  </si>
  <si>
    <t>每日即時 ACTION</t>
    <phoneticPr fontId="1" type="noConversion"/>
  </si>
  <si>
    <t>CST Qty</t>
    <phoneticPr fontId="1" type="noConversion"/>
  </si>
  <si>
    <t>OWNER</t>
    <phoneticPr fontId="1" type="noConversion"/>
  </si>
  <si>
    <t>物料組長</t>
    <phoneticPr fontId="1" type="noConversion"/>
  </si>
  <si>
    <t>OGG101XXS3</t>
  </si>
  <si>
    <t>黃光滿批率
Owner : 黃光領班</t>
    <phoneticPr fontId="1" type="noConversion"/>
  </si>
  <si>
    <t>薄膜 (單玻)滿批率
Owner : 薄膜領班</t>
    <phoneticPr fontId="1" type="noConversion"/>
  </si>
  <si>
    <t>檢測 (單玻)滿批率
Owner : 檢測領班</t>
    <phoneticPr fontId="1" type="noConversion"/>
  </si>
  <si>
    <t>檢測 (雙玻)滿批率
Owner : 檢測領班</t>
    <phoneticPr fontId="1" type="noConversion"/>
  </si>
  <si>
    <t>BANK(單玻)滿批率
Owner : 小 PC</t>
    <phoneticPr fontId="1" type="noConversion"/>
  </si>
  <si>
    <t>BANK(雙玻)滿批率
Owner : 小 PC</t>
    <phoneticPr fontId="1" type="noConversion"/>
  </si>
  <si>
    <t>OHGC(單玻)滿批率
Owner : 小 PC</t>
    <phoneticPr fontId="1" type="noConversion"/>
  </si>
  <si>
    <t>OHGC(雙玻)滿批率
Owner : 小 PC</t>
    <phoneticPr fontId="1" type="noConversion"/>
  </si>
  <si>
    <t>出貨站點滿批率
Owner : 小 PC</t>
    <phoneticPr fontId="1" type="noConversion"/>
  </si>
  <si>
    <t>分流 / 合併滿批率
Owner : 小 PC</t>
    <phoneticPr fontId="1" type="noConversion"/>
  </si>
  <si>
    <t>黃光領班
檢測領班薄膜領班</t>
    <phoneticPr fontId="1" type="noConversion"/>
  </si>
  <si>
    <t>滿批率</t>
    <phoneticPr fontId="1" type="noConversion"/>
  </si>
  <si>
    <t>STKC1000</t>
  </si>
  <si>
    <t>STKC1100</t>
  </si>
  <si>
    <t>STKT2100</t>
  </si>
  <si>
    <t>FG6509XFS2</t>
  </si>
  <si>
    <t>FGD317BXS4</t>
  </si>
  <si>
    <t>FGR010XKS4</t>
  </si>
  <si>
    <t>OGE021XXE2</t>
  </si>
  <si>
    <t>OGF658XXE1</t>
  </si>
  <si>
    <t>RECY</t>
  </si>
  <si>
    <t>GroupID</t>
  </si>
  <si>
    <t>Cut Qty</t>
  </si>
  <si>
    <t>Stay(Hrs)</t>
  </si>
  <si>
    <t>MaxStart(Day)</t>
  </si>
  <si>
    <t>CRC0000M</t>
  </si>
  <si>
    <t>F5SH62</t>
  </si>
  <si>
    <t>FGDMSTKC04</t>
  </si>
  <si>
    <t>DUMY</t>
  </si>
  <si>
    <t>FGDMSTKC049E001B</t>
  </si>
  <si>
    <t>000E</t>
  </si>
  <si>
    <t>SA16</t>
  </si>
  <si>
    <t>FGREOCFCG4</t>
  </si>
  <si>
    <t>FGREOCXCG4</t>
  </si>
  <si>
    <t>FGREOCXCG42R001A</t>
  </si>
  <si>
    <t>SA8</t>
  </si>
  <si>
    <t>SB7</t>
  </si>
  <si>
    <t>FGDMOGXX04</t>
  </si>
  <si>
    <t>FGDMOGXX0440001A</t>
  </si>
  <si>
    <t>F5D009</t>
  </si>
  <si>
    <t>FGDMSAMP04</t>
  </si>
  <si>
    <t>FGDMSAMP0420001A</t>
  </si>
  <si>
    <t>SA08</t>
  </si>
  <si>
    <t>V50G0G1D</t>
  </si>
  <si>
    <t>FINT</t>
  </si>
  <si>
    <t>SA07</t>
  </si>
  <si>
    <t>V50G04SY</t>
  </si>
  <si>
    <t>V50G0K8S</t>
  </si>
  <si>
    <t>SB05</t>
  </si>
  <si>
    <t>FGDMSAMP05</t>
  </si>
  <si>
    <t>FGDMSAMP0570001A</t>
  </si>
  <si>
    <t>V50G04T7</t>
  </si>
  <si>
    <t>V52G0254</t>
  </si>
  <si>
    <t>SA7</t>
  </si>
  <si>
    <t>V50G0JGK</t>
  </si>
  <si>
    <t>FGDMSAMP07</t>
  </si>
  <si>
    <t>FGDMSAMP0760001A</t>
  </si>
  <si>
    <t>V52G062T</t>
  </si>
  <si>
    <t>PBPACK01</t>
  </si>
  <si>
    <t>FG5712BFS10E005D</t>
  </si>
  <si>
    <t>RD00</t>
  </si>
  <si>
    <t>OUTRGEQ</t>
  </si>
  <si>
    <t>FGD330XXS1</t>
  </si>
  <si>
    <t>FGD330XXS100005A</t>
  </si>
  <si>
    <t>FPH5</t>
  </si>
  <si>
    <t>FGF670XFS1</t>
  </si>
  <si>
    <t>CRN0</t>
  </si>
  <si>
    <t>OGG101XXS300001A</t>
  </si>
  <si>
    <t>PD51</t>
  </si>
  <si>
    <t>OGR010XKS100001A</t>
  </si>
  <si>
    <t>STKC0100</t>
  </si>
  <si>
    <t>FGDMPOOL04</t>
  </si>
  <si>
    <t>FGRECBFC54</t>
  </si>
  <si>
    <t>FGRECBFC548R001A</t>
  </si>
  <si>
    <t>FGREOAXC54</t>
  </si>
  <si>
    <t>FGREOAXC541R001A</t>
  </si>
  <si>
    <t>FGRECXSC55</t>
  </si>
  <si>
    <t>CSD324XXM300003A</t>
  </si>
  <si>
    <t>023B</t>
  </si>
  <si>
    <t>FGBAREXSC2</t>
  </si>
  <si>
    <t>FGBAREXSC240001A</t>
  </si>
  <si>
    <t>FTF5</t>
  </si>
  <si>
    <t>FGF647BFS4</t>
  </si>
  <si>
    <t>FGG101XXS300005A</t>
  </si>
  <si>
    <t>INT0</t>
  </si>
  <si>
    <t>小PC作帳</t>
  </si>
  <si>
    <t>PACKSA11</t>
  </si>
  <si>
    <t>FGREBSXCG4</t>
  </si>
  <si>
    <t>V50G0E07</t>
  </si>
  <si>
    <t>FGREOCKCG5</t>
  </si>
  <si>
    <t>FGREOCKCG52R001U</t>
  </si>
  <si>
    <t>FGREOCXCG42R001U</t>
  </si>
  <si>
    <t>V50G0PPF</t>
  </si>
  <si>
    <t>FGR010XKS1</t>
  </si>
  <si>
    <t>FGREOAWC57</t>
  </si>
  <si>
    <t>FGREOAWC575R001A</t>
  </si>
  <si>
    <t>OGF647XFS4</t>
  </si>
  <si>
    <t>OGF647XFS400001A</t>
  </si>
  <si>
    <t>OGU006XHQ6</t>
  </si>
  <si>
    <t>OGU006XHQ600001A</t>
  </si>
  <si>
    <t>V50G0PVT</t>
  </si>
  <si>
    <t>FGDMOGXX05</t>
  </si>
  <si>
    <t>FGDMOGXX0540001A</t>
  </si>
  <si>
    <t>PACKSA06</t>
  </si>
  <si>
    <t>V50G0NEA</t>
  </si>
  <si>
    <t>FGDMPOOL0420001A</t>
  </si>
  <si>
    <t>V50G0J31</t>
  </si>
  <si>
    <t>10A0</t>
  </si>
  <si>
    <t>F5SG80</t>
  </si>
  <si>
    <t>FG6509XFS200001A</t>
  </si>
  <si>
    <t>F5S987</t>
  </si>
  <si>
    <t>FGA113CXS2</t>
  </si>
  <si>
    <t>FGA801BXS1</t>
  </si>
  <si>
    <t>FGA801BXS100004A</t>
  </si>
  <si>
    <t>FGE021XXS4</t>
  </si>
  <si>
    <t>FGF654XFQ1</t>
  </si>
  <si>
    <t>FGF654XFQ100001A</t>
  </si>
  <si>
    <t>FGF654XFQ10R001A</t>
  </si>
  <si>
    <t>FGL315BLSA</t>
  </si>
  <si>
    <t>FGL315BLSA0E005A</t>
  </si>
  <si>
    <t>FGRECXKC55</t>
  </si>
  <si>
    <t>SA11</t>
  </si>
  <si>
    <t>FGDMDFIN05</t>
  </si>
  <si>
    <t>FGDMDFIN0590001A</t>
  </si>
  <si>
    <t>FINS</t>
  </si>
  <si>
    <t>F5D005</t>
  </si>
  <si>
    <t>F5S102</t>
  </si>
  <si>
    <t>F5SA32</t>
  </si>
  <si>
    <t>F5SA61</t>
  </si>
  <si>
    <t>F5SA09</t>
  </si>
  <si>
    <t>FGREOASC55</t>
  </si>
  <si>
    <t>PACKSA07</t>
  </si>
  <si>
    <t>FG6509XFS200002A</t>
  </si>
  <si>
    <t>RTCA</t>
  </si>
  <si>
    <t>FGE021EWS50E005A</t>
  </si>
  <si>
    <t>FG8050XXS1</t>
  </si>
  <si>
    <t>FGD317BXS3</t>
  </si>
  <si>
    <t>FGD317BXS300001A</t>
  </si>
  <si>
    <t>F5SA59</t>
  </si>
  <si>
    <t>F5S905</t>
  </si>
  <si>
    <t>F5SA44</t>
  </si>
  <si>
    <t>FGE021BXS3</t>
  </si>
  <si>
    <t>FGE021BXS300002A</t>
  </si>
  <si>
    <t>FGE021XXS400003A</t>
  </si>
  <si>
    <t>FGE021XXS400004A</t>
  </si>
  <si>
    <t>FGF644BXQ2</t>
  </si>
  <si>
    <t>FGF644BXQ20R001A</t>
  </si>
  <si>
    <t>F5SD01</t>
  </si>
  <si>
    <t>FGH310XKQ1</t>
  </si>
  <si>
    <t>FGH310XKQ10R001A</t>
  </si>
  <si>
    <t>FGH313BFS1</t>
  </si>
  <si>
    <t>F5S898</t>
  </si>
  <si>
    <t>FGD317CXS3</t>
  </si>
  <si>
    <t>FGD329XFQ1</t>
  </si>
  <si>
    <t>FGD329XFQ10R001A</t>
  </si>
  <si>
    <t>FGF647BFS7</t>
  </si>
  <si>
    <t>FGF647BFS70E005A</t>
  </si>
  <si>
    <t>FGL308CKSA0E005A</t>
  </si>
  <si>
    <t>F5S217</t>
  </si>
  <si>
    <t>OGF670XFS1</t>
  </si>
  <si>
    <t>OGF670XFS100001A</t>
  </si>
  <si>
    <t>FGDMITO05</t>
  </si>
  <si>
    <t>FGDMITO05 00002A</t>
  </si>
  <si>
    <t>V51G00HT</t>
  </si>
  <si>
    <t>PD88</t>
  </si>
  <si>
    <t>OGE021XXE200001A</t>
  </si>
  <si>
    <t>PACKSB05</t>
  </si>
  <si>
    <t>FGE033XWSA</t>
  </si>
  <si>
    <t>FGE033XWSA0E005A</t>
  </si>
  <si>
    <t>V50G0HKG</t>
  </si>
  <si>
    <t>V50G0Q7W</t>
  </si>
  <si>
    <t>F5S135</t>
  </si>
  <si>
    <t>V50G0RYE</t>
  </si>
  <si>
    <t>V52G05VG</t>
  </si>
  <si>
    <t>FGE033XWSA0E005D</t>
  </si>
  <si>
    <t>V50G0RZ4</t>
  </si>
  <si>
    <t>V50G0Q7E</t>
  </si>
  <si>
    <t>FGE033XWSA0E005Z</t>
  </si>
  <si>
    <t>FGE028XFSA</t>
  </si>
  <si>
    <t>FGE028XFSA00005A</t>
  </si>
  <si>
    <t>FGL308CKSA0E005B</t>
  </si>
  <si>
    <t>FGL308CKSA0E005R</t>
  </si>
  <si>
    <t>V50G0Q1N</t>
  </si>
  <si>
    <t>SB07</t>
  </si>
  <si>
    <t>FGL314DHSA</t>
  </si>
  <si>
    <t>FGL314DHSA00005A</t>
  </si>
  <si>
    <t>F5SD54</t>
  </si>
  <si>
    <t>FG7017XSQ5</t>
  </si>
  <si>
    <t>FG7041XXQ1</t>
  </si>
  <si>
    <t>FG7041XXQ10R001A</t>
  </si>
  <si>
    <t>L5S278</t>
  </si>
  <si>
    <t>FGD317BXS2</t>
  </si>
  <si>
    <t>F5S394</t>
  </si>
  <si>
    <t>FGR015XFS10E005A</t>
  </si>
  <si>
    <t>F5SG74</t>
  </si>
  <si>
    <t>FGE021EFS6</t>
  </si>
  <si>
    <t>FGE021EFS60E005A</t>
  </si>
  <si>
    <t>F5S272</t>
  </si>
  <si>
    <t>FGE028XFSE0E001A</t>
  </si>
  <si>
    <t>F5S177</t>
  </si>
  <si>
    <t>FGE028XFSE0E001B</t>
  </si>
  <si>
    <t>F5S337</t>
  </si>
  <si>
    <t>FGE028XFSE0E001C</t>
  </si>
  <si>
    <t>F5SG30</t>
  </si>
  <si>
    <t>FGE028XFSE0E001E</t>
  </si>
  <si>
    <t>F5S136</t>
  </si>
  <si>
    <t>FGE033XWSA0E005R</t>
  </si>
  <si>
    <t>F5S090</t>
  </si>
  <si>
    <t>F5S195</t>
  </si>
  <si>
    <t>FGH313BFS100005A</t>
  </si>
  <si>
    <t>FGR014XKS1</t>
  </si>
  <si>
    <t>FGR014XKS10E001B</t>
  </si>
  <si>
    <t>F5SH09</t>
  </si>
  <si>
    <t>FGR014XKS10E004A</t>
  </si>
  <si>
    <t>F5S211</t>
  </si>
  <si>
    <t>F5S301</t>
  </si>
  <si>
    <t>FGR015XFS10E005R</t>
  </si>
  <si>
    <t>F5SD29</t>
  </si>
  <si>
    <t>STKC1400</t>
  </si>
  <si>
    <t>FG6520XFS20E005B</t>
  </si>
  <si>
    <t>F5S130</t>
  </si>
  <si>
    <t>F5SH03</t>
  </si>
  <si>
    <t>F5SG75</t>
  </si>
  <si>
    <t>FGE028XFSA00005E</t>
  </si>
  <si>
    <t>FGF638XKQ30E001A</t>
  </si>
  <si>
    <t>FGF658CFS10E005A</t>
  </si>
  <si>
    <t>FGF658CFS10E005B</t>
  </si>
  <si>
    <t>FG8008XKQ3</t>
  </si>
  <si>
    <t>FG8008XKQ30R001A</t>
  </si>
  <si>
    <t>F5SC94</t>
  </si>
  <si>
    <t>FG5515CFS2</t>
  </si>
  <si>
    <t>FG5515CFS200001A</t>
  </si>
  <si>
    <t>F5S624</t>
  </si>
  <si>
    <t>FG7030XFS1</t>
  </si>
  <si>
    <t>F5S534</t>
  </si>
  <si>
    <t>F5S075</t>
  </si>
  <si>
    <t>F5S882</t>
  </si>
  <si>
    <t>F5SB13</t>
  </si>
  <si>
    <t>F5SB70</t>
  </si>
  <si>
    <t>FGF659XFS1</t>
  </si>
  <si>
    <t>F5S962</t>
  </si>
  <si>
    <t>F5SF15</t>
  </si>
  <si>
    <t>F5SA18</t>
  </si>
  <si>
    <t>F5S926</t>
  </si>
  <si>
    <t>FGH313BFS6</t>
  </si>
  <si>
    <t>FGH313BFS600005A</t>
  </si>
  <si>
    <t>F5S794</t>
  </si>
  <si>
    <t>FG5515CFS200005A</t>
  </si>
  <si>
    <t>FG5712BXS1</t>
  </si>
  <si>
    <t>FGF638XSQ3</t>
  </si>
  <si>
    <t>FGF638XSQ300001A</t>
  </si>
  <si>
    <t>F5SF80</t>
  </si>
  <si>
    <t>F5S769</t>
  </si>
  <si>
    <t>F5S776</t>
  </si>
  <si>
    <t>F5SE98</t>
  </si>
  <si>
    <t>F5SB00</t>
  </si>
  <si>
    <t>F5SB83</t>
  </si>
  <si>
    <t>FG6309XXS20E005A</t>
  </si>
  <si>
    <t>F5S941</t>
  </si>
  <si>
    <t>FGA108XSQ3</t>
  </si>
  <si>
    <t>FGA108XSQ300001A</t>
  </si>
  <si>
    <t>FGD324CXSA</t>
  </si>
  <si>
    <t>FGD324CXSA00002A</t>
  </si>
  <si>
    <t>STKC1300</t>
  </si>
  <si>
    <t>F5S227</t>
  </si>
  <si>
    <t>FGH313BFS4</t>
  </si>
  <si>
    <t>FGH313BFS400005A</t>
  </si>
  <si>
    <t>STKL0200</t>
  </si>
  <si>
    <t>L5S257</t>
  </si>
  <si>
    <t>FGD324CFSA0E001A</t>
  </si>
  <si>
    <t>F5S045</t>
  </si>
  <si>
    <t>FGD324CFSA0E001B</t>
  </si>
  <si>
    <t>F5S248</t>
  </si>
  <si>
    <t>FGE028XFSD0E005A</t>
  </si>
  <si>
    <t>FGF647CFS8</t>
  </si>
  <si>
    <t>FGR010XKS40E003A</t>
  </si>
  <si>
    <t>F5S614</t>
  </si>
  <si>
    <t>ENG</t>
  </si>
  <si>
    <t>FG6521XFS1</t>
  </si>
  <si>
    <t>FG6521XFS10E005A</t>
  </si>
  <si>
    <t>F5S008</t>
  </si>
  <si>
    <t>FG7041XFQ19E001A</t>
  </si>
  <si>
    <t>F5S764</t>
  </si>
  <si>
    <t>FGD330XFSB0E005A</t>
  </si>
  <si>
    <t>F5S777</t>
  </si>
  <si>
    <t>FGD501XFSA0E005A</t>
  </si>
  <si>
    <t>F5SC07</t>
  </si>
  <si>
    <t>FGD501XFSA0E005C</t>
  </si>
  <si>
    <t>F5S115</t>
  </si>
  <si>
    <t>F5SB90</t>
  </si>
  <si>
    <t>FGE021EFS60E005E</t>
  </si>
  <si>
    <t>F5S765</t>
  </si>
  <si>
    <t>F5S924</t>
  </si>
  <si>
    <t>F5SC05</t>
  </si>
  <si>
    <t>FGE031XFSA0E005A</t>
  </si>
  <si>
    <t>F5SE05</t>
  </si>
  <si>
    <t>F5S124</t>
  </si>
  <si>
    <t>F5S875</t>
  </si>
  <si>
    <t>F5S460</t>
  </si>
  <si>
    <t>FGE505XFSB</t>
  </si>
  <si>
    <t>FGF647CFS80E005A</t>
  </si>
  <si>
    <t>F5SA05</t>
  </si>
  <si>
    <t>FGF647CFS80E005B</t>
  </si>
  <si>
    <t>F5S634</t>
  </si>
  <si>
    <t>FGF671BFS20E005C</t>
  </si>
  <si>
    <t>F5SD90</t>
  </si>
  <si>
    <t>FGF671BFSB0E001A</t>
  </si>
  <si>
    <t>F5S445</t>
  </si>
  <si>
    <t>F5S730</t>
  </si>
  <si>
    <t>FGL318DKSA0E005A</t>
  </si>
  <si>
    <t>F5S138</t>
  </si>
  <si>
    <t>F5SC49</t>
  </si>
  <si>
    <t>F5S386</t>
  </si>
  <si>
    <t>OUTR4</t>
  </si>
  <si>
    <t>FGREBSWC47</t>
  </si>
  <si>
    <t>FGREOCFC44</t>
  </si>
  <si>
    <t>FGREOCFC449R001A</t>
  </si>
  <si>
    <t>FGREOCXC44</t>
  </si>
  <si>
    <t>FGREOCXC448R001A</t>
  </si>
  <si>
    <t>V50G0JGR</t>
  </si>
  <si>
    <t>V50G0JND</t>
  </si>
  <si>
    <t>V50G0JPN</t>
  </si>
  <si>
    <t>V50G0KNM</t>
  </si>
  <si>
    <t>V50G0LT7</t>
  </si>
  <si>
    <t>V50G0Q0Y</t>
  </si>
  <si>
    <t>V50G0Q4G</t>
  </si>
  <si>
    <t>V50G0R8S</t>
  </si>
  <si>
    <t>V52G01MB</t>
  </si>
  <si>
    <t>V52G07B7</t>
  </si>
  <si>
    <t>薄膜 (雙玻)滿批率
Owner : 值班組長</t>
    <phoneticPr fontId="1" type="noConversion"/>
  </si>
  <si>
    <t>V50G0Q7F</t>
  </si>
  <si>
    <t>F5S911</t>
  </si>
  <si>
    <t>F5S067</t>
  </si>
  <si>
    <t>FGL315BLSA0E005R</t>
  </si>
  <si>
    <t>FGH317XFS1</t>
  </si>
  <si>
    <t>FGH317XFS10E005A</t>
  </si>
  <si>
    <t>F5SB81</t>
  </si>
  <si>
    <t>FGF647BFS5</t>
  </si>
  <si>
    <t>FGH317XFS10E005B</t>
  </si>
  <si>
    <t>FGH317XFS10E005R</t>
  </si>
  <si>
    <t>FGL315BLSB</t>
  </si>
  <si>
    <t>FGL315BLSB0E005A</t>
  </si>
  <si>
    <t>FGL315BLSB0E005B</t>
  </si>
  <si>
    <t>V50G0KDV</t>
  </si>
  <si>
    <t>FGL315BLSB0E005R</t>
  </si>
  <si>
    <t>FG5712BFS10E005A</t>
  </si>
  <si>
    <t>F5SH01</t>
  </si>
  <si>
    <t>FGREOCKC45</t>
  </si>
  <si>
    <t>FGREOCKC450R001A</t>
  </si>
  <si>
    <t>實驗貨總體
滿批率</t>
    <phoneticPr fontId="1" type="noConversion"/>
  </si>
  <si>
    <t>整合實驗貨</t>
    <phoneticPr fontId="1" type="noConversion"/>
  </si>
  <si>
    <t>整合實驗貨
滿批率</t>
    <phoneticPr fontId="1" type="noConversion"/>
  </si>
  <si>
    <t>工程實驗貨</t>
  </si>
  <si>
    <t>LCD PI DUMMY
PI 異常回貨</t>
    <phoneticPr fontId="1" type="noConversion"/>
  </si>
  <si>
    <t>LCD PI DUMMY &amp; PI異常回貨</t>
    <phoneticPr fontId="1" type="noConversion"/>
  </si>
  <si>
    <t>工程實驗貨
滿批率</t>
    <phoneticPr fontId="1" type="noConversion"/>
  </si>
  <si>
    <t>V50G0PPY</t>
  </si>
  <si>
    <t>F5S061</t>
  </si>
  <si>
    <t>F5S143</t>
  </si>
  <si>
    <t>F5S214</t>
  </si>
  <si>
    <t>CSD324XXM300001A</t>
  </si>
  <si>
    <t>F5S991</t>
  </si>
  <si>
    <t>四. 分流異常貨</t>
    <phoneticPr fontId="1" type="noConversion"/>
  </si>
  <si>
    <t>F5S381</t>
  </si>
  <si>
    <t>CNVR1700</t>
  </si>
  <si>
    <t>CNVR0900</t>
  </si>
  <si>
    <t>F5S144</t>
  </si>
  <si>
    <t>F5SE26</t>
  </si>
  <si>
    <t>F5S654</t>
  </si>
  <si>
    <t>F5S608</t>
  </si>
  <si>
    <t>FGD317BXS5</t>
  </si>
  <si>
    <t>FGD317BXS57E004A</t>
  </si>
  <si>
    <t>F5S682</t>
  </si>
  <si>
    <t>F5SD32</t>
  </si>
  <si>
    <t>FGL315BLSC</t>
  </si>
  <si>
    <t>FGL315BLSC0E005A</t>
  </si>
  <si>
    <t>F5S633</t>
  </si>
  <si>
    <t>V52G01FV</t>
  </si>
  <si>
    <t>V52G05XE</t>
  </si>
  <si>
    <t>V50G08JS</t>
  </si>
  <si>
    <t>FGH313BFS70E003A</t>
  </si>
  <si>
    <t>FGREBSSCG5</t>
  </si>
  <si>
    <t>FGREBSSCG58R001A</t>
  </si>
  <si>
    <t>V50G0JN0</t>
  </si>
  <si>
    <t>F5S570</t>
  </si>
  <si>
    <t>F5SH05</t>
  </si>
  <si>
    <t>FGL315BLSC0E005B</t>
  </si>
  <si>
    <t>F5S049</t>
  </si>
  <si>
    <t>F5SA98</t>
  </si>
  <si>
    <t>F5S190</t>
  </si>
  <si>
    <t xml:space="preserve">5804+2900 MOVE OUT OG******** </t>
    <phoneticPr fontId="1" type="noConversion"/>
  </si>
  <si>
    <t>0802 MOVE OUT FGRE****** / FCRE******</t>
    <phoneticPr fontId="1" type="noConversion"/>
  </si>
  <si>
    <t>5802+0802 MOVE OUT FG********</t>
    <phoneticPr fontId="1" type="noConversion"/>
  </si>
  <si>
    <t>5804 MOVE OUT 卡 OWNER FINT / PM00 / INT0</t>
    <phoneticPr fontId="1" type="noConversion"/>
  </si>
  <si>
    <t>異常貨分流</t>
    <phoneticPr fontId="1" type="noConversion"/>
  </si>
  <si>
    <t>Move Out</t>
  </si>
  <si>
    <t>Move In</t>
    <phoneticPr fontId="1" type="noConversion"/>
  </si>
  <si>
    <t>F5SC78</t>
  </si>
  <si>
    <t>SHIPPING FG********/FC</t>
    <phoneticPr fontId="1" type="noConversion"/>
  </si>
  <si>
    <t>5801 + 5803 MOVE IN FG********</t>
    <phoneticPr fontId="1" type="noConversion"/>
  </si>
  <si>
    <t>SHIPPING OG******** 卡 OWNER PROD / CRN0 / PD** / RCS*</t>
    <phoneticPr fontId="1" type="noConversion"/>
  </si>
  <si>
    <t xml:space="preserve">5801 MOVE IN FG******** 卡 OWNER FINT / FPH5 / FTF5 / </t>
    <phoneticPr fontId="1" type="noConversion"/>
  </si>
  <si>
    <t>單玻出貨</t>
    <phoneticPr fontId="1" type="noConversion"/>
  </si>
  <si>
    <t>出委外 RECY</t>
    <phoneticPr fontId="1" type="noConversion"/>
  </si>
  <si>
    <t>跨廠出/退貨</t>
    <phoneticPr fontId="1" type="noConversion"/>
  </si>
  <si>
    <t>異常貨 PACK</t>
    <phoneticPr fontId="1" type="noConversion"/>
  </si>
  <si>
    <t>異常貨合併</t>
    <phoneticPr fontId="1" type="noConversion"/>
  </si>
  <si>
    <t>Move Out</t>
    <phoneticPr fontId="1" type="noConversion"/>
  </si>
  <si>
    <t>OGC004XXS1</t>
  </si>
  <si>
    <t>OGC004XXS100001A</t>
  </si>
  <si>
    <t>F5S142</t>
  </si>
  <si>
    <t>F5S055</t>
  </si>
  <si>
    <t>F5S827</t>
  </si>
  <si>
    <t>F5S379</t>
  </si>
  <si>
    <t>FGL315BLSB0E005C</t>
  </si>
  <si>
    <t>FGL315BLSA0E005B</t>
  </si>
  <si>
    <t>F5S360</t>
  </si>
  <si>
    <t>FG6521XFS10E005B</t>
  </si>
  <si>
    <t>F5SF56</t>
  </si>
  <si>
    <t>F5SB58</t>
  </si>
  <si>
    <t>V50G0JA8</t>
  </si>
  <si>
    <t>F5S307</t>
  </si>
  <si>
    <t>F5SF66</t>
  </si>
  <si>
    <t>FGF647BFS70E005B</t>
  </si>
  <si>
    <t>F5SF20</t>
  </si>
  <si>
    <t>F5SC10</t>
  </si>
  <si>
    <t>F5S594</t>
  </si>
  <si>
    <t>F5SF16</t>
  </si>
  <si>
    <t>F5S444</t>
  </si>
  <si>
    <t>FGF659XFS100005A</t>
  </si>
  <si>
    <t>Product</t>
    <phoneticPr fontId="1" type="noConversion"/>
  </si>
  <si>
    <t>CST ID</t>
    <phoneticPr fontId="1" type="noConversion"/>
  </si>
  <si>
    <t>Date Time</t>
    <phoneticPr fontId="1" type="noConversion"/>
  </si>
  <si>
    <t>Gls Qty</t>
    <phoneticPr fontId="1" type="noConversion"/>
  </si>
  <si>
    <t>Pnl Qty</t>
    <phoneticPr fontId="1" type="noConversion"/>
  </si>
  <si>
    <t>CST ID</t>
    <phoneticPr fontId="1" type="noConversion"/>
  </si>
  <si>
    <t>Date Time</t>
    <phoneticPr fontId="1" type="noConversion"/>
  </si>
  <si>
    <t>Gls Qty</t>
    <phoneticPr fontId="1" type="noConversion"/>
  </si>
  <si>
    <t>Pnl Qty</t>
    <phoneticPr fontId="1" type="noConversion"/>
  </si>
  <si>
    <t>Owner</t>
    <phoneticPr fontId="1" type="noConversion"/>
  </si>
  <si>
    <t>F5SC99</t>
  </si>
  <si>
    <t>雙玻來料轉 L CST</t>
  </si>
  <si>
    <t>雙玻來料轉 L CST</t>
    <phoneticPr fontId="1" type="noConversion"/>
  </si>
  <si>
    <t>雙玻來料解包</t>
    <phoneticPr fontId="1" type="noConversion"/>
  </si>
  <si>
    <t>0802 RECY 解包</t>
    <phoneticPr fontId="1" type="noConversion"/>
  </si>
  <si>
    <t>CF3 來料解包</t>
    <phoneticPr fontId="1" type="noConversion"/>
  </si>
  <si>
    <t>F5S548</t>
  </si>
  <si>
    <t>F5SB96</t>
  </si>
  <si>
    <t>F667P07901A</t>
  </si>
  <si>
    <t>V50G0RWN</t>
  </si>
  <si>
    <t>FGF647BFS70E005C</t>
  </si>
  <si>
    <t>V50G0N0F</t>
  </si>
  <si>
    <t>F5SG59</t>
  </si>
  <si>
    <t>F5S969</t>
  </si>
  <si>
    <t>F5SB38</t>
  </si>
  <si>
    <t>V50G0H69</t>
  </si>
  <si>
    <t>OGH313BFS600001A</t>
  </si>
  <si>
    <t>FGF659BFS1</t>
  </si>
  <si>
    <t>FGF659BFS10E005A</t>
  </si>
  <si>
    <t>FGF659BFS20E005A</t>
  </si>
  <si>
    <t>OUTRG</t>
  </si>
  <si>
    <t>Product</t>
    <phoneticPr fontId="1" type="noConversion"/>
  </si>
  <si>
    <t>CST ID</t>
    <phoneticPr fontId="1" type="noConversion"/>
  </si>
  <si>
    <t>Date Time</t>
    <phoneticPr fontId="1" type="noConversion"/>
  </si>
  <si>
    <t>Gls Qty</t>
    <phoneticPr fontId="1" type="noConversion"/>
  </si>
  <si>
    <t>Pnl Qty</t>
    <phoneticPr fontId="1" type="noConversion"/>
  </si>
  <si>
    <t>Owner</t>
    <phoneticPr fontId="1" type="noConversion"/>
  </si>
  <si>
    <t>F5S053</t>
  </si>
  <si>
    <t>FGF659BFS10E005R</t>
  </si>
  <si>
    <t>FGD317BXS57E004B</t>
  </si>
  <si>
    <t>FGF659BFS10E005B</t>
  </si>
  <si>
    <t>F5S059</t>
  </si>
  <si>
    <t>F5S635</t>
  </si>
  <si>
    <t>目前廠內低於 20 片 CST 數量</t>
    <phoneticPr fontId="1" type="noConversion"/>
  </si>
  <si>
    <t>LCD PI 下線
(FG********)</t>
    <phoneticPr fontId="1" type="noConversion"/>
  </si>
  <si>
    <t>LCD 
LC09</t>
    <phoneticPr fontId="1" type="noConversion"/>
  </si>
  <si>
    <t>LCD 切割下線+移載
(OG********)</t>
    <phoneticPr fontId="1" type="noConversion"/>
  </si>
  <si>
    <t>雙玻來料轉 L CST</t>
    <phoneticPr fontId="1" type="noConversion"/>
  </si>
  <si>
    <t>F025
0205</t>
    <phoneticPr fontId="1" type="noConversion"/>
  </si>
  <si>
    <t>ARRAY TOD 下線
(OG********)</t>
    <phoneticPr fontId="1" type="noConversion"/>
  </si>
  <si>
    <t>ARRAY
T02D</t>
    <phoneticPr fontId="1" type="noConversion"/>
  </si>
  <si>
    <t>出委外 RECY</t>
    <phoneticPr fontId="1" type="noConversion"/>
  </si>
  <si>
    <t>0801</t>
    <phoneticPr fontId="1" type="noConversion"/>
  </si>
  <si>
    <t>跨廠出/退貨</t>
    <phoneticPr fontId="1" type="noConversion"/>
  </si>
  <si>
    <t>5801 + 5803</t>
    <phoneticPr fontId="1" type="noConversion"/>
  </si>
  <si>
    <t>異常貨 PACK</t>
    <phoneticPr fontId="1" type="noConversion"/>
  </si>
  <si>
    <t>異常貨合併</t>
    <phoneticPr fontId="1" type="noConversion"/>
  </si>
  <si>
    <t>項目</t>
    <phoneticPr fontId="1" type="noConversion"/>
  </si>
  <si>
    <t>OPER</t>
    <phoneticPr fontId="1" type="noConversion"/>
  </si>
  <si>
    <t>Glass Qty</t>
    <phoneticPr fontId="1" type="noConversion"/>
  </si>
  <si>
    <t>CST Qty</t>
    <phoneticPr fontId="1" type="noConversion"/>
  </si>
  <si>
    <t>素玻璃解包</t>
    <phoneticPr fontId="1" type="noConversion"/>
  </si>
  <si>
    <t>0100</t>
    <phoneticPr fontId="1" type="noConversion"/>
  </si>
  <si>
    <t>雙玻來料轉 F CST</t>
    <phoneticPr fontId="1" type="noConversion"/>
  </si>
  <si>
    <t>5804
2900
0206</t>
    <phoneticPr fontId="1" type="noConversion"/>
  </si>
  <si>
    <t>0802</t>
    <phoneticPr fontId="1" type="noConversion"/>
  </si>
  <si>
    <t>異常貨解包</t>
    <phoneticPr fontId="1" type="noConversion"/>
  </si>
  <si>
    <t>LCD PI DUMMY
PI 異常回貨</t>
    <phoneticPr fontId="1" type="noConversion"/>
  </si>
  <si>
    <t>2901
5900
0801</t>
    <phoneticPr fontId="1" type="noConversion"/>
  </si>
  <si>
    <t>異常貨分流</t>
    <phoneticPr fontId="1" type="noConversion"/>
  </si>
  <si>
    <t>Product</t>
    <phoneticPr fontId="1" type="noConversion"/>
  </si>
  <si>
    <t>CST ID</t>
    <phoneticPr fontId="1" type="noConversion"/>
  </si>
  <si>
    <t>Date Time</t>
    <phoneticPr fontId="1" type="noConversion"/>
  </si>
  <si>
    <t>Gls Qty</t>
    <phoneticPr fontId="1" type="noConversion"/>
  </si>
  <si>
    <t>Pnl Qty</t>
    <phoneticPr fontId="1" type="noConversion"/>
  </si>
  <si>
    <t>Owner</t>
    <phoneticPr fontId="1" type="noConversion"/>
  </si>
  <si>
    <t>F5S128</t>
  </si>
  <si>
    <t>F5SG39</t>
  </si>
  <si>
    <t>F5SD80</t>
  </si>
  <si>
    <t>INSP0300</t>
  </si>
  <si>
    <t>F5S990</t>
  </si>
  <si>
    <t>F5SD43</t>
  </si>
  <si>
    <t>F5S802</t>
  </si>
  <si>
    <t>FG6521XFS10E005C</t>
  </si>
  <si>
    <t>FGN619XSSA</t>
  </si>
  <si>
    <t>FGN619XSSA00005A</t>
  </si>
  <si>
    <t>L5S272</t>
  </si>
  <si>
    <t>G300</t>
  </si>
  <si>
    <t>F5SG62</t>
  </si>
  <si>
    <t>F5SB06</t>
  </si>
  <si>
    <t>F5S524</t>
  </si>
  <si>
    <t>FGREBSWC470R001A</t>
  </si>
  <si>
    <t>F5S497</t>
  </si>
  <si>
    <t>F5S113</t>
  </si>
  <si>
    <t>實驗單號</t>
    <phoneticPr fontId="1" type="noConversion"/>
  </si>
  <si>
    <t>對策</t>
    <phoneticPr fontId="1" type="noConversion"/>
  </si>
  <si>
    <t>C5FM20070383</t>
    <phoneticPr fontId="1" type="noConversion"/>
  </si>
  <si>
    <t>F5SD11</t>
  </si>
  <si>
    <t>F5S493</t>
  </si>
  <si>
    <t>F5SC87</t>
  </si>
  <si>
    <t>F5S329</t>
  </si>
  <si>
    <t>F5SB33</t>
  </si>
  <si>
    <t>F5SE78</t>
  </si>
  <si>
    <t>F5S860</t>
  </si>
  <si>
    <t>F5S220</t>
  </si>
  <si>
    <t>FCF645XXQ1</t>
    <phoneticPr fontId="1" type="noConversion"/>
  </si>
  <si>
    <t>F5SB47</t>
    <phoneticPr fontId="1" type="noConversion"/>
  </si>
  <si>
    <t>PROD</t>
    <phoneticPr fontId="1" type="noConversion"/>
  </si>
  <si>
    <t>2020-07-17 14.15.17</t>
    <phoneticPr fontId="1" type="noConversion"/>
  </si>
  <si>
    <t>V50G0PWW</t>
  </si>
  <si>
    <t>V50G0QDJ</t>
  </si>
  <si>
    <t>黃光滿批率</t>
    <phoneticPr fontId="1" type="noConversion"/>
  </si>
  <si>
    <t>薄膜 (單玻)滿批率</t>
    <phoneticPr fontId="1" type="noConversion"/>
  </si>
  <si>
    <t>薄膜 (雙玻)滿批率</t>
    <phoneticPr fontId="1" type="noConversion"/>
  </si>
  <si>
    <t>檢測 (單玻)滿批率</t>
    <phoneticPr fontId="1" type="noConversion"/>
  </si>
  <si>
    <t>檢測 (雙玻)滿批率</t>
    <phoneticPr fontId="1" type="noConversion"/>
  </si>
  <si>
    <t>BANK(單玻)滿批率</t>
    <phoneticPr fontId="1" type="noConversion"/>
  </si>
  <si>
    <t>BANK(雙玻)滿批率</t>
    <phoneticPr fontId="1" type="noConversion"/>
  </si>
  <si>
    <t>OHGC(單玻)滿批率</t>
    <phoneticPr fontId="1" type="noConversion"/>
  </si>
  <si>
    <t>OHGC(雙玻)滿批率</t>
    <phoneticPr fontId="1" type="noConversion"/>
  </si>
  <si>
    <t>出貨站點滿批率</t>
    <phoneticPr fontId="1" type="noConversion"/>
  </si>
  <si>
    <t>分流 / 合併滿批率</t>
    <phoneticPr fontId="1" type="noConversion"/>
  </si>
  <si>
    <t>合計</t>
    <phoneticPr fontId="1" type="noConversion"/>
  </si>
  <si>
    <r>
      <t xml:space="preserve">空 CST </t>
    </r>
    <r>
      <rPr>
        <b/>
        <sz val="11"/>
        <color rgb="FF0000FF"/>
        <rFont val="新細明體"/>
        <family val="1"/>
        <charset val="136"/>
        <scheme val="minor"/>
      </rPr>
      <t>增加</t>
    </r>
    <r>
      <rPr>
        <b/>
        <sz val="11"/>
        <color theme="1"/>
        <rFont val="新細明體"/>
        <family val="1"/>
        <charset val="136"/>
        <scheme val="minor"/>
      </rPr>
      <t xml:space="preserve"> /</t>
    </r>
    <r>
      <rPr>
        <b/>
        <sz val="11"/>
        <color rgb="FFFF0000"/>
        <rFont val="新細明體"/>
        <family val="1"/>
        <charset val="136"/>
        <scheme val="minor"/>
      </rPr>
      <t xml:space="preserve"> 減少</t>
    </r>
    <phoneticPr fontId="1" type="noConversion"/>
  </si>
  <si>
    <t>廠內所有空 CST
 (含機台上)</t>
    <phoneticPr fontId="1" type="noConversion"/>
  </si>
  <si>
    <t>STK 內空 CST</t>
    <phoneticPr fontId="1" type="noConversion"/>
  </si>
  <si>
    <t>機台上空 CST</t>
    <phoneticPr fontId="1" type="noConversion"/>
  </si>
  <si>
    <t>LCD EMPTY 未回</t>
    <phoneticPr fontId="1" type="noConversion"/>
  </si>
  <si>
    <t>未滿 20 片 CST 變化</t>
    <phoneticPr fontId="1" type="noConversion"/>
  </si>
  <si>
    <t xml:space="preserve"> 未滿 20 片 CST 變化</t>
    <phoneticPr fontId="1" type="noConversion"/>
  </si>
  <si>
    <t>日期</t>
    <phoneticPr fontId="1" type="noConversion"/>
  </si>
  <si>
    <t>時間</t>
    <phoneticPr fontId="1" type="noConversion"/>
  </si>
  <si>
    <t>空 CST</t>
    <phoneticPr fontId="1" type="noConversion"/>
  </si>
  <si>
    <t>INPUT</t>
    <phoneticPr fontId="1" type="noConversion"/>
  </si>
  <si>
    <t>OUTPUT</t>
    <phoneticPr fontId="1" type="noConversion"/>
  </si>
  <si>
    <t>OUT - IN</t>
    <phoneticPr fontId="1" type="noConversion"/>
  </si>
  <si>
    <t>滿批率</t>
    <phoneticPr fontId="1" type="noConversion"/>
  </si>
  <si>
    <t>FGRECYXC54</t>
  </si>
  <si>
    <t>FGRECYXC541R002A</t>
  </si>
  <si>
    <t>FG6605BFS1</t>
  </si>
  <si>
    <t>FG6605BFS100002A</t>
  </si>
  <si>
    <t>F5SG72</t>
  </si>
  <si>
    <t>F5S880</t>
  </si>
  <si>
    <t>V50G0K3H</t>
  </si>
  <si>
    <t>OGR007XKS1</t>
  </si>
  <si>
    <t>V50G0ST1</t>
  </si>
  <si>
    <t>V50G0ST9</t>
  </si>
  <si>
    <t>V50G0STE</t>
  </si>
  <si>
    <t>V50G0STG</t>
  </si>
  <si>
    <t>V50G0SXV</t>
  </si>
  <si>
    <t>V50G0GQE</t>
  </si>
  <si>
    <t>V50G0HA8</t>
  </si>
  <si>
    <t>OGR007XKS100001A</t>
  </si>
  <si>
    <t>V50G0H0A</t>
  </si>
  <si>
    <t>V50G0R8Y</t>
  </si>
  <si>
    <t>OGC310XVS3</t>
  </si>
  <si>
    <t>OGC310XVS300001A</t>
  </si>
  <si>
    <t>V51G010C</t>
  </si>
  <si>
    <t>FGC316XFSA</t>
  </si>
  <si>
    <t>FGC503XFSA</t>
  </si>
  <si>
    <t>FGC503XFSA0E001A</t>
  </si>
  <si>
    <t>FGF658BXS1</t>
  </si>
  <si>
    <t>FGG101XXS5</t>
  </si>
  <si>
    <t>FGG101XXS50E005A</t>
  </si>
  <si>
    <t>FGL318XSSA</t>
  </si>
  <si>
    <t>V50G08ES</t>
  </si>
  <si>
    <t>V50G0MVP</t>
  </si>
  <si>
    <t>V52G02HZ</t>
  </si>
  <si>
    <t>SA06</t>
  </si>
  <si>
    <t>V50G0LE4</t>
  </si>
  <si>
    <t>未滿 20 片 CST 變化</t>
    <phoneticPr fontId="1" type="noConversion"/>
  </si>
  <si>
    <t xml:space="preserve"> 未滿 20 片 CST 變化</t>
    <phoneticPr fontId="1" type="noConversion"/>
  </si>
  <si>
    <t>20208/3</t>
    <phoneticPr fontId="1" type="noConversion"/>
  </si>
  <si>
    <t>FGF671BFS2</t>
  </si>
  <si>
    <t>FGF671BFS20E005A</t>
  </si>
  <si>
    <t>F5SD51</t>
  </si>
  <si>
    <t>F5S593</t>
  </si>
  <si>
    <t>F5S082</t>
  </si>
  <si>
    <t>F5S627</t>
  </si>
  <si>
    <t>F5SF84</t>
  </si>
  <si>
    <t>F5SC39</t>
  </si>
  <si>
    <t>F5SF02</t>
  </si>
  <si>
    <t>F5SE38</t>
  </si>
  <si>
    <t>F5S807</t>
  </si>
  <si>
    <t>FGF644BFQ2</t>
  </si>
  <si>
    <t>FGF644BFQ200001A</t>
  </si>
  <si>
    <t>F5S318</t>
  </si>
  <si>
    <t>F5SB23</t>
  </si>
  <si>
    <t>F5SC18</t>
  </si>
  <si>
    <t>FGR010XKS400004E</t>
  </si>
  <si>
    <t>FGF641XXS4</t>
  </si>
  <si>
    <t>F5SB54</t>
  </si>
  <si>
    <t>F5SE15</t>
  </si>
  <si>
    <t xml:space="preserve"> 未滿 20 片 CST 變化</t>
    <phoneticPr fontId="1" type="noConversion"/>
  </si>
  <si>
    <t>FGU006XHQ1</t>
  </si>
  <si>
    <t>FG6406XFS1</t>
  </si>
  <si>
    <t>F5SF89</t>
  </si>
  <si>
    <t>F5SB60</t>
  </si>
  <si>
    <t>FGL318XSSA00005Q</t>
  </si>
  <si>
    <t>F5S152</t>
  </si>
  <si>
    <t>F5SE93</t>
  </si>
  <si>
    <t>F5S868</t>
  </si>
  <si>
    <t>FG6521XFS100001A</t>
  </si>
  <si>
    <t>FG6521XFS100002A</t>
  </si>
  <si>
    <t>FGU006XHQ100005A</t>
  </si>
  <si>
    <t>F5SB43</t>
  </si>
  <si>
    <t>F5SF88</t>
  </si>
  <si>
    <t>F5S513</t>
  </si>
  <si>
    <t>F5S689</t>
  </si>
  <si>
    <t>F5S956</t>
  </si>
  <si>
    <t>F5S441</t>
  </si>
  <si>
    <t>FGREOAHC57</t>
  </si>
  <si>
    <t>FGREOAHC573R001A</t>
  </si>
  <si>
    <t>F5S806</t>
  </si>
  <si>
    <t>F5S273</t>
  </si>
  <si>
    <t>F5S667</t>
  </si>
  <si>
    <t>F5S637</t>
  </si>
  <si>
    <t>V50G0Q79</t>
  </si>
  <si>
    <t>F5S954</t>
  </si>
  <si>
    <t>FG7017XSQ6</t>
  </si>
  <si>
    <t>OUTR4EQ</t>
  </si>
  <si>
    <t>FGD317EFS4</t>
  </si>
  <si>
    <t>FGD317EFS40E004A</t>
  </si>
  <si>
    <t>FG7017XSQ60R003A</t>
  </si>
  <si>
    <t>F5S647</t>
  </si>
  <si>
    <t>FGREOASC551R001A</t>
  </si>
  <si>
    <t>F5SE43</t>
  </si>
  <si>
    <t>F5S671</t>
  </si>
  <si>
    <t>F5SE95</t>
  </si>
  <si>
    <t>FGD324DXSA</t>
  </si>
  <si>
    <t>F5S017</t>
  </si>
  <si>
    <t>F5SC36</t>
  </si>
  <si>
    <t>FG6605BFS2</t>
  </si>
  <si>
    <t>FG6605BFS20E005A</t>
  </si>
  <si>
    <t>F5S426</t>
  </si>
  <si>
    <t>V50G0PKK</t>
  </si>
  <si>
    <t>V50G0J1D</t>
  </si>
  <si>
    <t>V50G0JGJ</t>
  </si>
  <si>
    <t>F5S487</t>
  </si>
  <si>
    <t>F5S738</t>
  </si>
  <si>
    <t>FC</t>
  </si>
  <si>
    <t>F5S569</t>
  </si>
  <si>
    <t>CNVR1500</t>
  </si>
  <si>
    <t>F5S758</t>
  </si>
  <si>
    <t>F5S402</t>
  </si>
  <si>
    <t>F5S149</t>
  </si>
  <si>
    <t>F5S080</t>
  </si>
  <si>
    <t>FGREOCFC4480001A</t>
  </si>
  <si>
    <t>FGRECXSC550R002A</t>
  </si>
  <si>
    <t>FGF647BFS500005A</t>
  </si>
  <si>
    <t>L5S390</t>
  </si>
  <si>
    <t>F5SC50</t>
  </si>
  <si>
    <t>FGD317EFS40E004B</t>
  </si>
  <si>
    <t>F5S866</t>
  </si>
  <si>
    <t>F5SC20</t>
  </si>
  <si>
    <t>F5S411</t>
  </si>
  <si>
    <t>FG8050XXS100003A</t>
  </si>
  <si>
    <t>FG8050XXS100004A</t>
  </si>
  <si>
    <t>F5S186</t>
  </si>
  <si>
    <t>FGREOCHC47</t>
  </si>
  <si>
    <t>FGREOCHC478R001A</t>
  </si>
  <si>
    <t>F5SE99</t>
  </si>
  <si>
    <t>F5S773</t>
  </si>
  <si>
    <t>F5S245</t>
  </si>
  <si>
    <t>F5S029</t>
  </si>
  <si>
    <t>F5SF53</t>
  </si>
  <si>
    <t>FGREBSFCG4</t>
  </si>
  <si>
    <t>FGREBSFCG49R001A</t>
  </si>
  <si>
    <t>F5SE13</t>
  </si>
  <si>
    <t>F5SF41</t>
  </si>
  <si>
    <t>F5S659</t>
  </si>
  <si>
    <t>FG8050XXS100003Y</t>
  </si>
  <si>
    <t>FGD317CFS5</t>
  </si>
  <si>
    <t>F5S985</t>
  </si>
  <si>
    <t>F5SC41</t>
  </si>
  <si>
    <t>OGE021XXE4</t>
  </si>
  <si>
    <t>OGE021XXE400001A</t>
  </si>
  <si>
    <t>FGE021EWS5</t>
  </si>
  <si>
    <t>F5S881</t>
  </si>
  <si>
    <t>F5S575</t>
  </si>
  <si>
    <t>F5S989</t>
  </si>
  <si>
    <t>OGD403XWS1</t>
  </si>
  <si>
    <t>OGD403XWS100001A</t>
  </si>
  <si>
    <t>F5S630</t>
  </si>
  <si>
    <t>V50G09QC</t>
  </si>
  <si>
    <t>F5S164</t>
  </si>
  <si>
    <t>F5SC86</t>
  </si>
  <si>
    <t>FGD324DXSA0E002A</t>
  </si>
  <si>
    <t>V50G0KCW</t>
  </si>
  <si>
    <t>F5S710</t>
  </si>
  <si>
    <t>F5S003</t>
  </si>
  <si>
    <t>V50G092Z</t>
  </si>
  <si>
    <t>V50G08YC</t>
  </si>
  <si>
    <t>F5SF49</t>
  </si>
  <si>
    <t>F5SB68</t>
  </si>
  <si>
    <t>F5S265</t>
  </si>
  <si>
    <t>F5S598</t>
  </si>
  <si>
    <t>F5S937</t>
  </si>
  <si>
    <t>L5S344</t>
  </si>
  <si>
    <t>F5SA10</t>
  </si>
  <si>
    <t>F5S599</t>
  </si>
  <si>
    <t>F5S077</t>
  </si>
  <si>
    <t>FGF659BFS2</t>
  </si>
  <si>
    <t>OGH313BFS1</t>
  </si>
  <si>
    <t>OGH313BFS100001A</t>
  </si>
  <si>
    <t>FGREBSXC54</t>
  </si>
  <si>
    <t>FGREBSXC540R001A</t>
  </si>
  <si>
    <t>FGRECYFC54</t>
  </si>
  <si>
    <t>FGRECYFC548R002A</t>
  </si>
  <si>
    <t>F5S684</t>
  </si>
  <si>
    <t>F5S338</t>
  </si>
  <si>
    <t>F5S373</t>
  </si>
  <si>
    <t>F5S798</t>
  </si>
  <si>
    <t>F5SF28</t>
  </si>
  <si>
    <t>OG8050XXS1</t>
  </si>
  <si>
    <t>OG8050XXS100001A</t>
  </si>
  <si>
    <t>F5S335</t>
  </si>
  <si>
    <t>F5SC85</t>
  </si>
  <si>
    <t>FGREBSFC54</t>
  </si>
  <si>
    <t>F5SC95</t>
  </si>
  <si>
    <t>F5SF59</t>
  </si>
  <si>
    <t>CNVR0800</t>
  </si>
  <si>
    <t>CNVR0700</t>
  </si>
  <si>
    <t>F5S986</t>
  </si>
  <si>
    <t>F5S613</t>
  </si>
  <si>
    <t>V50G0T51</t>
  </si>
  <si>
    <t>F5S714</t>
  </si>
  <si>
    <t>V50G0B15</t>
  </si>
  <si>
    <t>V50G0K3T</t>
  </si>
  <si>
    <t>F5SB46</t>
  </si>
  <si>
    <t>V50G0HD6</t>
  </si>
  <si>
    <t>V50G0Q2M</t>
  </si>
  <si>
    <t>F5S589</t>
  </si>
  <si>
    <t>F5SB41</t>
  </si>
  <si>
    <t>F5SB48</t>
  </si>
  <si>
    <t>FGE031XFSB</t>
  </si>
  <si>
    <t>FGE031XFSC</t>
  </si>
  <si>
    <t>FGE031XFSC0E002A</t>
  </si>
  <si>
    <t>F5S587</t>
  </si>
  <si>
    <t>29A1</t>
  </si>
  <si>
    <t>F5S830</t>
  </si>
  <si>
    <t>F5S178</t>
  </si>
  <si>
    <t>F5S498</t>
  </si>
  <si>
    <t>F5SD98</t>
  </si>
  <si>
    <t>V50G0QAG</t>
  </si>
  <si>
    <t>FGD317EFS3</t>
  </si>
  <si>
    <t>FGD317EFS30E005A</t>
  </si>
  <si>
    <t>FGF659BFS3</t>
  </si>
  <si>
    <t>FGD317EFS5</t>
  </si>
  <si>
    <t>FGD317EFS50E005A</t>
  </si>
  <si>
    <t>F5SB27</t>
  </si>
  <si>
    <t>SA09</t>
  </si>
  <si>
    <t>F5S212</t>
  </si>
  <si>
    <t>L5S286</t>
  </si>
  <si>
    <t>F5S992</t>
  </si>
  <si>
    <t>F5SF39</t>
  </si>
  <si>
    <t>F5S616</t>
  </si>
  <si>
    <t>F5S583</t>
  </si>
  <si>
    <t>F5S833</t>
  </si>
  <si>
    <t>F5S957</t>
  </si>
  <si>
    <t>FGF659BFS30E002A</t>
  </si>
  <si>
    <t>F5SG99</t>
  </si>
  <si>
    <t>CNVR1600</t>
  </si>
  <si>
    <t>F5SC23</t>
  </si>
  <si>
    <t>F5SB82</t>
  </si>
  <si>
    <t>F5S287</t>
  </si>
  <si>
    <t>F5SB78</t>
  </si>
  <si>
    <t>F5S579</t>
  </si>
  <si>
    <t>F5SB95</t>
  </si>
  <si>
    <t>DPSWPPOT</t>
  </si>
  <si>
    <t>STKL0501</t>
  </si>
  <si>
    <t>F</t>
  </si>
  <si>
    <t>OGF658XXE100001A</t>
  </si>
  <si>
    <t>F5S527</t>
  </si>
  <si>
    <t>CNVR1400</t>
  </si>
  <si>
    <t>F5SG84</t>
  </si>
  <si>
    <t>F5SH21</t>
  </si>
  <si>
    <t>F5S026</t>
  </si>
  <si>
    <t>FGE031XFSC0E002C</t>
  </si>
  <si>
    <t>F5SG58</t>
  </si>
  <si>
    <t>所屬廠別</t>
  </si>
  <si>
    <t>CST Type</t>
  </si>
  <si>
    <t>Empty</t>
  </si>
  <si>
    <t>Status</t>
  </si>
  <si>
    <t>Setting Code</t>
  </si>
  <si>
    <t>所在廠別</t>
  </si>
  <si>
    <t>TFT</t>
  </si>
  <si>
    <t>CF</t>
  </si>
  <si>
    <t>LCD</t>
  </si>
  <si>
    <t>LCM</t>
  </si>
  <si>
    <t>Sum</t>
  </si>
  <si>
    <t>F5S</t>
  </si>
  <si>
    <t>EMPT</t>
  </si>
  <si>
    <t>F5SF46</t>
  </si>
  <si>
    <t>F5SC83</t>
  </si>
  <si>
    <t>V50G0GWT</t>
  </si>
  <si>
    <t>V52G07BC</t>
  </si>
  <si>
    <t>F5S533</t>
  </si>
  <si>
    <t>FGREBSFC540R001A</t>
  </si>
  <si>
    <t>F5S955</t>
  </si>
  <si>
    <t>FGR010XKS100004A</t>
  </si>
  <si>
    <t>F5S829</t>
  </si>
  <si>
    <t>V52G01EN</t>
  </si>
  <si>
    <t>CNVR1000</t>
  </si>
  <si>
    <t>F5SB29</t>
  </si>
  <si>
    <t>FGREOCKCG52R001A</t>
  </si>
  <si>
    <t>F5SG70</t>
  </si>
  <si>
    <t>F5S516</t>
  </si>
  <si>
    <t>F5SC19</t>
  </si>
  <si>
    <t>FGF659XFS100003A</t>
  </si>
  <si>
    <t>F5SB84</t>
  </si>
  <si>
    <t>F5S485</t>
  </si>
  <si>
    <t>F5SA00</t>
  </si>
  <si>
    <t>F5S414</t>
  </si>
  <si>
    <t>OHGL0300</t>
  </si>
  <si>
    <t>STKT2101</t>
  </si>
  <si>
    <t>F5S981</t>
  </si>
  <si>
    <t>F5SE19</t>
  </si>
  <si>
    <t>F5S311</t>
  </si>
  <si>
    <t>F5S521</t>
  </si>
  <si>
    <t>F5S857</t>
  </si>
  <si>
    <t>F5SC73</t>
  </si>
  <si>
    <t>F5S903</t>
  </si>
  <si>
    <t>F5S984</t>
  </si>
  <si>
    <t>FGDMPOOL0490005Z</t>
  </si>
  <si>
    <t>F5SC16</t>
  </si>
  <si>
    <t>FGE031XFSB0E002B</t>
  </si>
  <si>
    <t>F5S532</t>
  </si>
  <si>
    <t>F5S387</t>
  </si>
  <si>
    <t>F5S997</t>
  </si>
  <si>
    <t>FG7017XSQ500001B</t>
  </si>
  <si>
    <t>F5S515</t>
  </si>
  <si>
    <t>F5S038</t>
  </si>
  <si>
    <t>F5S781</t>
  </si>
  <si>
    <t>F5SB14</t>
  </si>
  <si>
    <t>F5S819</t>
  </si>
  <si>
    <t>F5S820</t>
  </si>
  <si>
    <t>F5S437</t>
  </si>
  <si>
    <t>V52G01RF</t>
  </si>
  <si>
    <t>FGF647BFS400003A</t>
  </si>
  <si>
    <t>F5SE69</t>
  </si>
  <si>
    <t>F5SC89</t>
  </si>
  <si>
    <t>F5SC84</t>
  </si>
  <si>
    <t>F5S018</t>
  </si>
  <si>
    <t>F5S486</t>
  </si>
  <si>
    <t>F5S466</t>
  </si>
  <si>
    <t>F5S577</t>
  </si>
  <si>
    <t>FGDMSTKC049E001A</t>
  </si>
  <si>
    <t>FGREOCFCG490001U</t>
  </si>
  <si>
    <t>F5SE89</t>
  </si>
  <si>
    <t>REPA0100</t>
  </si>
  <si>
    <t>F5S166</t>
  </si>
  <si>
    <t>F5SC74</t>
  </si>
  <si>
    <t>F5S071</t>
  </si>
  <si>
    <t>F5S111</t>
  </si>
  <si>
    <t>F5S412</t>
  </si>
  <si>
    <t>V50G0GPF</t>
  </si>
  <si>
    <t>V50G0H7Z</t>
  </si>
  <si>
    <t>V50G0T1E</t>
  </si>
  <si>
    <t>V52G05YP</t>
  </si>
  <si>
    <t>F5S099</t>
  </si>
  <si>
    <t>FGE031XFSC0E002D</t>
  </si>
  <si>
    <t>F5SC21</t>
  </si>
  <si>
    <t>F5SF85</t>
  </si>
  <si>
    <t>V50G0R4P</t>
  </si>
  <si>
    <t>V52G01JK</t>
  </si>
  <si>
    <t>V52G01WY</t>
  </si>
  <si>
    <t>V50G0LSE</t>
  </si>
  <si>
    <t>V50G0LSZ</t>
  </si>
  <si>
    <t>V52G05X8</t>
  </si>
  <si>
    <t>F5S396</t>
  </si>
  <si>
    <t>CNVR1300</t>
  </si>
  <si>
    <t>F5S383</t>
  </si>
  <si>
    <t>F5S531</t>
  </si>
  <si>
    <t>F5S510</t>
  </si>
  <si>
    <t>V50G0ST8</t>
  </si>
  <si>
    <t>V52G0226</t>
  </si>
  <si>
    <t>F5S213</t>
  </si>
  <si>
    <t>F5S183</t>
  </si>
  <si>
    <t>F5S359</t>
  </si>
  <si>
    <t>SA10</t>
  </si>
  <si>
    <t>EDDM</t>
  </si>
  <si>
    <t>L5S287</t>
  </si>
  <si>
    <t>F5D011</t>
  </si>
  <si>
    <t>F5S520</t>
  </si>
  <si>
    <t>CNVR1200</t>
  </si>
  <si>
    <t>F5S566</t>
  </si>
  <si>
    <t>F5S571</t>
  </si>
  <si>
    <t>F5SC46</t>
  </si>
  <si>
    <t>F5SD88</t>
  </si>
  <si>
    <t>F5SE79</t>
  </si>
  <si>
    <t>F5S526</t>
  </si>
  <si>
    <t>V52G01LK</t>
  </si>
  <si>
    <t>SA9</t>
  </si>
  <si>
    <t>FGH313BFS5</t>
  </si>
  <si>
    <t>FGH313BFS500005A</t>
  </si>
  <si>
    <t>F5S971</t>
  </si>
  <si>
    <t>F5SH17</t>
  </si>
  <si>
    <t>F5S838</t>
  </si>
  <si>
    <t>F5SE90</t>
  </si>
  <si>
    <t>F5S255</t>
  </si>
  <si>
    <t>F5S096</t>
  </si>
  <si>
    <t>F5SC52</t>
  </si>
  <si>
    <t>F5S735</t>
  </si>
  <si>
    <t>F5S413</t>
  </si>
  <si>
    <t>V50G0S38</t>
  </si>
  <si>
    <t>FGR010XKS100001A</t>
  </si>
  <si>
    <t>F5SD84</t>
  </si>
  <si>
    <t>F5SB93</t>
  </si>
  <si>
    <t>F5S266</t>
  </si>
  <si>
    <t>F5S390</t>
  </si>
  <si>
    <t>FCF667XFQ1</t>
  </si>
  <si>
    <t>F5S707</t>
  </si>
  <si>
    <t>F5SD62</t>
  </si>
  <si>
    <t>SB5</t>
  </si>
  <si>
    <t>F5SH44</t>
  </si>
  <si>
    <t>F5SD75</t>
  </si>
  <si>
    <t>F5S208</t>
  </si>
  <si>
    <t>CNVR0300</t>
  </si>
  <si>
    <t>F5S538</t>
  </si>
  <si>
    <t>F5S899</t>
  </si>
  <si>
    <t>F5S222</t>
  </si>
  <si>
    <t>INSP0200</t>
  </si>
  <si>
    <t>OGA130XWS1</t>
  </si>
  <si>
    <t>OGA130XWS100001A</t>
  </si>
  <si>
    <t>OGA130XWS2</t>
  </si>
  <si>
    <t>OGA130XWS200001A</t>
  </si>
  <si>
    <t>F5SB07</t>
  </si>
  <si>
    <t>F5SA65</t>
  </si>
  <si>
    <t>F5S573</t>
  </si>
  <si>
    <t>F5SD73</t>
  </si>
  <si>
    <t>F5SE12</t>
  </si>
  <si>
    <t>F5S678</t>
  </si>
  <si>
    <t>STKL0504</t>
  </si>
  <si>
    <t>F5S106</t>
  </si>
  <si>
    <t>F5SC58</t>
  </si>
  <si>
    <t>REPA0200</t>
  </si>
  <si>
    <t>F5S804</t>
  </si>
  <si>
    <t>F5S688</t>
  </si>
  <si>
    <t>F5S484</t>
  </si>
  <si>
    <t>F5S009</t>
  </si>
  <si>
    <t>F5S514</t>
  </si>
  <si>
    <t>F5SF01</t>
  </si>
  <si>
    <t>F5S405</t>
  </si>
  <si>
    <t>F5S727</t>
  </si>
  <si>
    <t>F5S296</t>
  </si>
  <si>
    <t>F5S625</t>
  </si>
  <si>
    <t>F5SG27</t>
  </si>
  <si>
    <t>F5S641</t>
  </si>
  <si>
    <t>F5SH02</t>
  </si>
  <si>
    <t>F5SD60</t>
  </si>
  <si>
    <t>F5S676</t>
  </si>
  <si>
    <t>F5S617</t>
  </si>
  <si>
    <t>L5S203</t>
  </si>
  <si>
    <t>F5S108</t>
  </si>
  <si>
    <t>F5SC47</t>
  </si>
  <si>
    <t>F5S328</t>
  </si>
  <si>
    <t>F5SF86</t>
  </si>
  <si>
    <t>F5SD47</t>
  </si>
  <si>
    <t>F5S021</t>
  </si>
  <si>
    <t>F5S476</t>
  </si>
  <si>
    <t>F5S788</t>
  </si>
  <si>
    <t>CNVR0600</t>
  </si>
  <si>
    <t>F5S876</t>
  </si>
  <si>
    <t>F5SG28</t>
  </si>
  <si>
    <t>F5S565</t>
  </si>
  <si>
    <t>F5SB30</t>
  </si>
  <si>
    <t>F5S458</t>
  </si>
  <si>
    <t>F5SB10</t>
  </si>
  <si>
    <t>F5S434</t>
  </si>
  <si>
    <t>F5SD38</t>
  </si>
  <si>
    <t>F5S822</t>
  </si>
  <si>
    <t>F5S184</t>
  </si>
  <si>
    <t>F5SD02</t>
  </si>
  <si>
    <t>F5S156</t>
  </si>
  <si>
    <t>F5SE25</t>
  </si>
  <si>
    <t>F5S065</t>
  </si>
  <si>
    <t>F5S398</t>
  </si>
  <si>
    <t>F5S787</t>
  </si>
  <si>
    <t>F5S327</t>
  </si>
  <si>
    <t>F5SE33</t>
  </si>
  <si>
    <t>F5S100</t>
  </si>
  <si>
    <t>F5S938</t>
  </si>
  <si>
    <t>F5SA75</t>
  </si>
  <si>
    <t>F5S756</t>
  </si>
  <si>
    <t>F5S600</t>
  </si>
  <si>
    <t>F5SD74</t>
  </si>
  <si>
    <t>F5SC79</t>
  </si>
  <si>
    <t>F5SA13</t>
  </si>
  <si>
    <t>F5SF51</t>
  </si>
  <si>
    <t>F5S799</t>
  </si>
  <si>
    <t>F5S070</t>
  </si>
  <si>
    <t>F5S657</t>
  </si>
  <si>
    <t>F5S321</t>
  </si>
  <si>
    <t>F5SF65</t>
  </si>
  <si>
    <t>F5S928</t>
  </si>
  <si>
    <t>56A1</t>
  </si>
  <si>
    <t>F5SG78</t>
  </si>
  <si>
    <t>F5S285</t>
  </si>
  <si>
    <t>F5S249</t>
  </si>
  <si>
    <t>F5S620</t>
  </si>
  <si>
    <t>F5S831</t>
  </si>
  <si>
    <t>F5SA25</t>
  </si>
  <si>
    <t>F5S886</t>
  </si>
  <si>
    <t>F5SE41</t>
  </si>
  <si>
    <t>F5SA17</t>
  </si>
  <si>
    <t>F5SH11</t>
  </si>
  <si>
    <t>F5S275</t>
  </si>
  <si>
    <t>F5S518</t>
  </si>
  <si>
    <t>F5SG64</t>
  </si>
  <si>
    <t>L5S337</t>
  </si>
  <si>
    <t>OGD317XXS3</t>
  </si>
  <si>
    <t>OGD317XXS300001A</t>
  </si>
  <si>
    <t>F5S345</t>
  </si>
  <si>
    <t>F5SC31</t>
  </si>
  <si>
    <t>F5S322</t>
  </si>
  <si>
    <t>F5SF09</t>
  </si>
  <si>
    <t>F5S076</t>
  </si>
  <si>
    <t>F5S786</t>
  </si>
  <si>
    <t>F5S950</t>
  </si>
  <si>
    <t>F5S179</t>
  </si>
  <si>
    <t>F5S488</t>
  </si>
  <si>
    <t>F5SG69</t>
  </si>
  <si>
    <t>F5S470</t>
  </si>
  <si>
    <t>F5S342</t>
  </si>
  <si>
    <t>F5S760</t>
  </si>
  <si>
    <t>F5S680</t>
  </si>
  <si>
    <t>F5S701</t>
  </si>
  <si>
    <t>F5S740</t>
  </si>
  <si>
    <t>F5SB63</t>
  </si>
  <si>
    <t>F5SB32</t>
  </si>
  <si>
    <t>F5S261</t>
  </si>
  <si>
    <t>PIPR0500</t>
  </si>
  <si>
    <t>F5S313</t>
  </si>
  <si>
    <t>T5S065</t>
  </si>
  <si>
    <t>FGE021BXS300003A</t>
  </si>
  <si>
    <t>FGE021BXS300004A</t>
  </si>
  <si>
    <t>F5S174</t>
  </si>
  <si>
    <t>F5S440</t>
  </si>
  <si>
    <t>F5S943</t>
  </si>
  <si>
    <t>F5S158</t>
  </si>
  <si>
    <t>F5S264</t>
  </si>
  <si>
    <t>F5S236</t>
  </si>
  <si>
    <t>F5SA42</t>
  </si>
  <si>
    <t>F5S952</t>
  </si>
  <si>
    <t>F5S906</t>
  </si>
  <si>
    <t>FGRECXKC550R002A</t>
  </si>
  <si>
    <t>F5SA35</t>
  </si>
  <si>
    <t>F5SB31</t>
  </si>
  <si>
    <t>F5SF00</t>
  </si>
  <si>
    <t>F5S325</t>
  </si>
  <si>
    <t>F5SE23</t>
  </si>
  <si>
    <t>F5S508</t>
  </si>
  <si>
    <t>F5S340</t>
  </si>
  <si>
    <t>F5SB17</t>
  </si>
  <si>
    <t>F5SE16</t>
  </si>
  <si>
    <t>F5SG66</t>
  </si>
  <si>
    <t>F5SC76</t>
  </si>
  <si>
    <t>F5S999</t>
  </si>
  <si>
    <t>F5SC45</t>
  </si>
  <si>
    <t>F5S893</t>
  </si>
  <si>
    <t>F5SC71</t>
  </si>
  <si>
    <t>F5S062</t>
  </si>
  <si>
    <t>F5SB62</t>
  </si>
  <si>
    <t>F5S908</t>
  </si>
  <si>
    <t>F5S269</t>
  </si>
  <si>
    <t>F5SD83</t>
  </si>
  <si>
    <t>F5SA40</t>
  </si>
  <si>
    <t>F5SE29</t>
  </si>
  <si>
    <t>F5SC24</t>
  </si>
  <si>
    <t>F5SA38</t>
  </si>
  <si>
    <t>F5S595</t>
  </si>
  <si>
    <t>F5SB53</t>
  </si>
  <si>
    <t>F5S843</t>
  </si>
  <si>
    <t>F5SD58</t>
  </si>
  <si>
    <t>F5SB20</t>
  </si>
  <si>
    <t>F5S612</t>
  </si>
  <si>
    <t>F5SA87</t>
  </si>
  <si>
    <t>F5S649</t>
  </si>
  <si>
    <t>F5S915</t>
  </si>
  <si>
    <t>F5S290</t>
  </si>
  <si>
    <t>F5S281</t>
  </si>
  <si>
    <t>F5SG91</t>
  </si>
  <si>
    <t>F5SB77</t>
  </si>
  <si>
    <t>F5SD37</t>
  </si>
  <si>
    <t>F5SH60</t>
  </si>
  <si>
    <t>F5S054</t>
  </si>
  <si>
    <t>F5SF10</t>
  </si>
  <si>
    <t>F5S401</t>
  </si>
  <si>
    <t>F5S361</t>
  </si>
  <si>
    <t>F5S283</t>
  </si>
  <si>
    <t>F5SF26</t>
  </si>
  <si>
    <t>F5SH31</t>
  </si>
  <si>
    <t>F5S447</t>
  </si>
  <si>
    <t>F5SA49</t>
  </si>
  <si>
    <t>F5SE94</t>
  </si>
  <si>
    <t>F5S944</t>
  </si>
  <si>
    <t>F5SE96</t>
  </si>
  <si>
    <t>FGF658BXS100005A</t>
  </si>
  <si>
    <t>F5SB92</t>
  </si>
  <si>
    <t>F5SA96</t>
  </si>
  <si>
    <t>F5S300</t>
  </si>
  <si>
    <t>F5SD69</t>
  </si>
  <si>
    <t>F5S499</t>
  </si>
  <si>
    <t>F5S324</t>
  </si>
  <si>
    <t>F5SE35</t>
  </si>
  <si>
    <t>F5SA50</t>
  </si>
  <si>
    <t>F5SG60</t>
  </si>
  <si>
    <t>F5S755</t>
  </si>
  <si>
    <t>F5SB94</t>
  </si>
  <si>
    <t>F5SD04</t>
  </si>
  <si>
    <t>F5SC27</t>
  </si>
  <si>
    <t>F5S433</t>
  </si>
  <si>
    <t>F5S063</t>
  </si>
  <si>
    <t>F5S036</t>
  </si>
  <si>
    <t>F5S658</t>
  </si>
  <si>
    <t>F5S019</t>
  </si>
  <si>
    <t>F5S129</t>
  </si>
  <si>
    <t>F5SG48</t>
  </si>
  <si>
    <t>F5SA55</t>
  </si>
  <si>
    <t>F5S277</t>
  </si>
  <si>
    <t>F5SD36</t>
  </si>
  <si>
    <t>F5S909</t>
  </si>
  <si>
    <t>F5S323</t>
  </si>
  <si>
    <t>F5S913</t>
  </si>
  <si>
    <t>F5S424</t>
  </si>
  <si>
    <t>F5S109</t>
  </si>
  <si>
    <t>F5SC66</t>
  </si>
  <si>
    <t>F5SA69</t>
  </si>
  <si>
    <t>F5S210</t>
  </si>
  <si>
    <t>F5S605</t>
  </si>
  <si>
    <t>F5S357</t>
  </si>
  <si>
    <t>F5S314</t>
  </si>
  <si>
    <t>F5S141</t>
  </si>
  <si>
    <t>F5S895</t>
  </si>
  <si>
    <t>F5SF27</t>
  </si>
  <si>
    <t>F5S074</t>
  </si>
  <si>
    <t>F5S268</t>
  </si>
  <si>
    <t>F5SG52</t>
  </si>
  <si>
    <t>F5S420</t>
  </si>
  <si>
    <t>F5SF74</t>
  </si>
  <si>
    <t>F5S481</t>
  </si>
  <si>
    <t>F5SE86</t>
  </si>
  <si>
    <t>F5S320</t>
  </si>
  <si>
    <t>F5S023</t>
  </si>
  <si>
    <t>F5SC08</t>
  </si>
  <si>
    <t>F5SE54</t>
  </si>
  <si>
    <t>F5S091</t>
  </si>
  <si>
    <t>F5SG24</t>
  </si>
  <si>
    <t>F5SD16</t>
  </si>
  <si>
    <t>F5S661</t>
  </si>
  <si>
    <t>F5S145</t>
  </si>
  <si>
    <t>F5S011</t>
  </si>
  <si>
    <t>F5SB87</t>
  </si>
  <si>
    <t>F5S512</t>
  </si>
  <si>
    <t>F5S504</t>
  </si>
  <si>
    <t>OHGC0400</t>
  </si>
  <si>
    <t>F5SB97</t>
  </si>
  <si>
    <t>F5SH33</t>
  </si>
  <si>
    <t>F5S978</t>
  </si>
  <si>
    <t>F5SA93</t>
  </si>
  <si>
    <t>F5S043</t>
  </si>
  <si>
    <t>F5SE17</t>
  </si>
  <si>
    <t>F5S159</t>
  </si>
  <si>
    <t>F5SA31</t>
  </si>
  <si>
    <t>F5SA67</t>
  </si>
  <si>
    <t>F5SE53</t>
  </si>
  <si>
    <t>F5S353</t>
  </si>
  <si>
    <t>F5S744</t>
  </si>
  <si>
    <t>F5SD15</t>
  </si>
  <si>
    <t>F5SF73</t>
  </si>
  <si>
    <t>F5SC09</t>
  </si>
  <si>
    <t>F5S897</t>
  </si>
  <si>
    <t>F5S404</t>
  </si>
  <si>
    <t>F5SC48</t>
  </si>
  <si>
    <t>F5S078</t>
  </si>
  <si>
    <t>F5SE09</t>
  </si>
  <si>
    <t>F5SC88</t>
  </si>
  <si>
    <t>F5SE72</t>
  </si>
  <si>
    <t>F5SG63</t>
  </si>
  <si>
    <t>F5S044</t>
  </si>
  <si>
    <t>F5S892</t>
  </si>
  <si>
    <t>F5SG77</t>
  </si>
  <si>
    <t>F5SA08</t>
  </si>
  <si>
    <t>F5S352</t>
  </si>
  <si>
    <t>F5SD91</t>
  </si>
  <si>
    <t>F5S523</t>
  </si>
  <si>
    <t>F5SE06</t>
  </si>
  <si>
    <t>F5SF87</t>
  </si>
  <si>
    <t>F5SE58</t>
  </si>
  <si>
    <t>F5S256</t>
  </si>
  <si>
    <t>F5S468</t>
  </si>
  <si>
    <t>F5SA66</t>
  </si>
  <si>
    <t>F5S542</t>
  </si>
  <si>
    <t>F5S856</t>
  </si>
  <si>
    <t>F5S052</t>
  </si>
  <si>
    <t>F5S923</t>
  </si>
  <si>
    <t>F5S972</t>
  </si>
  <si>
    <t>F5S771</t>
  </si>
  <si>
    <t>F5S736</t>
  </si>
  <si>
    <t>F5SD55</t>
  </si>
  <si>
    <t>F5SE45</t>
  </si>
  <si>
    <t>F5SA12</t>
  </si>
  <si>
    <t>F5SE61</t>
  </si>
  <si>
    <t>F5SB03</t>
  </si>
  <si>
    <t>F5S936</t>
  </si>
  <si>
    <t>F5SB76</t>
  </si>
  <si>
    <t>F5S403</t>
  </si>
  <si>
    <t>F5SG37</t>
  </si>
  <si>
    <t>F5SD31</t>
  </si>
  <si>
    <t>F5S503</t>
  </si>
  <si>
    <t>F5S904</t>
  </si>
  <si>
    <t>F5S205</t>
  </si>
  <si>
    <t>F5SH18</t>
  </si>
  <si>
    <t>V50G0JP5</t>
  </si>
  <si>
    <t>V50G0SGE</t>
  </si>
  <si>
    <t>V50G0RY4</t>
  </si>
  <si>
    <t>V52G02K9</t>
  </si>
  <si>
    <t>V50G0HG1</t>
  </si>
  <si>
    <t>V50G0N0P</t>
  </si>
  <si>
    <t>V50G0Q6R</t>
  </si>
  <si>
    <t>V50G0T5N</t>
  </si>
  <si>
    <t>V52G01MN</t>
  </si>
  <si>
    <t>V50G0R44</t>
  </si>
  <si>
    <t>L5S280</t>
  </si>
  <si>
    <t>F5SC06</t>
  </si>
  <si>
    <t>F5SA11</t>
  </si>
  <si>
    <t>F5SF68</t>
  </si>
  <si>
    <t>F5SF31</t>
  </si>
  <si>
    <t>F5SA41</t>
  </si>
  <si>
    <t>F5SE10</t>
  </si>
  <si>
    <t>F5S253</t>
  </si>
  <si>
    <t>F5S914</t>
  </si>
  <si>
    <t>F5S743</t>
  </si>
  <si>
    <t>F5SD99</t>
  </si>
  <si>
    <t>F5SD27</t>
  </si>
  <si>
    <t>F5SB04</t>
  </si>
  <si>
    <t>F5S948</t>
  </si>
  <si>
    <t>REPA0300</t>
  </si>
  <si>
    <t>F5SA36</t>
  </si>
  <si>
    <t>F5SD14</t>
  </si>
  <si>
    <t>F5SB02</t>
  </si>
  <si>
    <t>F5S722</t>
  </si>
  <si>
    <t>F5S257</t>
  </si>
  <si>
    <t>F5S867</t>
  </si>
  <si>
    <t>F5SB24</t>
  </si>
  <si>
    <t>F5S753</t>
  </si>
  <si>
    <t>F5S258</t>
  </si>
  <si>
    <t>F5S709</t>
  </si>
  <si>
    <t>F5S465</t>
  </si>
  <si>
    <t>F5SA89</t>
  </si>
  <si>
    <t>F5S432</t>
  </si>
  <si>
    <t>F5S475</t>
  </si>
  <si>
    <t>F5S960</t>
  </si>
  <si>
    <t>F5SE03</t>
  </si>
  <si>
    <t>F5S453</t>
  </si>
  <si>
    <t>F5SA72</t>
  </si>
  <si>
    <t>F5SF63</t>
  </si>
  <si>
    <t>F5SD18</t>
  </si>
  <si>
    <t>F5SE11</t>
  </si>
  <si>
    <t>F5SA03</t>
  </si>
  <si>
    <t>F5S472</t>
  </si>
  <si>
    <t>F5SE34</t>
  </si>
  <si>
    <t>F5S621</t>
  </si>
  <si>
    <t>F5S677</t>
  </si>
  <si>
    <t>F5SC15</t>
  </si>
  <si>
    <t>F5SG61</t>
  </si>
  <si>
    <t>F5SB72</t>
  </si>
  <si>
    <t>F5S656</t>
  </si>
  <si>
    <t>F5S840</t>
  </si>
  <si>
    <t>F5S463</t>
  </si>
  <si>
    <t>F5S586</t>
  </si>
  <si>
    <t>F5SH13</t>
  </si>
  <si>
    <t>F5S574</t>
  </si>
  <si>
    <t>F5S859</t>
  </si>
  <si>
    <t>F5SD28</t>
  </si>
  <si>
    <t>F5S028</t>
  </si>
  <si>
    <t>F5S828</t>
  </si>
  <si>
    <t>F5S980</t>
  </si>
  <si>
    <t>F5SH14</t>
  </si>
  <si>
    <t>F5S541</t>
  </si>
  <si>
    <t>F5SA53</t>
  </si>
  <si>
    <t>F5S517</t>
  </si>
  <si>
    <t>F5SB26</t>
  </si>
  <si>
    <t>F5S092</t>
  </si>
  <si>
    <t>FPAUV01M</t>
  </si>
  <si>
    <t>PFLN0200</t>
  </si>
  <si>
    <t>STKL0300</t>
  </si>
  <si>
    <t>STKL0301</t>
  </si>
  <si>
    <t>PIPR0300</t>
  </si>
  <si>
    <t>PFLN0100</t>
  </si>
  <si>
    <t>F5SE68</t>
  </si>
  <si>
    <t>F5SC67</t>
  </si>
  <si>
    <t>F5SD21</t>
  </si>
  <si>
    <t>F5SF82</t>
  </si>
  <si>
    <t>F5S588</t>
  </si>
  <si>
    <t>STKL0100</t>
  </si>
  <si>
    <t>STKL0101</t>
  </si>
  <si>
    <t>F5S252</t>
  </si>
  <si>
    <t>F5S431</t>
  </si>
  <si>
    <t>F5S800</t>
  </si>
  <si>
    <t>F5S878</t>
  </si>
  <si>
    <t>F5SE50</t>
  </si>
  <si>
    <t>OGH313BFS4</t>
  </si>
  <si>
    <t>OGR010XKS4</t>
  </si>
  <si>
    <t>L5S255</t>
  </si>
  <si>
    <t>F5S491</t>
  </si>
  <si>
    <t>V50G0M70</t>
  </si>
  <si>
    <t>V50G0T14</t>
  </si>
  <si>
    <t>V50G0R2W</t>
  </si>
  <si>
    <t>V50G0TA5</t>
  </si>
  <si>
    <t>FGREOCFCG40R001A</t>
  </si>
  <si>
    <t>V50G0521</t>
  </si>
  <si>
    <t>V50G0LD2</t>
  </si>
  <si>
    <t>V50G0M8Y</t>
  </si>
  <si>
    <t>V50G0PVQ</t>
  </si>
  <si>
    <t>V50G0R6N</t>
  </si>
  <si>
    <t>V50G0T48</t>
  </si>
  <si>
    <t>V50G0T73</t>
  </si>
  <si>
    <t>V52G07CE</t>
  </si>
  <si>
    <t>PACKSA08</t>
  </si>
  <si>
    <t>V50G0Q8V</t>
  </si>
  <si>
    <t>V50G0SGD</t>
  </si>
  <si>
    <t>V50G0A6W</t>
  </si>
  <si>
    <t>V50G0SLN</t>
  </si>
  <si>
    <t>V50G08CC</t>
  </si>
  <si>
    <t>V50G0HMS</t>
  </si>
  <si>
    <t>V50G0TAY</t>
  </si>
  <si>
    <t>V50G0H4W</t>
  </si>
  <si>
    <t>F5S544</t>
  </si>
  <si>
    <t>F5S679</t>
  </si>
  <si>
    <t>FG7017XSQ60R001A</t>
  </si>
  <si>
    <t>F5S555</t>
  </si>
  <si>
    <t>F5S697</t>
  </si>
  <si>
    <t>F5SF24</t>
  </si>
  <si>
    <t>F5SD70</t>
  </si>
  <si>
    <t>OGH313BFS400001A</t>
  </si>
  <si>
    <t>OGL318XSSA</t>
  </si>
  <si>
    <t>OGL318XSSA00001A</t>
  </si>
  <si>
    <t>F5SG38</t>
  </si>
  <si>
    <t>L5S303</t>
  </si>
  <si>
    <t>OGR010XKS400001A</t>
  </si>
  <si>
    <t>FGARDPNFF4</t>
  </si>
  <si>
    <t>FGRECXKC550R001R</t>
  </si>
  <si>
    <t>V50G000S</t>
  </si>
  <si>
    <t>SA6</t>
  </si>
  <si>
    <t>V50G0HEG</t>
  </si>
  <si>
    <t>V50G0NCZ</t>
  </si>
  <si>
    <t>V50G0HS0</t>
  </si>
  <si>
    <t>V50G0T8W</t>
  </si>
  <si>
    <t>F5D003</t>
  </si>
  <si>
    <t>F5S549</t>
  </si>
  <si>
    <t>F5S299</t>
  </si>
  <si>
    <t>F5SF62</t>
  </si>
  <si>
    <t>F5S455</t>
  </si>
  <si>
    <t>T5S075</t>
  </si>
  <si>
    <t>T5S449</t>
  </si>
  <si>
    <t>T5S072</t>
  </si>
  <si>
    <t>T5ZB64</t>
  </si>
  <si>
    <t>T5S333</t>
  </si>
  <si>
    <t>FGREBSFCG49R001U</t>
  </si>
  <si>
    <t>V50G09XE</t>
  </si>
  <si>
    <t>V50G0HVR</t>
  </si>
  <si>
    <t>V50G0JGE</t>
  </si>
  <si>
    <t>V50G0N01</t>
  </si>
  <si>
    <t>V50G0JHH</t>
  </si>
  <si>
    <t>V50G0LNK</t>
  </si>
  <si>
    <t>V50G0PZE</t>
  </si>
  <si>
    <t>V50G0QD0</t>
  </si>
  <si>
    <t>V50G0TBK</t>
  </si>
  <si>
    <t>V52G040H</t>
  </si>
  <si>
    <t>V52G07B0</t>
  </si>
  <si>
    <t>V50G0GTZ</t>
  </si>
  <si>
    <t>V50G0J47</t>
  </si>
  <si>
    <t>V50G0KAE</t>
  </si>
  <si>
    <t>V50G0L6H</t>
  </si>
  <si>
    <t>V50G0M7N</t>
  </si>
  <si>
    <t>V50G0PVP</t>
  </si>
  <si>
    <t>V50G0QW6</t>
  </si>
  <si>
    <t>V50G0R35</t>
  </si>
  <si>
    <t>V50G0SY6</t>
  </si>
  <si>
    <t>V50G0T2S</t>
  </si>
  <si>
    <t>V50G0T78</t>
  </si>
  <si>
    <t>V50G0T96</t>
  </si>
  <si>
    <t>V52G01H2</t>
  </si>
  <si>
    <t>V52G041E</t>
  </si>
  <si>
    <t>F5D012</t>
  </si>
  <si>
    <t>V50G0SVX</t>
  </si>
  <si>
    <t>F5S581</t>
  </si>
  <si>
    <t>FGDMPOOL0490002H</t>
  </si>
  <si>
    <t>F5S031</t>
  </si>
  <si>
    <t>F5S464</t>
  </si>
  <si>
    <t>L5S371</t>
  </si>
  <si>
    <t>FGD317CXS300003A</t>
  </si>
  <si>
    <t>FGD317CXS300004A</t>
  </si>
  <si>
    <t>V50G0ACM</t>
  </si>
  <si>
    <t>F5S197</t>
  </si>
  <si>
    <t>F5SA22</t>
  </si>
  <si>
    <t>F5S225</t>
  </si>
  <si>
    <t>F5S824</t>
  </si>
  <si>
    <t>F5S001</t>
  </si>
  <si>
    <t>F5SF91</t>
  </si>
  <si>
    <t>F5S050</t>
  </si>
  <si>
    <t>FG8050XXS100004Y</t>
  </si>
  <si>
    <t>V50G0JTZ</t>
  </si>
  <si>
    <t>V50G0RYP</t>
  </si>
  <si>
    <t>V52G07D0</t>
  </si>
  <si>
    <t>V50G0L8T</t>
  </si>
  <si>
    <t>V50G0PYD</t>
  </si>
  <si>
    <t>V50G0JVZ</t>
  </si>
  <si>
    <t>V50G0K50</t>
  </si>
  <si>
    <t>V50G0N1J</t>
  </si>
  <si>
    <t>V50G0NTR</t>
  </si>
  <si>
    <t>V50G0NXP</t>
  </si>
  <si>
    <t>V50G0RD0</t>
  </si>
  <si>
    <t>V50G04VM</t>
  </si>
  <si>
    <t>V50G0GPJ</t>
  </si>
  <si>
    <t>V50G0J1F</t>
  </si>
  <si>
    <t>V50G0JN7</t>
  </si>
  <si>
    <t>V50G0KR0</t>
  </si>
  <si>
    <t>V50G0L19</t>
  </si>
  <si>
    <t>V50G0L49</t>
  </si>
  <si>
    <t>V50G0SYW</t>
  </si>
  <si>
    <t>V50G0TAK</t>
  </si>
  <si>
    <t>V52G01PL</t>
  </si>
  <si>
    <t>V50G04S2</t>
  </si>
  <si>
    <t>V50G0LP3</t>
  </si>
  <si>
    <t>V50G0ME4</t>
  </si>
  <si>
    <t>V50G0MEE</t>
  </si>
  <si>
    <t>V50G0PK2</t>
  </si>
  <si>
    <t>V50G0T5D</t>
  </si>
  <si>
    <t>V50G089P</t>
  </si>
  <si>
    <t>V52G01RR</t>
  </si>
  <si>
    <t>V52G02HT</t>
  </si>
  <si>
    <t>V50G0H0P</t>
  </si>
  <si>
    <t>FGREOCKCG52R001B</t>
  </si>
  <si>
    <t>F5S699</t>
  </si>
  <si>
    <t>V50G0R3R</t>
  </si>
  <si>
    <t>V50G0P8Z</t>
  </si>
  <si>
    <t>V50G0T21</t>
  </si>
  <si>
    <t>PACKSB08</t>
  </si>
  <si>
    <t>V50G0N0D</t>
  </si>
  <si>
    <t>V50G0NEL</t>
  </si>
  <si>
    <t>F5SD81</t>
  </si>
  <si>
    <t>F5S841</t>
  </si>
  <si>
    <t>FG5712BXS100005A</t>
  </si>
  <si>
    <t>F5SH46</t>
  </si>
  <si>
    <t>F5SF79</t>
  </si>
  <si>
    <t>FGD317BXS400001A</t>
  </si>
  <si>
    <t>F5SB56</t>
  </si>
  <si>
    <t>FGE021EWS50E005R</t>
  </si>
  <si>
    <t>F5S332</t>
  </si>
  <si>
    <t>FGE021XXS400003K</t>
  </si>
  <si>
    <t>FGE021XXS400004Y</t>
  </si>
  <si>
    <t>FGR010XKS100003A</t>
  </si>
  <si>
    <t>F5SD30</t>
  </si>
  <si>
    <t>FGR910XKS1</t>
  </si>
  <si>
    <t>FGR910XKS10E005A</t>
  </si>
  <si>
    <t>F5SE91</t>
  </si>
  <si>
    <t>L5S293</t>
  </si>
  <si>
    <t>F5S153</t>
  </si>
  <si>
    <t>F5S977</t>
  </si>
  <si>
    <t>FGD330XFSA</t>
  </si>
  <si>
    <t>FGD330XFSA0E005A</t>
  </si>
  <si>
    <t>FGG004XFS1</t>
  </si>
  <si>
    <t>FGG004XFS10E005A</t>
  </si>
  <si>
    <t>F5S885</t>
  </si>
  <si>
    <t>V50G0SYV</t>
  </si>
  <si>
    <t>F5SA52</t>
  </si>
  <si>
    <t>F5SG21</t>
  </si>
  <si>
    <t>F5SD20</t>
  </si>
  <si>
    <t>F5D014</t>
  </si>
  <si>
    <t>V50G08CV</t>
  </si>
  <si>
    <t>V50G0G6P</t>
  </si>
  <si>
    <t>V50G0G9P</t>
  </si>
  <si>
    <t>V50G0GKH</t>
  </si>
  <si>
    <t>V50G0MMJ</t>
  </si>
  <si>
    <t>V50G0PPL</t>
  </si>
  <si>
    <t>V50G0R6M</t>
  </si>
  <si>
    <t>V50G0RFY</t>
  </si>
  <si>
    <t>V50G0SCG</t>
  </si>
  <si>
    <t>V50G0T8X</t>
  </si>
  <si>
    <t>V50G0T8Z</t>
  </si>
  <si>
    <t>V50G0TCL</t>
  </si>
  <si>
    <t>V50G0TDG</t>
  </si>
  <si>
    <t>V50G0TFD</t>
  </si>
  <si>
    <t>V52G024B</t>
  </si>
  <si>
    <t>OG9003XWS1</t>
  </si>
  <si>
    <t>OG9003XWS100001A</t>
  </si>
  <si>
    <t>F5S762</t>
  </si>
  <si>
    <t>OGA130XVS2</t>
  </si>
  <si>
    <t>OGA130XVS200001A</t>
  </si>
  <si>
    <t>F5SD71</t>
  </si>
  <si>
    <t>V50G0K8E</t>
  </si>
  <si>
    <t>V50G0T3L</t>
  </si>
  <si>
    <t>V50G0PWG</t>
  </si>
  <si>
    <t>RCS0</t>
  </si>
  <si>
    <t>V50G0TDE</t>
  </si>
  <si>
    <t>OGD317XXS1</t>
  </si>
  <si>
    <t>OGD317XXS100001A</t>
  </si>
  <si>
    <t>V50G0TFG</t>
  </si>
  <si>
    <t>V50G0GAM</t>
  </si>
  <si>
    <t>V50G0SZ7</t>
  </si>
  <si>
    <t>V50G0DXB</t>
  </si>
  <si>
    <t>V50G0M7M</t>
  </si>
  <si>
    <t>V50G0SVK</t>
  </si>
  <si>
    <t>V50G0SA6</t>
  </si>
  <si>
    <t>FGREBSHC57</t>
  </si>
  <si>
    <t>FGREBSHC570R001A</t>
  </si>
  <si>
    <t>V50G0K4F</t>
  </si>
  <si>
    <t>V50G0JP4</t>
  </si>
  <si>
    <t>V50G0K4G</t>
  </si>
  <si>
    <t>V50G0HMB</t>
  </si>
  <si>
    <t>V50G0K4A</t>
  </si>
  <si>
    <t>V50G0K49</t>
  </si>
  <si>
    <t>V50G0AEZ</t>
  </si>
  <si>
    <t>FGC316XFSA00005B</t>
  </si>
  <si>
    <t>F5S891</t>
  </si>
  <si>
    <t>F5S457</t>
  </si>
  <si>
    <t>FGE505XFSB00005B</t>
  </si>
  <si>
    <t>FGL314BHSA</t>
  </si>
  <si>
    <t>FGL314BHSA0E005A</t>
  </si>
  <si>
    <t>FGL314DHSA8E005A</t>
  </si>
  <si>
    <t>FGL314DHSA8E005B</t>
  </si>
  <si>
    <t>F5D019</t>
  </si>
  <si>
    <t>FGU008XKSA</t>
  </si>
  <si>
    <t>F5SH08</t>
  </si>
  <si>
    <t>F5S982</t>
  </si>
  <si>
    <t>F5SA77</t>
  </si>
  <si>
    <t>F5S492</t>
  </si>
  <si>
    <t>F5S803</t>
  </si>
  <si>
    <t>F5SB65</t>
  </si>
  <si>
    <t>F5SE48</t>
  </si>
  <si>
    <t>F5SF67</t>
  </si>
  <si>
    <t>FGE021GFS3</t>
  </si>
  <si>
    <t>FGE021GFS30E005A</t>
  </si>
  <si>
    <t>FGF644BFQ290001A</t>
  </si>
  <si>
    <t>F5S874</t>
  </si>
  <si>
    <t>F5S963</t>
  </si>
  <si>
    <t>F5SE44</t>
  </si>
  <si>
    <t>F5S770</t>
  </si>
  <si>
    <t>F5SF71</t>
  </si>
  <si>
    <t>F5S739</t>
  </si>
  <si>
    <t>F5S970</t>
  </si>
  <si>
    <t>FGD317BXS400002A</t>
  </si>
  <si>
    <t>F5S013</t>
  </si>
  <si>
    <t>F5SD85</t>
  </si>
  <si>
    <t>F5S456</t>
  </si>
  <si>
    <t>F5S282</t>
  </si>
  <si>
    <t>F5S704</t>
  </si>
  <si>
    <t>FGR015BFS1</t>
  </si>
  <si>
    <t>FGR015BFS10E005A</t>
  </si>
  <si>
    <t>FGR015BFS10E005B</t>
  </si>
  <si>
    <t>FGF658BXS100003A</t>
  </si>
  <si>
    <t>F5S519</t>
  </si>
  <si>
    <t>F5SA82</t>
  </si>
  <si>
    <t>F5SA90</t>
  </si>
  <si>
    <t>F5SE31</t>
  </si>
  <si>
    <t>F5SB28</t>
  </si>
  <si>
    <t>F5S171</t>
  </si>
  <si>
    <t>F5SH10</t>
  </si>
  <si>
    <t>F5S471</t>
  </si>
  <si>
    <t>F5S438</t>
  </si>
  <si>
    <t>F5S964</t>
  </si>
  <si>
    <t>F5SB98</t>
  </si>
  <si>
    <t>F5SF93</t>
  </si>
  <si>
    <t>FG6406XFS100001A</t>
  </si>
  <si>
    <t>F5S951</t>
  </si>
  <si>
    <t>F5SF76</t>
  </si>
  <si>
    <t>F5SF81</t>
  </si>
  <si>
    <t>F5S935</t>
  </si>
  <si>
    <t>F5S784</t>
  </si>
  <si>
    <t>F5S988</t>
  </si>
  <si>
    <t>F5SD09</t>
  </si>
  <si>
    <t>F5SF30</t>
  </si>
  <si>
    <t>F5S855</t>
  </si>
  <si>
    <t>F5S996</t>
  </si>
  <si>
    <t>F5S274</t>
  </si>
  <si>
    <t>T5S017</t>
  </si>
  <si>
    <t>L5S291</t>
  </si>
  <si>
    <t>L5S311</t>
  </si>
  <si>
    <t>F5S673</t>
  </si>
  <si>
    <t>T5S125</t>
  </si>
  <si>
    <t>FG6516BFS1</t>
  </si>
  <si>
    <t>FG6516BFS10E002A</t>
  </si>
  <si>
    <t>F5S869</t>
  </si>
  <si>
    <t>F5SC17</t>
  </si>
  <si>
    <t>F5SF29</t>
  </si>
  <si>
    <t>F5SE30</t>
  </si>
  <si>
    <t>F5SE59</t>
  </si>
  <si>
    <t>F5S537</t>
  </si>
  <si>
    <t>F5S601</t>
  </si>
  <si>
    <t>FGF647BFS3</t>
  </si>
  <si>
    <t>F5SE73</t>
  </si>
  <si>
    <t>F5S270</t>
  </si>
  <si>
    <t>F5SE62</t>
  </si>
  <si>
    <t>F5SG34</t>
  </si>
  <si>
    <t>FGR014XKS10E005A</t>
  </si>
  <si>
    <t>F5S925</t>
  </si>
  <si>
    <t>FGF654BFQ1</t>
  </si>
  <si>
    <t>FGF654BFQ10E001A</t>
  </si>
  <si>
    <t>F5S811</t>
  </si>
  <si>
    <t>F5S750</t>
  </si>
  <si>
    <t>F5S167</t>
  </si>
  <si>
    <t>F5S200</t>
  </si>
  <si>
    <t>F5S772</t>
  </si>
  <si>
    <t>F5S757</t>
  </si>
  <si>
    <t>F5SA94</t>
  </si>
  <si>
    <t>F5S303</t>
  </si>
  <si>
    <t>F5S723</t>
  </si>
  <si>
    <t>F5SA74</t>
  </si>
  <si>
    <t>L5S451</t>
  </si>
  <si>
    <t>L5S282</t>
  </si>
  <si>
    <t>L5S283</t>
  </si>
  <si>
    <t>L5S428</t>
  </si>
  <si>
    <t>L5S393</t>
  </si>
  <si>
    <t>FGH313BFS2</t>
  </si>
  <si>
    <t>FGH313BFS200005A</t>
  </si>
  <si>
    <t>L5S397</t>
  </si>
  <si>
    <t>L5S352</t>
  </si>
  <si>
    <t>F5SF32</t>
  </si>
  <si>
    <t>FGF647BFS300005A</t>
  </si>
  <si>
    <t>F5SA43</t>
  </si>
  <si>
    <t>F5SA64</t>
  </si>
  <si>
    <t>F5D013</t>
  </si>
  <si>
    <t>V50G0JLQ</t>
  </si>
  <si>
    <t>V50G0T83</t>
  </si>
  <si>
    <t>V50G0A72</t>
  </si>
  <si>
    <t>V50G09VV</t>
  </si>
  <si>
    <t>V50G0A3W</t>
  </si>
  <si>
    <t>V50G0DLK</t>
  </si>
  <si>
    <t>V50G0EH6</t>
  </si>
  <si>
    <t>V50G0FLQ</t>
  </si>
  <si>
    <t>V50G0HZE</t>
  </si>
  <si>
    <t>V50G0J7V</t>
  </si>
  <si>
    <t>V50G0JNW</t>
  </si>
  <si>
    <t>V50G0K8Q</t>
  </si>
  <si>
    <t>V50G0L1W</t>
  </si>
  <si>
    <t>V50G0LC1</t>
  </si>
  <si>
    <t>V50G0LKG</t>
  </si>
  <si>
    <t>V50G0LYV</t>
  </si>
  <si>
    <t>V50G0M71</t>
  </si>
  <si>
    <t>V50G0MMK</t>
  </si>
  <si>
    <t>V50G0N26</t>
  </si>
  <si>
    <t>V50G0PJ0</t>
  </si>
  <si>
    <t>V50G0PTP</t>
  </si>
  <si>
    <t>V50G0T6P</t>
  </si>
  <si>
    <t>V50G0HRR</t>
  </si>
  <si>
    <t>V50G0KLV</t>
  </si>
  <si>
    <t>V50G0H18</t>
  </si>
  <si>
    <t>V50G0LKN</t>
  </si>
  <si>
    <t>V50G0RC2</t>
  </si>
  <si>
    <t>V50G0RCV</t>
  </si>
  <si>
    <t>V52G01ZM</t>
  </si>
  <si>
    <t>V50G0N2X</t>
  </si>
  <si>
    <t>V50G0T1C</t>
  </si>
  <si>
    <t>L5S348</t>
  </si>
  <si>
    <t>F5S870</t>
  </si>
  <si>
    <t>F5SA92</t>
  </si>
  <si>
    <t>PIPR0100</t>
  </si>
  <si>
    <t>F5S817</t>
  </si>
  <si>
    <t>F5S467</t>
  </si>
  <si>
    <t>F5SC44</t>
  </si>
  <si>
    <t>F5SE77</t>
  </si>
  <si>
    <t>V52G0607</t>
  </si>
  <si>
    <t>V50G0FWB</t>
  </si>
  <si>
    <t>V52G01M1</t>
  </si>
  <si>
    <t>OHGC0100</t>
  </si>
  <si>
    <t>F5S339</t>
  </si>
  <si>
    <t>OHGC0500</t>
  </si>
  <si>
    <t>F5S180</t>
  </si>
  <si>
    <t>F5SD89</t>
  </si>
  <si>
    <t>F5SA83</t>
  </si>
  <si>
    <t>F5S122</t>
  </si>
  <si>
    <t>F5S930</t>
  </si>
  <si>
    <t>F5SG76</t>
  </si>
  <si>
    <t>F5S749</t>
  </si>
  <si>
    <t>F5S607</t>
  </si>
  <si>
    <t>F5S766</t>
  </si>
  <si>
    <t>F5S207</t>
  </si>
  <si>
    <t>F5SA76</t>
  </si>
  <si>
    <t>F5S850</t>
  </si>
  <si>
    <t>F5S202</t>
  </si>
  <si>
    <t>F5S105</t>
  </si>
  <si>
    <t>F5S150</t>
  </si>
  <si>
    <t>F5SG40</t>
  </si>
  <si>
    <t>F5S976</t>
  </si>
  <si>
    <t>F5S369</t>
  </si>
  <si>
    <t>F5SF05</t>
  </si>
  <si>
    <t>F5S894</t>
  </si>
  <si>
    <t>F5S308</t>
  </si>
  <si>
    <t>CNVR0500</t>
  </si>
  <si>
    <t>F5SE40</t>
  </si>
  <si>
    <t>F5S998</t>
  </si>
  <si>
    <t>F5S746</t>
  </si>
  <si>
    <t>F5S297</t>
  </si>
  <si>
    <t>F5SF78</t>
  </si>
  <si>
    <t>F5SD19</t>
  </si>
  <si>
    <t>F5SD87</t>
  </si>
  <si>
    <t>F5SD94</t>
  </si>
  <si>
    <t>F5S454</t>
  </si>
  <si>
    <t>F5S073</t>
  </si>
  <si>
    <t>F5S603</t>
  </si>
  <si>
    <t>F5SC37</t>
  </si>
  <si>
    <t>F5S309</t>
  </si>
  <si>
    <t>F5SD57</t>
  </si>
  <si>
    <t>F5SG44</t>
  </si>
  <si>
    <t>INRE0100</t>
  </si>
  <si>
    <t>F5S367</t>
  </si>
  <si>
    <t>F5S344</t>
  </si>
  <si>
    <t>F5S173</t>
  </si>
  <si>
    <t>F5SC12</t>
  </si>
  <si>
    <t>F5S305</t>
  </si>
  <si>
    <t>F5S366</t>
  </si>
  <si>
    <t>F5S759</t>
  </si>
  <si>
    <t>F5SD95</t>
  </si>
  <si>
    <t>F5SC80</t>
  </si>
  <si>
    <t>F5S112</t>
  </si>
  <si>
    <t>F5S378</t>
  </si>
  <si>
    <t>F5S126</t>
  </si>
  <si>
    <t>F5S563</t>
  </si>
  <si>
    <t>F5SD96</t>
  </si>
  <si>
    <t>F5S834</t>
  </si>
  <si>
    <t>F5S717</t>
  </si>
  <si>
    <t>F5S478</t>
  </si>
  <si>
    <t>F5SD05</t>
  </si>
  <si>
    <t>F5SC14</t>
  </si>
  <si>
    <t>F5S035</t>
  </si>
  <si>
    <t>F5SG25</t>
  </si>
  <si>
    <t>F5SC98</t>
  </si>
  <si>
    <t>F5SB22</t>
  </si>
  <si>
    <t>F5SF04</t>
  </si>
  <si>
    <t>F5S395</t>
  </si>
  <si>
    <t>F5S715</t>
  </si>
  <si>
    <t>F5S863</t>
  </si>
  <si>
    <t>F5SA26</t>
  </si>
  <si>
    <t>F5SC57</t>
  </si>
  <si>
    <t>F5S247</t>
  </si>
  <si>
    <t>F5SD97</t>
  </si>
  <si>
    <t>V50G04RV</t>
  </si>
  <si>
    <t>V50G0LEV</t>
  </si>
  <si>
    <t>V50G0LTR</t>
  </si>
  <si>
    <t>V50G0Q4Z</t>
  </si>
  <si>
    <t>V50G0Q81</t>
  </si>
  <si>
    <t>V52G04LQ</t>
  </si>
  <si>
    <t>V52G054F</t>
  </si>
  <si>
    <t>F5SF06</t>
  </si>
  <si>
    <t>F5S085</t>
  </si>
  <si>
    <t>F5S181</t>
  </si>
  <si>
    <t>F5SC97</t>
  </si>
  <si>
    <t>F5SD77</t>
  </si>
  <si>
    <t>F5SE20</t>
  </si>
  <si>
    <t>F5SF08</t>
  </si>
  <si>
    <t>F5SC59</t>
  </si>
  <si>
    <t>F5S619</t>
  </si>
  <si>
    <t>F5S790</t>
  </si>
  <si>
    <t>F5SB99</t>
  </si>
  <si>
    <t>F5SG42</t>
  </si>
  <si>
    <t>F5S826</t>
  </si>
  <si>
    <t>F5S921</t>
  </si>
  <si>
    <t>F5S910</t>
  </si>
  <si>
    <t>F5SC01</t>
  </si>
  <si>
    <t>F5S742</t>
  </si>
  <si>
    <t>F5S643</t>
  </si>
  <si>
    <t>F5SF44</t>
  </si>
  <si>
    <t>F5SF64</t>
  </si>
  <si>
    <t>F5S081</t>
  </si>
  <si>
    <t>F5SH04</t>
  </si>
  <si>
    <t>F5SE87</t>
  </si>
  <si>
    <t>F5S796</t>
  </si>
  <si>
    <t>F5S965</t>
  </si>
  <si>
    <t>F5S350</t>
  </si>
  <si>
    <t>F5SH30</t>
  </si>
  <si>
    <t>F5S545</t>
  </si>
  <si>
    <t>F5S385</t>
  </si>
  <si>
    <t>F5S461</t>
  </si>
  <si>
    <t>F5SA47</t>
  </si>
  <si>
    <t>F5S162</t>
  </si>
  <si>
    <t>F5S347</t>
  </si>
  <si>
    <t>SUM</t>
    <phoneticPr fontId="1" type="noConversion"/>
  </si>
  <si>
    <t>F5SE83</t>
  </si>
  <si>
    <t>F5SD61</t>
  </si>
  <si>
    <t>F5S187</t>
  </si>
  <si>
    <t>F5S319</t>
  </si>
  <si>
    <t>F5S235</t>
  </si>
  <si>
    <t>F5S192</t>
  </si>
  <si>
    <t>F5SB57</t>
  </si>
  <si>
    <t>F5S151</t>
  </si>
  <si>
    <t>F5S326</t>
  </si>
  <si>
    <t>F5SF54</t>
  </si>
  <si>
    <t>L5S433</t>
  </si>
  <si>
    <t>F5SA63</t>
  </si>
  <si>
    <t>F5S789</t>
  </si>
  <si>
    <t>F5S064</t>
  </si>
  <si>
    <t>FGD317CFS3</t>
  </si>
  <si>
    <t>FGD317CFS30E003A</t>
  </si>
  <si>
    <t>CNVR0200</t>
  </si>
  <si>
    <t>F5S093</t>
  </si>
  <si>
    <t>F5SE57</t>
  </si>
  <si>
    <t>F5SA51</t>
  </si>
  <si>
    <t>F5S845</t>
  </si>
  <si>
    <t>STKC03C1</t>
  </si>
  <si>
    <t>F5SC33</t>
  </si>
  <si>
    <t>CNVR0400</t>
  </si>
  <si>
    <t>F5S640</t>
  </si>
  <si>
    <t>F5S837</t>
  </si>
  <si>
    <t>F5S117</t>
  </si>
  <si>
    <t>F5S084</t>
  </si>
  <si>
    <t>F5S034</t>
  </si>
  <si>
    <t>F5SC77</t>
  </si>
  <si>
    <t>F5SE56</t>
  </si>
  <si>
    <t>F5S175</t>
  </si>
  <si>
    <t>F5S382</t>
  </si>
  <si>
    <t>V50G0G3T</t>
  </si>
  <si>
    <t>V50G0RED</t>
  </si>
  <si>
    <t>IOCV0200</t>
  </si>
  <si>
    <t>F5SG31</t>
  </si>
  <si>
    <t>F5SF48</t>
  </si>
  <si>
    <t>F5S279</t>
  </si>
  <si>
    <t>F5S341</t>
  </si>
  <si>
    <t>F5S168</t>
  </si>
  <si>
    <t>F5S953</t>
  </si>
  <si>
    <t>F5S562</t>
  </si>
  <si>
    <t>F5SB66</t>
  </si>
  <si>
    <t>F5SG33</t>
  </si>
  <si>
    <t>F5SF11</t>
  </si>
  <si>
    <t>F5S645</t>
  </si>
  <si>
    <t>F5S380</t>
  </si>
  <si>
    <t>F5SD06</t>
  </si>
  <si>
    <t>F5S832</t>
  </si>
  <si>
    <t>F5SH12</t>
  </si>
  <si>
    <t>F5S051</t>
  </si>
  <si>
    <t>F5S095</t>
  </si>
  <si>
    <t>F5S376</t>
  </si>
  <si>
    <t>F5SC02</t>
  </si>
  <si>
    <t>F5S842</t>
  </si>
  <si>
    <t>F5SB80</t>
  </si>
  <si>
    <t>F5S157</t>
  </si>
  <si>
    <t>F5SC25</t>
  </si>
  <si>
    <t>F5SD17</t>
  </si>
  <si>
    <t>F5SG79</t>
  </si>
  <si>
    <t>F5SF95</t>
  </si>
  <si>
    <t>F5S557</t>
  </si>
  <si>
    <t>F5SC65</t>
  </si>
  <si>
    <t>FMAC0100</t>
  </si>
  <si>
    <t>F5SC91</t>
  </si>
  <si>
    <t>F5S849</t>
  </si>
  <si>
    <t>52A1</t>
  </si>
  <si>
    <t>F5S606</t>
  </si>
  <si>
    <t>F5SG50</t>
  </si>
  <si>
    <t>F5S259</t>
  </si>
  <si>
    <t>F5S176</t>
  </si>
  <si>
    <t>F5S783</t>
  </si>
  <si>
    <t>F5S094</t>
  </si>
  <si>
    <t>F5S284</t>
  </si>
  <si>
    <t>F5S724</t>
  </si>
  <si>
    <t>F5S251</t>
  </si>
  <si>
    <t>PSME0100</t>
  </si>
  <si>
    <t>F5S006</t>
  </si>
  <si>
    <t>F5S254</t>
  </si>
  <si>
    <t>F5S602</t>
  </si>
  <si>
    <t>F5S848</t>
  </si>
  <si>
    <t>F5SC28</t>
  </si>
  <si>
    <t>F5S358</t>
  </si>
  <si>
    <t>F5SD26</t>
  </si>
  <si>
    <t>F5S388</t>
  </si>
  <si>
    <t>F5SA71</t>
  </si>
  <si>
    <t>F5SH06</t>
  </si>
  <si>
    <t>F5S410</t>
  </si>
  <si>
    <t>F5S561</t>
  </si>
  <si>
    <t>F5S966</t>
  </si>
  <si>
    <t>F5SA79</t>
  </si>
  <si>
    <t>CNVR2000</t>
  </si>
  <si>
    <t>85A1</t>
  </si>
  <si>
    <t>F5S037</t>
  </si>
  <si>
    <t>F5S808</t>
  </si>
  <si>
    <t>SORC0200</t>
  </si>
  <si>
    <t>F5S393</t>
  </si>
  <si>
    <t>F5S262</t>
  </si>
  <si>
    <t>2020-11-16 11.12.49</t>
  </si>
  <si>
    <t>2020-11-16 14.20.43</t>
  </si>
  <si>
    <t>F5S558</t>
  </si>
  <si>
    <t>2020-11-16 08.11.27</t>
  </si>
  <si>
    <t>F5SB12</t>
  </si>
  <si>
    <t>2020-11-16 09.30.41</t>
  </si>
  <si>
    <t>F5SD22</t>
  </si>
  <si>
    <t>2020-11-16 13.34.51</t>
  </si>
  <si>
    <t>F5SE42</t>
  </si>
  <si>
    <t>2020-11-16 12.04.43</t>
  </si>
  <si>
    <t>KC</t>
  </si>
  <si>
    <t>2020-11-16 09.36.57</t>
  </si>
  <si>
    <t>2020-11-16 12.43.10</t>
  </si>
  <si>
    <t>F5S696</t>
  </si>
  <si>
    <t>2020-11-16 13.53.32</t>
  </si>
  <si>
    <t>2020-11-16 10.50.35</t>
  </si>
  <si>
    <t>CST ID</t>
    <phoneticPr fontId="1" type="noConversion"/>
  </si>
  <si>
    <t>Date Time</t>
    <phoneticPr fontId="1" type="noConversion"/>
  </si>
  <si>
    <t>Gls Qty</t>
    <phoneticPr fontId="1" type="noConversion"/>
  </si>
  <si>
    <t>Pnl Qty</t>
    <phoneticPr fontId="1" type="noConversion"/>
  </si>
  <si>
    <t>F5SB16</t>
  </si>
  <si>
    <t>2020-11-16 08.28.01</t>
  </si>
  <si>
    <t>2020-11-16 14.27.36</t>
  </si>
  <si>
    <t>L5S247</t>
  </si>
  <si>
    <t>2020-11-16 08.51.49</t>
  </si>
  <si>
    <t>2020-11-16 13.39.16</t>
  </si>
  <si>
    <t>L5S378</t>
  </si>
  <si>
    <t>2020-11-16 10.01.57</t>
  </si>
  <si>
    <t>L5S380</t>
  </si>
  <si>
    <t>2020-11-16 14.03.38</t>
  </si>
  <si>
    <t>F5S604</t>
  </si>
  <si>
    <t>2020-11-16 11.29.18</t>
  </si>
  <si>
    <t>F5S778</t>
  </si>
  <si>
    <t>2020-11-16 11.04.16</t>
  </si>
  <si>
    <t>F5SH32</t>
  </si>
  <si>
    <t>2020-11-16 11.54.30</t>
  </si>
  <si>
    <t>SUM</t>
    <phoneticPr fontId="1" type="noConversion"/>
  </si>
  <si>
    <t>2020-11-16 13.42.31</t>
  </si>
  <si>
    <t>2020-11-16 13.53.53</t>
  </si>
  <si>
    <t>OGD317XXS3</t>
    <phoneticPr fontId="1" type="noConversion"/>
  </si>
  <si>
    <t>2020-11-16 12.43.28</t>
  </si>
  <si>
    <t>2020-11-16 12.23.06</t>
  </si>
  <si>
    <t>L5S432</t>
  </si>
  <si>
    <t>2020-11-16 10.49.31</t>
  </si>
  <si>
    <t>L5S220</t>
  </si>
  <si>
    <t>2020-11-16 11.53.43</t>
  </si>
  <si>
    <t>L5S223</t>
  </si>
  <si>
    <t>2020-11-16 13.33.23</t>
  </si>
  <si>
    <t>2020-11-16 14.07.02</t>
  </si>
  <si>
    <t>2020-11-16 13.50.03</t>
  </si>
  <si>
    <t>2020-11-16 13.11.32</t>
  </si>
  <si>
    <t>2020-11-16 14.02.02</t>
  </si>
  <si>
    <t>2020-11-16 14.11.23</t>
  </si>
  <si>
    <t>SA7JH4V</t>
  </si>
  <si>
    <t>F5S204</t>
  </si>
  <si>
    <t>SA7JH6K</t>
  </si>
  <si>
    <t>PIPR0400</t>
  </si>
  <si>
    <t>F5SF97</t>
  </si>
  <si>
    <t>SA7JH78</t>
  </si>
  <si>
    <t>5F60B145PROD</t>
  </si>
  <si>
    <t>FGF6472FH4X0</t>
  </si>
  <si>
    <t>FF60101M</t>
  </si>
  <si>
    <t>SA7JHE4</t>
  </si>
  <si>
    <t>F5S546</t>
  </si>
  <si>
    <t>SA7JHFJ</t>
  </si>
  <si>
    <t>F5SD72</t>
  </si>
  <si>
    <t>SA7JHFD</t>
  </si>
  <si>
    <t>5H30B153PROD</t>
  </si>
  <si>
    <t>FGH313XFF4E0</t>
  </si>
  <si>
    <t>FH30101M</t>
  </si>
  <si>
    <t>F5SF14</t>
  </si>
  <si>
    <t>SA7JHKG</t>
  </si>
  <si>
    <t>F5SB67</t>
  </si>
  <si>
    <t>SA7JHMK</t>
  </si>
  <si>
    <t>SA7JHQY</t>
  </si>
  <si>
    <t>5F60B163PROD</t>
  </si>
  <si>
    <t>FGF6592F74X0</t>
  </si>
  <si>
    <t>F5S540</t>
  </si>
  <si>
    <t>SA7JJ0P</t>
  </si>
  <si>
    <t>S2000</t>
  </si>
  <si>
    <t>F5SB69</t>
  </si>
  <si>
    <t>SA7JJ1A</t>
  </si>
  <si>
    <t>F5S669</t>
  </si>
  <si>
    <t>SA7JJ2A</t>
  </si>
  <si>
    <t>SA7JJ2X</t>
  </si>
  <si>
    <t>SA7JJBL</t>
  </si>
  <si>
    <t>SA7JJEV</t>
  </si>
  <si>
    <t>SA7JJHF</t>
  </si>
  <si>
    <t>F5SE02</t>
  </si>
  <si>
    <t>SA7JJLY</t>
  </si>
  <si>
    <t>F5S417</t>
  </si>
  <si>
    <t>SA7JJPD</t>
  </si>
  <si>
    <t>SA7JJTY</t>
  </si>
  <si>
    <t>SA7JJWV</t>
  </si>
  <si>
    <t>F5SB86</t>
  </si>
  <si>
    <t>SA7JK07</t>
  </si>
  <si>
    <t>F5SA60</t>
  </si>
  <si>
    <t>SA7JK3S</t>
  </si>
  <si>
    <t>5650B151PROD</t>
  </si>
  <si>
    <t>FG6521XF64X0</t>
  </si>
  <si>
    <t>F5SC40</t>
  </si>
  <si>
    <t>SA7JK5T</t>
  </si>
  <si>
    <t>SA7JK8V</t>
  </si>
  <si>
    <t>SA7JKC2</t>
  </si>
  <si>
    <t>F5S267</t>
  </si>
  <si>
    <t>SA7JKRZ</t>
  </si>
  <si>
    <t>STKC05C1</t>
  </si>
  <si>
    <t>STKC08C1</t>
  </si>
  <si>
    <t>FCF667XFQ1</t>
    <phoneticPr fontId="1" type="noConversion"/>
  </si>
  <si>
    <t>F5S558</t>
    <phoneticPr fontId="1" type="noConversion"/>
  </si>
  <si>
    <t>2020-11-16 10.05.07</t>
    <phoneticPr fontId="1" type="noConversion"/>
  </si>
  <si>
    <t>F5SB12</t>
    <phoneticPr fontId="1" type="noConversion"/>
  </si>
  <si>
    <t>2020-11-16 11.04.21</t>
    <phoneticPr fontId="1" type="noConversion"/>
  </si>
  <si>
    <t>F5SE50</t>
    <phoneticPr fontId="1" type="noConversion"/>
  </si>
  <si>
    <t>2020-11-16 12.53.40</t>
    <phoneticPr fontId="1" type="noConversion"/>
  </si>
  <si>
    <t>F5SE78</t>
    <phoneticPr fontId="1" type="noConversion"/>
  </si>
  <si>
    <t>2020-11-16 14.04.16</t>
    <phoneticPr fontId="1" type="noConversion"/>
  </si>
  <si>
    <t>F5SA30</t>
  </si>
  <si>
    <t>SA7JKT3</t>
  </si>
  <si>
    <t>SA7JKWN</t>
  </si>
  <si>
    <t>5550B164PROD</t>
  </si>
  <si>
    <t>FG5515XX6FX0</t>
  </si>
  <si>
    <t>F400201M</t>
  </si>
  <si>
    <t>F5SE49</t>
  </si>
  <si>
    <t>F5S479</t>
  </si>
  <si>
    <t>F5S089</t>
  </si>
  <si>
    <t>F5S529</t>
  </si>
  <si>
    <t>F5S660</t>
  </si>
  <si>
    <t>F5SA46</t>
  </si>
  <si>
    <t>F5SH16</t>
  </si>
  <si>
    <t>OGD317CFS1</t>
  </si>
  <si>
    <t>OGD317XWE2</t>
  </si>
  <si>
    <t>F5S161</t>
  </si>
  <si>
    <t>F5S442</t>
  </si>
  <si>
    <t>F5S086</t>
  </si>
  <si>
    <t>F5S118</t>
  </si>
  <si>
    <t>F5S246</t>
  </si>
  <si>
    <t>F5S435</t>
  </si>
  <si>
    <t>F5S506</t>
  </si>
  <si>
    <t>F5S934</t>
  </si>
  <si>
    <t>F5SG04</t>
  </si>
  <si>
    <t>F5SG05</t>
  </si>
  <si>
    <t>F5SG08</t>
  </si>
  <si>
    <t>F5SG12</t>
  </si>
  <si>
    <t>F5SG16</t>
  </si>
  <si>
    <t>F5S752</t>
  </si>
  <si>
    <t>F5SG06</t>
  </si>
  <si>
    <t>F5SG07</t>
  </si>
  <si>
    <t>F5SF19</t>
  </si>
  <si>
    <t>V50G0TBW</t>
  </si>
  <si>
    <t>FGREOCHCG7</t>
  </si>
  <si>
    <t>FGREOCHCG720001A</t>
  </si>
  <si>
    <t>V50G0TV0</t>
  </si>
  <si>
    <t>V50G0TTK</t>
  </si>
  <si>
    <t>V50G0PKG</t>
  </si>
  <si>
    <t>V50G0Q2G</t>
  </si>
  <si>
    <t>F5U003</t>
  </si>
  <si>
    <t>V50G0TVC</t>
  </si>
  <si>
    <t>OHGC0200</t>
  </si>
  <si>
    <t>FG6406XFS100005A</t>
  </si>
  <si>
    <t>FG7030XFS100003A</t>
  </si>
  <si>
    <t>F5S188</t>
  </si>
  <si>
    <t>F5S233</t>
  </si>
  <si>
    <t>F5S718</t>
  </si>
  <si>
    <t>F5SA20</t>
  </si>
  <si>
    <t>F5SB88</t>
  </si>
  <si>
    <t>F5S961</t>
  </si>
  <si>
    <t>FGA113CXS200005A</t>
  </si>
  <si>
    <t>F5S721</t>
  </si>
  <si>
    <t>FGD317CFS300001A</t>
  </si>
  <si>
    <t>FGD501XFSB</t>
  </si>
  <si>
    <t>FGD501XFSB0E005B</t>
  </si>
  <si>
    <t>F5SF47</t>
  </si>
  <si>
    <t>F5S687</t>
  </si>
  <si>
    <t>FGF659BFS100003A</t>
  </si>
  <si>
    <t>FGF670XFS100005A</t>
  </si>
  <si>
    <t>FGR010XKS100002E</t>
  </si>
  <si>
    <t>F5S116</t>
  </si>
  <si>
    <t>OGB610XFE1</t>
  </si>
  <si>
    <t>OGB610XFE100001A</t>
  </si>
  <si>
    <t>F5S949</t>
  </si>
  <si>
    <t>OGH313BFS2</t>
  </si>
  <si>
    <t>OGH313BFS200001A</t>
  </si>
  <si>
    <t>L5S381</t>
  </si>
  <si>
    <t>L5S274</t>
  </si>
  <si>
    <t>L5S440</t>
  </si>
  <si>
    <t>OGF647CFS8</t>
  </si>
  <si>
    <t>OGF647CFS800001A</t>
  </si>
  <si>
    <t>L5S308</t>
  </si>
  <si>
    <t>L5S444</t>
  </si>
  <si>
    <t>L5S215</t>
  </si>
  <si>
    <t>T5S434</t>
  </si>
  <si>
    <t>L5S319</t>
  </si>
  <si>
    <t>L5S366</t>
  </si>
  <si>
    <t>L5S246</t>
  </si>
  <si>
    <t>F5SB21</t>
  </si>
  <si>
    <t>FGREOAKC55</t>
  </si>
  <si>
    <t>FGREOAKC551R001A</t>
  </si>
  <si>
    <t>F5SF57</t>
  </si>
  <si>
    <t>F5S672</t>
  </si>
  <si>
    <t>FGREBSXCG40R001A</t>
  </si>
  <si>
    <t>V50G0GPK</t>
  </si>
  <si>
    <t>V50G0LFL</t>
  </si>
  <si>
    <t>V50G0LLW</t>
  </si>
  <si>
    <t>V50G0Q05</t>
  </si>
  <si>
    <t>V50G0T3G</t>
  </si>
  <si>
    <t>V50G0T4S</t>
  </si>
  <si>
    <t>SUB01LD</t>
  </si>
  <si>
    <t>F5U005</t>
  </si>
  <si>
    <t>FGREOCHC57</t>
  </si>
  <si>
    <t>FGREOCHC571R001A</t>
  </si>
  <si>
    <t>FGREOCWC57</t>
  </si>
  <si>
    <t>FGREOCWC575R001A</t>
  </si>
  <si>
    <t>FGREOCXC54</t>
  </si>
  <si>
    <t>FGREOCXC541R001A</t>
  </si>
  <si>
    <t>V50G0SA3</t>
  </si>
  <si>
    <t>F5U002</t>
  </si>
  <si>
    <t>V50G0HTS</t>
  </si>
  <si>
    <t>V50G0T46</t>
  </si>
  <si>
    <t>V50G0LXG</t>
  </si>
  <si>
    <t>V50G0MPL</t>
  </si>
  <si>
    <t>V50G0TNX</t>
  </si>
  <si>
    <t>T5S256</t>
  </si>
  <si>
    <t>T5S369</t>
  </si>
  <si>
    <t>T5S515</t>
  </si>
  <si>
    <t>F5S243</t>
  </si>
  <si>
    <t>F5SE14</t>
  </si>
  <si>
    <t>T5S356</t>
  </si>
  <si>
    <t>T5S463</t>
  </si>
  <si>
    <t>L5S211</t>
  </si>
  <si>
    <t>L5S354</t>
  </si>
  <si>
    <t>023A</t>
  </si>
  <si>
    <t>F5S430</t>
  </si>
  <si>
    <t>F5S812</t>
  </si>
  <si>
    <t>FCRECBKC55</t>
  </si>
  <si>
    <t>RECBR0AU01A</t>
  </si>
  <si>
    <t>V50G08F8</t>
  </si>
  <si>
    <t>V50G0EMR</t>
  </si>
  <si>
    <t>V50G0Q5K</t>
  </si>
  <si>
    <t>V50G0T2M</t>
  </si>
  <si>
    <t>RECBR81113A</t>
  </si>
  <si>
    <t>V50G0PFY</t>
  </si>
  <si>
    <t>V50G0Q0K</t>
  </si>
  <si>
    <t>V50G0TBL</t>
  </si>
  <si>
    <t>V50G0TY8</t>
  </si>
  <si>
    <t>REOCR04A01A</t>
  </si>
  <si>
    <t>V50G04VL</t>
  </si>
  <si>
    <t>V50G0LKB</t>
  </si>
  <si>
    <t>V50G0LLK</t>
  </si>
  <si>
    <t>V50G0M8F</t>
  </si>
  <si>
    <t>V50G0NDT</t>
  </si>
  <si>
    <t>V50G0PHC</t>
  </si>
  <si>
    <t>V50G0PQB</t>
  </si>
  <si>
    <t>V50G0QW8</t>
  </si>
  <si>
    <t>V50G0RFZ</t>
  </si>
  <si>
    <t>V50G0S9V</t>
  </si>
  <si>
    <t>V50G0SWP</t>
  </si>
  <si>
    <t>V50G0TSF</t>
  </si>
  <si>
    <t>V50G0TTE</t>
  </si>
  <si>
    <t>V50G0TWZ</t>
  </si>
  <si>
    <t>FCRECBSC55</t>
  </si>
  <si>
    <t>RECBR71122A</t>
  </si>
  <si>
    <t>V50G0J96</t>
  </si>
  <si>
    <t>V50G0KPH</t>
  </si>
  <si>
    <t>V50G0PZJ</t>
  </si>
  <si>
    <t>V50G0S8Z</t>
  </si>
  <si>
    <t>V50G0SMM</t>
  </si>
  <si>
    <t>V50G0SN1</t>
  </si>
  <si>
    <t>V50G0SVF</t>
  </si>
  <si>
    <t>V50G0T49</t>
  </si>
  <si>
    <t>V50G0TCY</t>
  </si>
  <si>
    <t>FCREOCSC55</t>
  </si>
  <si>
    <t>REOCR81102A</t>
  </si>
  <si>
    <t>V50G0PKH</t>
  </si>
  <si>
    <t>V50G0PP9</t>
  </si>
  <si>
    <t>V50G0PPJ</t>
  </si>
  <si>
    <t>FCREOCWC57</t>
  </si>
  <si>
    <t>REOCR01106A</t>
  </si>
  <si>
    <t>V50G0LEH</t>
  </si>
  <si>
    <t>V50G0LP0</t>
  </si>
  <si>
    <t>F5D001</t>
  </si>
  <si>
    <t>V50G0TPP</t>
  </si>
  <si>
    <t>V50G0LYT</t>
  </si>
  <si>
    <t>V50G0TPC</t>
  </si>
  <si>
    <t>V50G0LEC</t>
  </si>
  <si>
    <t>V50G0LNT</t>
  </si>
  <si>
    <t>V50G09R9</t>
  </si>
  <si>
    <t>V50G0EGV</t>
  </si>
  <si>
    <t>V50G0JJX</t>
  </si>
  <si>
    <t>V50G0LYD</t>
  </si>
  <si>
    <t>V50G0M76</t>
  </si>
  <si>
    <t>V50G0Q55</t>
  </si>
  <si>
    <t>V50G0SV0</t>
  </si>
  <si>
    <t>V50G0T3V</t>
  </si>
  <si>
    <t>V50G0GLA</t>
  </si>
  <si>
    <t>V50G0J7X</t>
  </si>
  <si>
    <t>V50G0JEH</t>
  </si>
  <si>
    <t>V50G0JW4</t>
  </si>
  <si>
    <t>V50G0K9G</t>
  </si>
  <si>
    <t>V50G0LLB</t>
  </si>
  <si>
    <t>V50G0N1R</t>
  </si>
  <si>
    <t>V50G0NTA</t>
  </si>
  <si>
    <t>V50G0PME</t>
  </si>
  <si>
    <t>V50G0PPG</t>
  </si>
  <si>
    <t>V50G0PZ7</t>
  </si>
  <si>
    <t>V50G0Q5T</t>
  </si>
  <si>
    <t>V50G0Q6H</t>
  </si>
  <si>
    <t>V50G0S8G</t>
  </si>
  <si>
    <t>V50G0S91</t>
  </si>
  <si>
    <t>V50G0TKC</t>
  </si>
  <si>
    <t>V50G0JAN</t>
  </si>
  <si>
    <t>V50G0T9S</t>
  </si>
  <si>
    <t>V50G0TEE</t>
  </si>
  <si>
    <t>FGD324CXSA00005A</t>
  </si>
  <si>
    <t>SC6</t>
  </si>
  <si>
    <t>F5SA84</t>
  </si>
  <si>
    <t>F5SB37</t>
  </si>
  <si>
    <t>F5SC64</t>
  </si>
  <si>
    <t>V50G0TSV</t>
  </si>
  <si>
    <t>F5SA21</t>
  </si>
  <si>
    <t>V50G0TAL</t>
  </si>
  <si>
    <t>V50G0TCF</t>
  </si>
  <si>
    <t>V50G0Q77</t>
  </si>
  <si>
    <t>V50G04VA</t>
  </si>
  <si>
    <t>V50G0L71</t>
  </si>
  <si>
    <t>V50G0N0Y</t>
  </si>
  <si>
    <t>V50G0A00</t>
  </si>
  <si>
    <t>V50G0NG1</t>
  </si>
  <si>
    <t>V50G0Q61</t>
  </si>
  <si>
    <t>V50G0T5H</t>
  </si>
  <si>
    <t>V50G0TA4</t>
  </si>
  <si>
    <t>V52G02JM</t>
  </si>
  <si>
    <t>F5SF52</t>
  </si>
  <si>
    <t>F5S916</t>
  </si>
  <si>
    <t>F5SB50</t>
  </si>
  <si>
    <t>F5S780</t>
  </si>
  <si>
    <t>F5S728</t>
  </si>
  <si>
    <t>F5S250</t>
  </si>
  <si>
    <t>F5S415</t>
  </si>
  <si>
    <t>F5S940</t>
  </si>
  <si>
    <t>F5SF37</t>
  </si>
  <si>
    <t>V50G0RF1</t>
  </si>
  <si>
    <t>L5S358</t>
  </si>
  <si>
    <t>FGDMPOOL0490005A</t>
  </si>
  <si>
    <t>F5S469</t>
  </si>
  <si>
    <t>RES0</t>
  </si>
  <si>
    <t>L5S351</t>
  </si>
  <si>
    <t>L5S260</t>
  </si>
  <si>
    <t>F5SB19</t>
  </si>
  <si>
    <t>F5SE46</t>
  </si>
  <si>
    <t>FGF671BFS200005A</t>
  </si>
  <si>
    <t>FGH313BFS8</t>
  </si>
  <si>
    <t>FGH313BFS80E005A</t>
  </si>
  <si>
    <t>FGR010XKS400003A</t>
  </si>
  <si>
    <t>FGR010XKS400004A</t>
  </si>
  <si>
    <t>F5SA23</t>
  </si>
  <si>
    <t>FG6521XFS100001R</t>
  </si>
  <si>
    <t>F5S450</t>
  </si>
  <si>
    <t>F5S979</t>
  </si>
  <si>
    <t>FGU008XKSA0E002A</t>
  </si>
  <si>
    <t>SICV0200</t>
  </si>
  <si>
    <t>26A0</t>
  </si>
  <si>
    <t>FGREBSKC55</t>
  </si>
  <si>
    <t>FGREBSKC550R001A</t>
  </si>
  <si>
    <t>F5SA68</t>
  </si>
  <si>
    <t>RECY0300</t>
  </si>
  <si>
    <t>L5S305</t>
  </si>
  <si>
    <t>L5S386</t>
  </si>
  <si>
    <t>F5SD24</t>
  </si>
  <si>
    <t>F5S947</t>
  </si>
  <si>
    <t>F5SD44</t>
  </si>
  <si>
    <t>F5SE04</t>
  </si>
  <si>
    <t>F5SE21</t>
  </si>
  <si>
    <t>F5SE24</t>
  </si>
  <si>
    <t>L5S216</t>
  </si>
  <si>
    <t>F5S015</t>
  </si>
  <si>
    <t>F5S890</t>
  </si>
  <si>
    <t>F5S543</t>
  </si>
  <si>
    <t>F5S611</t>
  </si>
  <si>
    <t>RECY0200</t>
  </si>
  <si>
    <t>F5SF77</t>
  </si>
  <si>
    <t>L5S252</t>
  </si>
  <si>
    <t>L5S330</t>
  </si>
  <si>
    <t>FG7030XFS100004A</t>
  </si>
  <si>
    <t>FGF659BFS100004A</t>
  </si>
  <si>
    <t>FG5515CXS2</t>
  </si>
  <si>
    <t>FG5515CXS200005A</t>
  </si>
  <si>
    <t>FG7041XXQ17R002A</t>
  </si>
  <si>
    <t>FGF654XFQ100001Y</t>
  </si>
  <si>
    <t>L5S384</t>
  </si>
  <si>
    <t>L5S306</t>
  </si>
  <si>
    <t>L5S312</t>
  </si>
  <si>
    <t>FG6509XFS200002Y</t>
  </si>
  <si>
    <t>F5S048</t>
  </si>
  <si>
    <t>F5S428</t>
  </si>
  <si>
    <t>F5SD33</t>
  </si>
  <si>
    <t>F5S230</t>
  </si>
  <si>
    <t>F5S693</t>
  </si>
  <si>
    <t>F5S779</t>
  </si>
  <si>
    <t>F5SD34</t>
  </si>
  <si>
    <t>F5SE01</t>
  </si>
  <si>
    <t>F5SF43</t>
  </si>
  <si>
    <t>F5S346</t>
  </si>
  <si>
    <t>F5S815</t>
  </si>
  <si>
    <t>F5S500</t>
  </si>
  <si>
    <t>F5S702</t>
  </si>
  <si>
    <t>F5S729</t>
  </si>
  <si>
    <t>F5SE66</t>
  </si>
  <si>
    <t>F5S097</t>
  </si>
  <si>
    <t>F5SA78</t>
  </si>
  <si>
    <t>FGF658BXS100005Y</t>
  </si>
  <si>
    <t>F5S968</t>
  </si>
  <si>
    <t>F5S774</t>
  </si>
  <si>
    <t>FGL315BSSC</t>
  </si>
  <si>
    <t>FGL315BSSC0E002A</t>
  </si>
  <si>
    <t>F5S864</t>
  </si>
  <si>
    <t>F5S148</t>
  </si>
  <si>
    <t>F5S229</t>
  </si>
  <si>
    <t>F5S288</t>
  </si>
  <si>
    <t>FGL315BSSC0E002R</t>
  </si>
  <si>
    <t>SAMP0300</t>
  </si>
  <si>
    <t>FGE033XWSA00005C</t>
  </si>
  <si>
    <t>43A0</t>
  </si>
  <si>
    <t>FGE033XWSA00005E</t>
  </si>
  <si>
    <t>F5D020</t>
  </si>
  <si>
    <t>F5SF33</t>
  </si>
  <si>
    <t>FGF647BFS700001A</t>
  </si>
  <si>
    <t>F5S473</t>
  </si>
  <si>
    <t>F5S002</t>
  </si>
  <si>
    <t>OGD317XXE1</t>
  </si>
  <si>
    <t>OGD317XXE100001A</t>
  </si>
  <si>
    <t>ITCV0200</t>
  </si>
  <si>
    <t>OGE021EFS8</t>
  </si>
  <si>
    <t>OGE021EFS800001A</t>
  </si>
  <si>
    <t>L5S258</t>
  </si>
  <si>
    <t>F5S425</t>
  </si>
  <si>
    <t>F5S121</t>
  </si>
  <si>
    <t>F5SH19</t>
  </si>
  <si>
    <t>F5SA37</t>
  </si>
  <si>
    <t>STKC06C2</t>
  </si>
  <si>
    <t>F5SA24</t>
  </si>
  <si>
    <t>F5S711</t>
  </si>
  <si>
    <t>F5SC32</t>
  </si>
  <si>
    <t>F5SB74</t>
  </si>
  <si>
    <t>F5S745</t>
  </si>
  <si>
    <t>F5D002</t>
  </si>
  <si>
    <t>L5S422</t>
  </si>
  <si>
    <t>L5S304</t>
  </si>
  <si>
    <t>OG7030XFS1</t>
  </si>
  <si>
    <t>OG7030XFS100001A</t>
  </si>
  <si>
    <t>L5S322</t>
  </si>
  <si>
    <t>L5S249</t>
  </si>
  <si>
    <t>L5S408</t>
  </si>
  <si>
    <t>L5S350</t>
  </si>
  <si>
    <t>V50G0GHA</t>
  </si>
  <si>
    <t>V50G08B4</t>
  </si>
  <si>
    <t>V50G09YJ</t>
  </si>
  <si>
    <t>OG9005BSS1</t>
  </si>
  <si>
    <t>OG9005BSS100001A</t>
  </si>
  <si>
    <t>V50G0L4X</t>
  </si>
  <si>
    <t>OGA130XVS1</t>
  </si>
  <si>
    <t>OGA130XVS100001A</t>
  </si>
  <si>
    <t>V51G016S</t>
  </si>
  <si>
    <t>V50G0M8R</t>
  </si>
  <si>
    <t>V50G0TC0</t>
  </si>
  <si>
    <t>OGC310XWS1</t>
  </si>
  <si>
    <t>OGC310XWS100001A</t>
  </si>
  <si>
    <t>V50G0S6E</t>
  </si>
  <si>
    <t>V50G0TJ8</t>
  </si>
  <si>
    <t>V50G0R3J</t>
  </si>
  <si>
    <t>OGD330XXS1</t>
  </si>
  <si>
    <t>OGD330XXS100001A</t>
  </si>
  <si>
    <t>V50G0913</t>
  </si>
  <si>
    <t>V50G09N4</t>
  </si>
  <si>
    <t>V50G0BDB</t>
  </si>
  <si>
    <t>V50G0DK0</t>
  </si>
  <si>
    <t>V50G0DTQ</t>
  </si>
  <si>
    <t>V50G0PHG</t>
  </si>
  <si>
    <t>V50G0Q44</t>
  </si>
  <si>
    <t>V50G0PSN</t>
  </si>
  <si>
    <t>ITO2</t>
  </si>
  <si>
    <t>V50G0DE8</t>
  </si>
  <si>
    <t>V50G0T3J</t>
  </si>
  <si>
    <t>V50G0T6R</t>
  </si>
  <si>
    <t>V50G0T8R</t>
  </si>
  <si>
    <t>OGE904XWS1</t>
  </si>
  <si>
    <t>OGE904XWS100001A</t>
  </si>
  <si>
    <t>V50G0JKX</t>
  </si>
  <si>
    <t>OGF641XXS6</t>
  </si>
  <si>
    <t>OGF641XXS600001A</t>
  </si>
  <si>
    <t>V50G0M7Z</t>
  </si>
  <si>
    <t>V50G0TJJ</t>
  </si>
  <si>
    <t>OGF647BFS6</t>
  </si>
  <si>
    <t>OGF647BFS600001A</t>
  </si>
  <si>
    <t>V50G0KP6</t>
  </si>
  <si>
    <t>V50G0N75</t>
  </si>
  <si>
    <t>V50G0LWK</t>
  </si>
  <si>
    <t>V50G0N2G</t>
  </si>
  <si>
    <t>V50G0RYL</t>
  </si>
  <si>
    <t>V50G0TRR</t>
  </si>
  <si>
    <t>V50G0J8H</t>
  </si>
  <si>
    <t>V50G0R93</t>
  </si>
  <si>
    <t>V50G0TPW</t>
  </si>
  <si>
    <t>V50G0TTL</t>
  </si>
  <si>
    <t>V50G0LS5</t>
  </si>
  <si>
    <t>V50G0N2T</t>
  </si>
  <si>
    <t>V50G0L9T</t>
  </si>
  <si>
    <t>OGV301XWS1</t>
  </si>
  <si>
    <t>OGV301XWS100001A</t>
  </si>
  <si>
    <t>V50G0JRH</t>
  </si>
  <si>
    <t>RECY0100</t>
  </si>
  <si>
    <t>F5SA62</t>
  </si>
  <si>
    <t>F5SE37</t>
  </si>
  <si>
    <t>F5S406</t>
  </si>
  <si>
    <t>V50G0MW3</t>
  </si>
  <si>
    <t>FGE033XWSA00005A</t>
  </si>
  <si>
    <t>FGE033XWSA00005R</t>
  </si>
  <si>
    <t>F5D008</t>
  </si>
  <si>
    <t>FGF638XSQ30R001A</t>
  </si>
  <si>
    <t>F5SF55</t>
  </si>
  <si>
    <t>FGF654XFQ3</t>
  </si>
  <si>
    <t>F669E0AF01A</t>
  </si>
  <si>
    <t>F5S107</t>
  </si>
  <si>
    <t>F5S203</t>
  </si>
  <si>
    <t>FGD501XFSB0E005A</t>
  </si>
  <si>
    <t>FGD501XFSB0E005C</t>
  </si>
  <si>
    <t>FGF659BFS4</t>
  </si>
  <si>
    <t>FGF659BFS40E005A</t>
  </si>
  <si>
    <t>FGG101XXS6</t>
  </si>
  <si>
    <t>FGG101XXS60E005A</t>
  </si>
  <si>
    <t>FGG101XXS60E005B</t>
  </si>
  <si>
    <t>FGG101XXS60E005C</t>
  </si>
  <si>
    <t>FGG101XXS7</t>
  </si>
  <si>
    <t>FGG101XXS70E005A</t>
  </si>
  <si>
    <t>FGG101XXS70E005C</t>
  </si>
  <si>
    <t>F5S642</t>
  </si>
  <si>
    <t>F5SG47</t>
  </si>
  <si>
    <t>FGR010XKS100004R</t>
  </si>
  <si>
    <t>F5S349</t>
  </si>
  <si>
    <t>F5SF60</t>
  </si>
  <si>
    <t>F5S568</t>
  </si>
  <si>
    <t>F5SB64</t>
  </si>
  <si>
    <t>F5D004</t>
  </si>
  <si>
    <t>F5SH40</t>
  </si>
  <si>
    <t>FMAC0200</t>
  </si>
  <si>
    <t>F5S900</t>
  </si>
  <si>
    <t>F5S929</t>
  </si>
  <si>
    <t>F5S623</t>
  </si>
  <si>
    <t>F5SE60</t>
  </si>
  <si>
    <t>F5SF12</t>
  </si>
  <si>
    <t>F5SB45</t>
  </si>
  <si>
    <t>T5S052</t>
  </si>
  <si>
    <t>L5S294</t>
  </si>
  <si>
    <t>L5S277</t>
  </si>
  <si>
    <t>L5S236</t>
  </si>
  <si>
    <t>T5S492</t>
  </si>
  <si>
    <t>F5S012</t>
  </si>
  <si>
    <t>F5S336</t>
  </si>
  <si>
    <t>F5SD49</t>
  </si>
  <si>
    <t>F5SA45</t>
  </si>
  <si>
    <t>F5S973</t>
  </si>
  <si>
    <t>F5S276</t>
  </si>
  <si>
    <t>F5SD50</t>
  </si>
  <si>
    <t>F5SB73</t>
  </si>
  <si>
    <t>F5S289</t>
  </si>
  <si>
    <t>F5SD79</t>
  </si>
  <si>
    <t>F5S706</t>
  </si>
  <si>
    <t>F5SG87</t>
  </si>
  <si>
    <t>F5SB09</t>
  </si>
  <si>
    <t>FGD317BXS200001A</t>
  </si>
  <si>
    <t>F5SC22</t>
  </si>
  <si>
    <t>F5SC34</t>
  </si>
  <si>
    <t>F5SG29</t>
  </si>
  <si>
    <t>FGE028XFSD</t>
  </si>
  <si>
    <t>FGE028XFSD00005A</t>
  </si>
  <si>
    <t>F5S423</t>
  </si>
  <si>
    <t>FGF641XXS400004A</t>
  </si>
  <si>
    <t>F5S088</t>
  </si>
  <si>
    <t>F5S597</t>
  </si>
  <si>
    <t>FGF654XFQ10R001Z</t>
  </si>
  <si>
    <t>F5S592</t>
  </si>
  <si>
    <t>F5S224</t>
  </si>
  <si>
    <t>F5SA91</t>
  </si>
  <si>
    <t>FGG101XXS8</t>
  </si>
  <si>
    <t>FGG101XXS80E005A</t>
  </si>
  <si>
    <t>F5S221</t>
  </si>
  <si>
    <t>FGH310XKQ100001A</t>
  </si>
  <si>
    <t>F5S539</t>
  </si>
  <si>
    <t>F5SC38</t>
  </si>
  <si>
    <t>F5S371</t>
  </si>
  <si>
    <t>FGR007XKS1</t>
  </si>
  <si>
    <t>FGR007XKS100004A</t>
  </si>
  <si>
    <t>F5S189</t>
  </si>
  <si>
    <t>F5SA04</t>
  </si>
  <si>
    <t>F5SD35</t>
  </si>
  <si>
    <t>F5SG90</t>
  </si>
  <si>
    <t>F5S805</t>
  </si>
  <si>
    <t>F5S801</t>
  </si>
  <si>
    <t>FGD317CWS6</t>
  </si>
  <si>
    <t>FGD317CWS60E005A</t>
  </si>
  <si>
    <t>FGF659BFS40E005B</t>
  </si>
  <si>
    <t>FGR015BFSA</t>
  </si>
  <si>
    <t>FGR015BFSA0E005A</t>
  </si>
  <si>
    <t>F5SA97</t>
  </si>
  <si>
    <t>V50G0PWN</t>
  </si>
  <si>
    <t>V50G0T40</t>
  </si>
  <si>
    <t>V50G0T8Y</t>
  </si>
  <si>
    <t>V50G0HMA</t>
  </si>
  <si>
    <t>V50G0TC1</t>
  </si>
  <si>
    <t>V50G0PQ8</t>
  </si>
  <si>
    <t>V50G0SY3</t>
  </si>
  <si>
    <t>V50G0H8T</t>
  </si>
  <si>
    <t>V50G0Q6D</t>
  </si>
  <si>
    <t>V50G0HQS</t>
  </si>
  <si>
    <t>F5S304</t>
  </si>
  <si>
    <t>F5S240</t>
  </si>
  <si>
    <t>FGN615XKQ2</t>
  </si>
  <si>
    <t>FGN615XKQ20R001A</t>
  </si>
  <si>
    <t>F5S172</t>
  </si>
  <si>
    <t>F5S967</t>
  </si>
  <si>
    <t>F5SC69</t>
  </si>
  <si>
    <t>F5SD53</t>
  </si>
  <si>
    <t>F5SE08</t>
  </si>
  <si>
    <t>F5SF72</t>
  </si>
  <si>
    <t>F5S244</t>
  </si>
  <si>
    <t>F5SA02</t>
  </si>
  <si>
    <t>F5SF61</t>
  </si>
  <si>
    <t>F5S103</t>
  </si>
  <si>
    <t>F5S315</t>
  </si>
  <si>
    <t>F5SG83</t>
  </si>
  <si>
    <t>F5S959</t>
  </si>
  <si>
    <t>F5S368</t>
  </si>
  <si>
    <t>F5S872</t>
  </si>
  <si>
    <t>F5S292</t>
  </si>
  <si>
    <t>F5S170</t>
  </si>
  <si>
    <t>F5S946</t>
  </si>
  <si>
    <t>FGE021EFS60E005B</t>
  </si>
  <si>
    <t>FGE028XFSA0E001A</t>
  </si>
  <si>
    <t>F5S025</t>
  </si>
  <si>
    <t>F5S652</t>
  </si>
  <si>
    <t>F667P0B101A</t>
  </si>
  <si>
    <t>V50G052W</t>
  </si>
  <si>
    <t>V50G0AE3</t>
  </si>
  <si>
    <t>V50G0CHA</t>
  </si>
  <si>
    <t>V50G0FBQ</t>
  </si>
  <si>
    <t>V50G0GLS</t>
  </si>
  <si>
    <t>V50G0JA0</t>
  </si>
  <si>
    <t>V50G0KH3</t>
  </si>
  <si>
    <t>V50G0L73</t>
  </si>
  <si>
    <t>V50G0L8V</t>
  </si>
  <si>
    <t>V50G0LCN</t>
  </si>
  <si>
    <t>V50G0LJ4</t>
  </si>
  <si>
    <t>V50G0LY4</t>
  </si>
  <si>
    <t>V50G0PRX</t>
  </si>
  <si>
    <t>V50G0SAR</t>
  </si>
  <si>
    <t>V50G0TK5</t>
  </si>
  <si>
    <t>V50G0TT1</t>
  </si>
  <si>
    <t>V52G0267</t>
  </si>
  <si>
    <t>V52G02ES</t>
  </si>
  <si>
    <t>V52G02H9</t>
  </si>
  <si>
    <t>V52G04L6</t>
  </si>
  <si>
    <t>V52G04ND</t>
  </si>
  <si>
    <t>V52G04W6</t>
  </si>
  <si>
    <t>V52G05WT</t>
  </si>
  <si>
    <t>V52G063D</t>
  </si>
  <si>
    <t>L5S259</t>
  </si>
  <si>
    <t>L5S295</t>
  </si>
  <si>
    <t>FGD317CFS50E004A</t>
  </si>
  <si>
    <t>FGR007XKS100001A</t>
  </si>
  <si>
    <t>F5SB36</t>
  </si>
  <si>
    <t>L5S253</t>
  </si>
  <si>
    <t>F5S818</t>
  </si>
  <si>
    <t>L5S376</t>
  </si>
  <si>
    <t>L5S219</t>
  </si>
  <si>
    <t>F5SF98</t>
  </si>
  <si>
    <t>F5SC61</t>
  </si>
  <si>
    <t>F5SG43</t>
  </si>
  <si>
    <t>EDL5</t>
  </si>
  <si>
    <t>EDUL</t>
  </si>
  <si>
    <t>V50G0J40</t>
  </si>
  <si>
    <t>FGG101XXS50E005B</t>
  </si>
  <si>
    <t>V50G08BA</t>
  </si>
  <si>
    <t>V50G0BJE</t>
  </si>
  <si>
    <t>V50G0H38</t>
  </si>
  <si>
    <t>V50G0HC1</t>
  </si>
  <si>
    <t>V50G0HKK</t>
  </si>
  <si>
    <t>V50G0JAH</t>
  </si>
  <si>
    <t>V50G0LLS</t>
  </si>
  <si>
    <t>V50G0Q83</t>
  </si>
  <si>
    <t>V50G0R55</t>
  </si>
  <si>
    <t>V50G0RYS</t>
  </si>
  <si>
    <t>V50G0SZT</t>
  </si>
  <si>
    <t>V50G0TAN</t>
  </si>
  <si>
    <t>V50G0TCJ</t>
  </si>
  <si>
    <t>V50G0TS1</t>
  </si>
  <si>
    <t>V50G0TVZ</t>
  </si>
  <si>
    <t>V52G01BL</t>
  </si>
  <si>
    <t>V52G01YA</t>
  </si>
  <si>
    <t>V52G0211</t>
  </si>
  <si>
    <t>V52G07CT</t>
  </si>
  <si>
    <t>V50G0A14</t>
  </si>
  <si>
    <t>V50G0GWQ</t>
  </si>
  <si>
    <t>V50G0TTM</t>
  </si>
  <si>
    <t>V50G0TVM</t>
  </si>
  <si>
    <t>V52G01NE</t>
  </si>
  <si>
    <t>V52G05QN</t>
  </si>
  <si>
    <t>V50G0HHE</t>
  </si>
  <si>
    <t>V50G0JXP</t>
  </si>
  <si>
    <t>V50G0MV0</t>
  </si>
  <si>
    <t>V50G0PDQ</t>
  </si>
  <si>
    <t>V50G0RAD</t>
  </si>
  <si>
    <t>V50G0T88</t>
  </si>
  <si>
    <t>V52G01F0</t>
  </si>
  <si>
    <t>V50G0P6G</t>
  </si>
  <si>
    <t>V50G0PVB</t>
  </si>
  <si>
    <t>V50G0QAE</t>
  </si>
  <si>
    <t>V50G0R3M</t>
  </si>
  <si>
    <t>V50G0S9G</t>
  </si>
  <si>
    <t>V50G0TWN</t>
  </si>
  <si>
    <t>V50G0HQM</t>
  </si>
  <si>
    <t>V50G0JHQ</t>
  </si>
  <si>
    <t>V50G0KDQ</t>
  </si>
  <si>
    <t>V50G0LZW</t>
  </si>
  <si>
    <t>V50G0S2T</t>
  </si>
  <si>
    <t>V50G0TWL</t>
  </si>
  <si>
    <t>V50G05H9</t>
  </si>
  <si>
    <t>V50G0J57</t>
  </si>
  <si>
    <t>V50G0P9M</t>
  </si>
  <si>
    <t>V50G0Q88</t>
  </si>
  <si>
    <t>V52G01DK</t>
  </si>
  <si>
    <t>V50G0KS6</t>
  </si>
  <si>
    <t>V50G0TD9</t>
  </si>
  <si>
    <t>V50G0DWZ</t>
  </si>
  <si>
    <t>V50G0EMP</t>
  </si>
  <si>
    <t>V50G0GWW</t>
  </si>
  <si>
    <t>V50G0HNP</t>
  </si>
  <si>
    <t>V50G0JNJ</t>
  </si>
  <si>
    <t>V50G0N07</t>
  </si>
  <si>
    <t>V50G0NTT</t>
  </si>
  <si>
    <t>V50G0PBV</t>
  </si>
  <si>
    <t>V50G0Q21</t>
  </si>
  <si>
    <t>V50G0QA8</t>
  </si>
  <si>
    <t>V50G0RAM</t>
  </si>
  <si>
    <t>V50G0S56</t>
  </si>
  <si>
    <t>V50G0T8S</t>
  </si>
  <si>
    <t>V50G0TSQ</t>
  </si>
  <si>
    <t>V50G0TW7</t>
  </si>
  <si>
    <t>V50G0TWS</t>
  </si>
  <si>
    <t>SAMP</t>
  </si>
  <si>
    <t>FG6509XFS200001A+FG6509XFS200001A+FG6509XFS200002A+FG6521XFS100001A+FG6521XFS100002A+FG7030XFS100003A+FG7030XFS100004A</t>
    <phoneticPr fontId="1" type="noConversion"/>
  </si>
  <si>
    <t>FG5515CFS200005A+FGH313BFS200005A+FGH313BFS200005A</t>
    <phoneticPr fontId="1" type="noConversion"/>
  </si>
  <si>
    <t>FG5515CXS200005A+FG7041XXQ17R002A</t>
    <phoneticPr fontId="1" type="noConversion"/>
  </si>
  <si>
    <t>FG5712BXS100005A+FGE021BXS300003A+FGE021BXS300004A+FGF658BXS100005A+FGF658BXS100005A</t>
    <phoneticPr fontId="1" type="noConversion"/>
  </si>
  <si>
    <t>FG7041XXQ10R001A+FGD317CXS300003A+FGG101XXS50E005A</t>
    <phoneticPr fontId="1" type="noConversion"/>
  </si>
  <si>
    <t>FG8050XXS100003A+FG8050XXS100003Y</t>
    <phoneticPr fontId="1" type="noConversion"/>
  </si>
  <si>
    <t>FG8050XXS100003A+FG8050XXS100003Y+FG8050XXS100004A+FG8050XXS100004A+FG8050XXS100004Y</t>
    <phoneticPr fontId="1" type="noConversion"/>
  </si>
  <si>
    <t>FG8050XXS100003A+FG8050XXS100003Y+FG8050XXS100004A+FG8050XXS100004Y</t>
    <phoneticPr fontId="1" type="noConversion"/>
  </si>
  <si>
    <t>FGD317CXS300003A+FGD317CXS300004A</t>
    <phoneticPr fontId="1" type="noConversion"/>
  </si>
  <si>
    <t>FGE021BXS300002A+FGE021BXS300004A</t>
    <phoneticPr fontId="1" type="noConversion"/>
  </si>
  <si>
    <t>FGE021XXS400003A+FGE021XXS400004A</t>
    <phoneticPr fontId="1" type="noConversion"/>
  </si>
  <si>
    <t>FGE021XXS400003A+FGE021XXS400004A+FGE021XXS400004A+FGE021XXS400004Y</t>
    <phoneticPr fontId="1" type="noConversion"/>
  </si>
  <si>
    <t>FGE021XXS400003A+FGE021XXS400003K+FGE021XXS400004A</t>
    <phoneticPr fontId="1" type="noConversion"/>
  </si>
  <si>
    <t>FGF654XFQ100001A+FGF654XFQ10R001A</t>
    <phoneticPr fontId="1" type="noConversion"/>
  </si>
  <si>
    <t>FGF654XFQ10R001A+FGF671BFS200005A+FGF671BFS200005A</t>
    <phoneticPr fontId="1" type="noConversion"/>
  </si>
  <si>
    <t>FGF671BFS200005A+FGF671BFS200005A</t>
    <phoneticPr fontId="1" type="noConversion"/>
  </si>
  <si>
    <t>FGE033XWSA00005A+FGE033XWSA00005C+FGE033XWSA00005C+FGE033XWSA00005R</t>
    <phoneticPr fontId="1" type="noConversion"/>
  </si>
  <si>
    <t>FGE033XWSA00005C+FGE033XWSA00005R+FGE033XWSA00005R</t>
    <phoneticPr fontId="1" type="noConversion"/>
  </si>
</sst>
</file>

<file path=xl/styles.xml><?xml version="1.0" encoding="utf-8"?>
<styleSheet xmlns="http://schemas.openxmlformats.org/spreadsheetml/2006/main">
  <numFmts count="2">
    <numFmt numFmtId="176" formatCode="m/d;@"/>
    <numFmt numFmtId="177" formatCode="m&quot;月&quot;d&quot;日&quot;"/>
  </numFmts>
  <fonts count="43">
    <font>
      <sz val="12"/>
      <color theme="1"/>
      <name val="新細明體"/>
      <family val="2"/>
      <charset val="136"/>
      <scheme val="minor"/>
    </font>
    <font>
      <sz val="9"/>
      <name val="新細明體"/>
      <family val="2"/>
      <charset val="136"/>
      <scheme val="minor"/>
    </font>
    <font>
      <b/>
      <sz val="12"/>
      <color theme="0"/>
      <name val="新細明體"/>
      <family val="1"/>
      <charset val="136"/>
      <scheme val="minor"/>
    </font>
    <font>
      <b/>
      <sz val="12"/>
      <color rgb="FF0000FF"/>
      <name val="新細明體"/>
      <family val="1"/>
      <charset val="136"/>
      <scheme val="minor"/>
    </font>
    <font>
      <b/>
      <sz val="16"/>
      <color rgb="FF0000FF"/>
      <name val="新細明體"/>
      <family val="1"/>
      <charset val="136"/>
      <scheme val="minor"/>
    </font>
    <font>
      <b/>
      <sz val="12"/>
      <color theme="1"/>
      <name val="新細明體"/>
      <family val="1"/>
      <charset val="136"/>
      <scheme val="minor"/>
    </font>
    <font>
      <b/>
      <sz val="12"/>
      <color rgb="FFFF0000"/>
      <name val="新細明體"/>
      <family val="1"/>
      <charset val="136"/>
      <scheme val="minor"/>
    </font>
    <font>
      <b/>
      <sz val="16"/>
      <color rgb="FF7030A0"/>
      <name val="新細明體"/>
      <family val="1"/>
      <charset val="136"/>
      <scheme val="minor"/>
    </font>
    <font>
      <b/>
      <sz val="12"/>
      <color rgb="FF0000FF"/>
      <name val="新細明體"/>
      <family val="1"/>
      <charset val="136"/>
    </font>
    <font>
      <sz val="9"/>
      <color indexed="81"/>
      <name val="Tahoma"/>
      <family val="2"/>
    </font>
    <font>
      <b/>
      <sz val="9"/>
      <color indexed="81"/>
      <name val="Tahoma"/>
      <family val="2"/>
    </font>
    <font>
      <b/>
      <sz val="9"/>
      <color indexed="81"/>
      <name val="細明體"/>
      <family val="3"/>
      <charset val="136"/>
    </font>
    <font>
      <b/>
      <sz val="12"/>
      <color rgb="FF7030A0"/>
      <name val="新細明體"/>
      <family val="1"/>
      <charset val="136"/>
      <scheme val="minor"/>
    </font>
    <font>
      <u/>
      <sz val="12"/>
      <color theme="10"/>
      <name val="新細明體"/>
      <family val="1"/>
      <charset val="136"/>
    </font>
    <font>
      <u/>
      <sz val="24"/>
      <color theme="10"/>
      <name val="新細明體"/>
      <family val="1"/>
      <charset val="136"/>
    </font>
    <font>
      <b/>
      <u/>
      <sz val="24"/>
      <color theme="10"/>
      <name val="新細明體"/>
      <family val="1"/>
      <charset val="136"/>
    </font>
    <font>
      <b/>
      <u/>
      <sz val="12"/>
      <color theme="10"/>
      <name val="新細明體"/>
      <family val="1"/>
      <charset val="136"/>
    </font>
    <font>
      <b/>
      <sz val="10"/>
      <color theme="0"/>
      <name val="新細明體"/>
      <family val="1"/>
      <charset val="136"/>
      <scheme val="minor"/>
    </font>
    <font>
      <b/>
      <sz val="14"/>
      <color rgb="FF0000FF"/>
      <name val="新細明體"/>
      <family val="1"/>
      <charset val="136"/>
      <scheme val="minor"/>
    </font>
    <font>
      <sz val="12"/>
      <color rgb="FF0000FF"/>
      <name val="新細明體"/>
      <family val="1"/>
      <charset val="136"/>
      <scheme val="minor"/>
    </font>
    <font>
      <b/>
      <sz val="24"/>
      <color rgb="FF7030A0"/>
      <name val="新細明體"/>
      <family val="1"/>
      <charset val="136"/>
      <scheme val="minor"/>
    </font>
    <font>
      <b/>
      <sz val="14"/>
      <color rgb="FF7030A0"/>
      <name val="新細明體"/>
      <family val="1"/>
      <charset val="136"/>
      <scheme val="minor"/>
    </font>
    <font>
      <b/>
      <u/>
      <sz val="12"/>
      <color theme="0"/>
      <name val="新細明體"/>
      <family val="1"/>
      <charset val="136"/>
    </font>
    <font>
      <b/>
      <sz val="16"/>
      <color theme="1"/>
      <name val="新細明體"/>
      <family val="1"/>
      <charset val="136"/>
      <scheme val="minor"/>
    </font>
    <font>
      <b/>
      <u/>
      <sz val="16"/>
      <color theme="1"/>
      <name val="新細明體"/>
      <family val="1"/>
      <charset val="136"/>
    </font>
    <font>
      <b/>
      <u/>
      <sz val="26"/>
      <color rgb="FF0000FF"/>
      <name val="新細明體"/>
      <family val="1"/>
      <charset val="136"/>
    </font>
    <font>
      <b/>
      <sz val="9"/>
      <color indexed="81"/>
      <name val="新細明體"/>
      <family val="1"/>
      <charset val="136"/>
    </font>
    <font>
      <sz val="12"/>
      <color indexed="10"/>
      <name val="新細明體"/>
      <family val="2"/>
      <charset val="136"/>
      <scheme val="minor"/>
    </font>
    <font>
      <b/>
      <sz val="14"/>
      <name val="新細明體"/>
      <family val="1"/>
      <charset val="136"/>
      <scheme val="minor"/>
    </font>
    <font>
      <b/>
      <sz val="12"/>
      <name val="新細明體"/>
      <family val="1"/>
      <charset val="136"/>
      <scheme val="minor"/>
    </font>
    <font>
      <b/>
      <sz val="12"/>
      <color indexed="10"/>
      <name val="新細明體"/>
      <family val="1"/>
      <charset val="136"/>
      <scheme val="minor"/>
    </font>
    <font>
      <b/>
      <sz val="12"/>
      <color indexed="8"/>
      <name val="新細明體"/>
      <family val="1"/>
      <charset val="136"/>
      <scheme val="minor"/>
    </font>
    <font>
      <sz val="12"/>
      <color indexed="8"/>
      <name val="新細明體"/>
      <family val="2"/>
      <charset val="136"/>
      <scheme val="minor"/>
    </font>
    <font>
      <b/>
      <sz val="12"/>
      <color indexed="81"/>
      <name val="Tahoma"/>
      <family val="2"/>
    </font>
    <font>
      <b/>
      <sz val="12"/>
      <color indexed="81"/>
      <name val="細明體"/>
      <family val="3"/>
      <charset val="136"/>
    </font>
    <font>
      <sz val="12"/>
      <color theme="0"/>
      <name val="新細明體"/>
      <family val="1"/>
      <charset val="136"/>
      <scheme val="minor"/>
    </font>
    <font>
      <b/>
      <sz val="10"/>
      <color rgb="FFFF0000"/>
      <name val="新細明體"/>
      <family val="1"/>
      <charset val="136"/>
      <scheme val="minor"/>
    </font>
    <font>
      <b/>
      <sz val="11"/>
      <color theme="1"/>
      <name val="新細明體"/>
      <family val="1"/>
      <charset val="136"/>
      <scheme val="minor"/>
    </font>
    <font>
      <b/>
      <sz val="11"/>
      <color rgb="FF0000FF"/>
      <name val="新細明體"/>
      <family val="1"/>
      <charset val="136"/>
      <scheme val="minor"/>
    </font>
    <font>
      <b/>
      <sz val="11"/>
      <color rgb="FFFF0000"/>
      <name val="新細明體"/>
      <family val="1"/>
      <charset val="136"/>
      <scheme val="minor"/>
    </font>
    <font>
      <b/>
      <sz val="10"/>
      <color rgb="FF0000FF"/>
      <name val="新細明體"/>
      <family val="1"/>
      <charset val="136"/>
      <scheme val="minor"/>
    </font>
    <font>
      <b/>
      <sz val="18"/>
      <color indexed="12"/>
      <name val="標楷體"/>
      <family val="4"/>
      <charset val="136"/>
    </font>
    <font>
      <b/>
      <sz val="18"/>
      <color indexed="8"/>
      <name val="標楷體"/>
      <family val="4"/>
      <charset val="136"/>
    </font>
  </fonts>
  <fills count="13">
    <fill>
      <patternFill patternType="none"/>
    </fill>
    <fill>
      <patternFill patternType="gray125"/>
    </fill>
    <fill>
      <patternFill patternType="solid">
        <fgColor rgb="FF7030A0"/>
        <bgColor indexed="64"/>
      </patternFill>
    </fill>
    <fill>
      <patternFill patternType="solid">
        <fgColor rgb="FFFFFF00"/>
        <bgColor indexed="64"/>
      </patternFill>
    </fill>
    <fill>
      <patternFill patternType="solid">
        <fgColor rgb="FF00FFFF"/>
        <bgColor indexed="64"/>
      </patternFill>
    </fill>
    <fill>
      <patternFill patternType="solid">
        <fgColor theme="0"/>
        <bgColor indexed="64"/>
      </patternFill>
    </fill>
    <fill>
      <patternFill patternType="solid">
        <fgColor rgb="FFFF99CC"/>
        <bgColor indexed="64"/>
      </patternFill>
    </fill>
    <fill>
      <patternFill patternType="solid">
        <fgColor rgb="FF00FF00"/>
        <bgColor indexed="64"/>
      </patternFill>
    </fill>
    <fill>
      <patternFill patternType="solid">
        <fgColor rgb="FFFFC000"/>
        <bgColor indexed="64"/>
      </patternFill>
    </fill>
    <fill>
      <patternFill patternType="solid">
        <fgColor rgb="FF92D050"/>
        <bgColor indexed="64"/>
      </patternFill>
    </fill>
    <fill>
      <patternFill patternType="solid">
        <fgColor rgb="FF0000FF"/>
        <bgColor indexed="64"/>
      </patternFill>
    </fill>
    <fill>
      <patternFill patternType="solid">
        <fgColor rgb="FFFFCC99"/>
        <bgColor indexed="64"/>
      </patternFill>
    </fill>
    <fill>
      <patternFill patternType="solid">
        <fgColor theme="9" tint="0.399975585192419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thin">
        <color indexed="64"/>
      </left>
      <right style="medium">
        <color indexed="64"/>
      </right>
      <top/>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diagonalUp="1" diagonalDown="1">
      <left style="thin">
        <color indexed="64"/>
      </left>
      <right style="thin">
        <color indexed="64"/>
      </right>
      <top style="thin">
        <color indexed="64"/>
      </top>
      <bottom style="thin">
        <color indexed="64"/>
      </bottom>
      <diagonal style="thin">
        <color indexed="64"/>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bottom/>
      <diagonal/>
    </border>
  </borders>
  <cellStyleXfs count="2">
    <xf numFmtId="0" fontId="0" fillId="0" borderId="0">
      <alignment vertical="center"/>
    </xf>
    <xf numFmtId="0" fontId="13" fillId="0" borderId="0" applyNumberFormat="0" applyFill="0" applyBorder="0" applyAlignment="0" applyProtection="0">
      <alignment vertical="top"/>
      <protection locked="0"/>
    </xf>
  </cellStyleXfs>
  <cellXfs count="305">
    <xf numFmtId="0" fontId="0" fillId="0" borderId="0" xfId="0">
      <alignment vertical="center"/>
    </xf>
    <xf numFmtId="0" fontId="0" fillId="0" borderId="0" xfId="0" applyAlignment="1">
      <alignment vertical="center" wrapText="1"/>
    </xf>
    <xf numFmtId="0" fontId="0" fillId="0" borderId="0" xfId="0" applyAlignment="1">
      <alignment vertical="center"/>
    </xf>
    <xf numFmtId="0" fontId="2" fillId="2" borderId="0" xfId="0" applyFont="1" applyFill="1" applyAlignment="1">
      <alignment horizontal="center" vertical="center"/>
    </xf>
    <xf numFmtId="0" fontId="0" fillId="0" borderId="1" xfId="0" applyBorder="1">
      <alignment vertical="center"/>
    </xf>
    <xf numFmtId="0" fontId="0" fillId="0" borderId="1" xfId="0" applyBorder="1" applyAlignment="1">
      <alignment vertical="center" wrapText="1"/>
    </xf>
    <xf numFmtId="0" fontId="3" fillId="3" borderId="1" xfId="0" applyFont="1" applyFill="1" applyBorder="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3" fillId="0" borderId="1" xfId="0" applyFont="1" applyBorder="1" applyAlignment="1">
      <alignment vertical="center" wrapText="1"/>
    </xf>
    <xf numFmtId="0" fontId="3" fillId="0" borderId="1" xfId="0" applyFont="1" applyBorder="1">
      <alignment vertical="center"/>
    </xf>
    <xf numFmtId="0" fontId="5" fillId="0" borderId="2" xfId="0" applyFont="1" applyBorder="1" applyAlignment="1">
      <alignment vertical="center" wrapText="1"/>
    </xf>
    <xf numFmtId="0" fontId="3" fillId="0" borderId="2" xfId="0" applyFont="1" applyBorder="1" applyAlignment="1">
      <alignment horizontal="center" vertical="center"/>
    </xf>
    <xf numFmtId="0" fontId="6" fillId="4" borderId="1" xfId="0" applyFont="1" applyFill="1" applyBorder="1" applyAlignment="1">
      <alignment horizontal="center" vertical="center"/>
    </xf>
    <xf numFmtId="0" fontId="5" fillId="0" borderId="1" xfId="0" applyFont="1" applyBorder="1" applyAlignment="1">
      <alignment horizontal="left" vertical="top" wrapText="1"/>
    </xf>
    <xf numFmtId="0" fontId="0" fillId="5" borderId="0" xfId="0" applyFill="1">
      <alignment vertical="center"/>
    </xf>
    <xf numFmtId="0" fontId="0" fillId="5" borderId="0" xfId="0" applyFill="1" applyAlignment="1">
      <alignment vertical="center"/>
    </xf>
    <xf numFmtId="0" fontId="5" fillId="3" borderId="1" xfId="0" applyFont="1" applyFill="1" applyBorder="1" applyAlignment="1">
      <alignment vertical="center" wrapText="1"/>
    </xf>
    <xf numFmtId="0" fontId="5" fillId="6" borderId="1" xfId="0" applyFont="1" applyFill="1" applyBorder="1" applyAlignment="1">
      <alignment vertical="center" wrapText="1"/>
    </xf>
    <xf numFmtId="0" fontId="5" fillId="0" borderId="1" xfId="0" applyFont="1" applyBorder="1" applyAlignment="1">
      <alignment horizontal="left" vertical="top"/>
    </xf>
    <xf numFmtId="0" fontId="4" fillId="5" borderId="0" xfId="0" applyFont="1" applyFill="1" applyAlignment="1">
      <alignment horizontal="center" vertical="center"/>
    </xf>
    <xf numFmtId="49" fontId="0" fillId="0" borderId="0" xfId="0" applyNumberFormat="1">
      <alignment vertical="center"/>
    </xf>
    <xf numFmtId="0" fontId="0" fillId="0" borderId="0" xfId="0">
      <alignment vertical="center"/>
    </xf>
    <xf numFmtId="0" fontId="0" fillId="0" borderId="0" xfId="0" applyAlignment="1">
      <alignment horizontal="center" vertical="center"/>
    </xf>
    <xf numFmtId="0" fontId="3" fillId="0" borderId="0" xfId="0" applyFont="1" applyAlignment="1">
      <alignment horizontal="center" vertical="center"/>
    </xf>
    <xf numFmtId="0" fontId="12" fillId="0" borderId="1" xfId="0" applyFont="1" applyBorder="1" applyAlignment="1">
      <alignment horizontal="center" vertical="center"/>
    </xf>
    <xf numFmtId="20" fontId="4" fillId="5" borderId="0" xfId="0" applyNumberFormat="1" applyFont="1" applyFill="1" applyAlignment="1">
      <alignment horizontal="center" vertical="center"/>
    </xf>
    <xf numFmtId="0" fontId="0" fillId="5" borderId="1" xfId="0" applyFill="1" applyBorder="1">
      <alignment vertical="center"/>
    </xf>
    <xf numFmtId="0" fontId="0" fillId="5" borderId="1" xfId="0" applyFill="1" applyBorder="1" applyAlignment="1">
      <alignment horizontal="center" vertical="center"/>
    </xf>
    <xf numFmtId="0" fontId="0" fillId="0" borderId="0" xfId="0" applyBorder="1" applyAlignment="1">
      <alignment horizontal="center" vertical="center"/>
    </xf>
    <xf numFmtId="0" fontId="0" fillId="3" borderId="1" xfId="0" applyFill="1" applyBorder="1" applyAlignment="1">
      <alignment horizontal="center" vertical="center"/>
    </xf>
    <xf numFmtId="0" fontId="0" fillId="3" borderId="0" xfId="0" applyFill="1" applyAlignment="1">
      <alignment horizontal="center" vertical="center"/>
    </xf>
    <xf numFmtId="0" fontId="0" fillId="0" borderId="0" xfId="0">
      <alignment vertical="center"/>
    </xf>
    <xf numFmtId="0" fontId="0" fillId="0" borderId="0" xfId="0">
      <alignment vertical="center"/>
    </xf>
    <xf numFmtId="0" fontId="0" fillId="0" borderId="0" xfId="0">
      <alignment vertical="center"/>
    </xf>
    <xf numFmtId="0" fontId="4" fillId="5" borderId="0" xfId="0" applyFont="1" applyFill="1" applyAlignment="1">
      <alignment vertical="center"/>
    </xf>
    <xf numFmtId="0" fontId="0" fillId="5" borderId="0" xfId="0" applyFill="1" applyBorder="1">
      <alignment vertical="center"/>
    </xf>
    <xf numFmtId="49" fontId="0" fillId="3" borderId="0" xfId="0" applyNumberFormat="1" applyFill="1" applyAlignment="1">
      <alignment horizontal="left" vertical="center"/>
    </xf>
    <xf numFmtId="0" fontId="0" fillId="3" borderId="0" xfId="0" applyFill="1" applyAlignment="1">
      <alignment horizontal="left" vertical="center"/>
    </xf>
    <xf numFmtId="0" fontId="0" fillId="6" borderId="0" xfId="0" applyFill="1" applyAlignment="1">
      <alignment horizontal="left" vertical="center"/>
    </xf>
    <xf numFmtId="176" fontId="0" fillId="0" borderId="0" xfId="0" applyNumberFormat="1">
      <alignment vertical="center"/>
    </xf>
    <xf numFmtId="0" fontId="0" fillId="7" borderId="0" xfId="0" applyFill="1" applyAlignment="1">
      <alignment horizontal="center" vertical="center"/>
    </xf>
    <xf numFmtId="176" fontId="17" fillId="2" borderId="0" xfId="0" applyNumberFormat="1" applyFont="1" applyFill="1">
      <alignment vertical="center"/>
    </xf>
    <xf numFmtId="0" fontId="0" fillId="0" borderId="1" xfId="0" applyFill="1" applyBorder="1">
      <alignment vertical="center"/>
    </xf>
    <xf numFmtId="0" fontId="0" fillId="7" borderId="1" xfId="0" applyFill="1" applyBorder="1" applyAlignment="1">
      <alignment horizontal="center" vertical="center"/>
    </xf>
    <xf numFmtId="0" fontId="0" fillId="0" borderId="1" xfId="0" applyBorder="1" applyAlignment="1">
      <alignment vertical="center"/>
    </xf>
    <xf numFmtId="0" fontId="4" fillId="5" borderId="0" xfId="0" applyFont="1" applyFill="1" applyAlignment="1">
      <alignment horizontal="center" vertical="center"/>
    </xf>
    <xf numFmtId="0" fontId="4" fillId="5" borderId="0" xfId="0" applyFont="1" applyFill="1" applyBorder="1" applyAlignment="1">
      <alignment horizontal="center" vertical="center"/>
    </xf>
    <xf numFmtId="0" fontId="12" fillId="0" borderId="4" xfId="0" applyFont="1" applyBorder="1" applyAlignment="1">
      <alignment horizontal="center" vertical="center"/>
    </xf>
    <xf numFmtId="49" fontId="3" fillId="0" borderId="1" xfId="0" applyNumberFormat="1" applyFont="1" applyBorder="1" applyAlignment="1">
      <alignment horizontal="center" vertical="center"/>
    </xf>
    <xf numFmtId="0" fontId="3" fillId="0" borderId="1" xfId="0" applyFont="1" applyBorder="1" applyAlignment="1">
      <alignment horizontal="center" vertical="center"/>
    </xf>
    <xf numFmtId="0" fontId="19" fillId="5" borderId="0" xfId="0" applyFont="1" applyFill="1" applyAlignment="1">
      <alignment horizontal="center" vertical="center"/>
    </xf>
    <xf numFmtId="0" fontId="16" fillId="5" borderId="0" xfId="1" applyFont="1" applyFill="1" applyBorder="1" applyAlignment="1" applyProtection="1">
      <alignment horizontal="center" vertical="center"/>
    </xf>
    <xf numFmtId="0" fontId="18" fillId="5" borderId="0" xfId="0" applyFont="1" applyFill="1" applyBorder="1" applyAlignment="1">
      <alignment vertical="center"/>
    </xf>
    <xf numFmtId="0" fontId="2" fillId="0" borderId="0" xfId="0" applyFont="1" applyFill="1" applyBorder="1" applyAlignment="1">
      <alignment vertical="center"/>
    </xf>
    <xf numFmtId="0" fontId="0" fillId="5" borderId="3" xfId="0" applyFill="1" applyBorder="1" applyAlignment="1">
      <alignment vertical="center"/>
    </xf>
    <xf numFmtId="0" fontId="12" fillId="0" borderId="5" xfId="0" applyFont="1" applyBorder="1" applyAlignment="1">
      <alignment horizontal="center" vertical="center"/>
    </xf>
    <xf numFmtId="0" fontId="12" fillId="0" borderId="7" xfId="0" applyFont="1" applyBorder="1" applyAlignment="1">
      <alignment horizontal="center" vertical="center"/>
    </xf>
    <xf numFmtId="0" fontId="4" fillId="5" borderId="0" xfId="0" applyFont="1" applyFill="1" applyBorder="1" applyAlignment="1">
      <alignment vertical="center"/>
    </xf>
    <xf numFmtId="0" fontId="16" fillId="5" borderId="0" xfId="1" applyFont="1" applyFill="1" applyBorder="1" applyAlignment="1" applyProtection="1">
      <alignment vertical="center"/>
    </xf>
    <xf numFmtId="0" fontId="7" fillId="5" borderId="0" xfId="0" applyFont="1" applyFill="1" applyBorder="1" applyAlignment="1">
      <alignment horizontal="center" vertical="center"/>
    </xf>
    <xf numFmtId="0" fontId="21" fillId="5" borderId="0" xfId="0" applyFont="1" applyFill="1" applyBorder="1" applyAlignment="1">
      <alignment horizontal="center" vertical="center"/>
    </xf>
    <xf numFmtId="0" fontId="0" fillId="0" borderId="7" xfId="0" applyFill="1" applyBorder="1" applyAlignment="1">
      <alignment vertical="center" wrapText="1"/>
    </xf>
    <xf numFmtId="0" fontId="0" fillId="0" borderId="0" xfId="0">
      <alignment vertical="center"/>
    </xf>
    <xf numFmtId="49" fontId="3" fillId="0" borderId="5" xfId="0" applyNumberFormat="1" applyFont="1" applyBorder="1" applyAlignment="1">
      <alignment horizontal="center" vertical="center"/>
    </xf>
    <xf numFmtId="14" fontId="0" fillId="5" borderId="0" xfId="0" applyNumberFormat="1" applyFill="1">
      <alignment vertical="center"/>
    </xf>
    <xf numFmtId="19" fontId="4" fillId="5" borderId="0" xfId="0" applyNumberFormat="1" applyFont="1" applyFill="1" applyAlignment="1">
      <alignment vertical="center"/>
    </xf>
    <xf numFmtId="14" fontId="4" fillId="5" borderId="0" xfId="0" applyNumberFormat="1" applyFont="1" applyFill="1" applyAlignment="1">
      <alignment vertical="center"/>
    </xf>
    <xf numFmtId="0" fontId="0" fillId="0" borderId="0" xfId="0" applyBorder="1">
      <alignment vertical="center"/>
    </xf>
    <xf numFmtId="0" fontId="13" fillId="5" borderId="1" xfId="1" applyFill="1" applyBorder="1" applyAlignment="1" applyProtection="1">
      <alignment horizontal="center" vertical="center"/>
    </xf>
    <xf numFmtId="0" fontId="0" fillId="5" borderId="1" xfId="0" applyFill="1" applyBorder="1" applyAlignment="1">
      <alignment horizontal="center" vertical="center"/>
    </xf>
    <xf numFmtId="0" fontId="4" fillId="3" borderId="9" xfId="0" applyFont="1" applyFill="1" applyBorder="1" applyAlignment="1">
      <alignment horizontal="center" vertical="center"/>
    </xf>
    <xf numFmtId="0" fontId="4" fillId="3" borderId="9" xfId="0" applyFont="1" applyFill="1" applyBorder="1" applyAlignment="1">
      <alignment horizontal="center" vertical="center"/>
    </xf>
    <xf numFmtId="0" fontId="4" fillId="3" borderId="8" xfId="0" applyFont="1" applyFill="1" applyBorder="1" applyAlignment="1">
      <alignment horizontal="right" vertical="center"/>
    </xf>
    <xf numFmtId="0" fontId="4" fillId="3" borderId="10" xfId="0" applyFont="1" applyFill="1" applyBorder="1" applyAlignment="1">
      <alignment horizontal="left" vertical="center"/>
    </xf>
    <xf numFmtId="0" fontId="4" fillId="3" borderId="9" xfId="0" applyFont="1" applyFill="1" applyBorder="1" applyAlignment="1">
      <alignment horizontal="center" vertical="center"/>
    </xf>
    <xf numFmtId="0" fontId="23" fillId="5" borderId="15" xfId="0" applyFont="1" applyFill="1" applyBorder="1" applyAlignment="1">
      <alignment horizontal="center" vertical="center"/>
    </xf>
    <xf numFmtId="0" fontId="0" fillId="0" borderId="0" xfId="0" applyFont="1" applyFill="1" applyBorder="1">
      <alignment vertical="center"/>
    </xf>
    <xf numFmtId="0" fontId="5" fillId="0" borderId="0" xfId="0" applyFont="1" applyBorder="1">
      <alignment vertical="center"/>
    </xf>
    <xf numFmtId="0" fontId="5" fillId="3" borderId="1" xfId="0" applyFont="1" applyFill="1" applyBorder="1">
      <alignment vertical="center"/>
    </xf>
    <xf numFmtId="0" fontId="5" fillId="0" borderId="0" xfId="0" applyFont="1" applyFill="1" applyBorder="1">
      <alignment vertical="center"/>
    </xf>
    <xf numFmtId="0" fontId="5" fillId="3" borderId="17" xfId="0" applyFont="1" applyFill="1" applyBorder="1" applyAlignment="1">
      <alignment horizontal="center" vertical="center"/>
    </xf>
    <xf numFmtId="0" fontId="5" fillId="3" borderId="17" xfId="0" applyFont="1" applyFill="1" applyBorder="1">
      <alignment vertical="center"/>
    </xf>
    <xf numFmtId="0" fontId="5" fillId="3" borderId="17" xfId="0" applyNumberFormat="1" applyFont="1" applyFill="1" applyBorder="1">
      <alignment vertical="center"/>
    </xf>
    <xf numFmtId="0" fontId="5" fillId="6" borderId="17" xfId="0" applyFont="1" applyFill="1" applyBorder="1" applyAlignment="1">
      <alignment horizontal="center" vertical="center"/>
    </xf>
    <xf numFmtId="0" fontId="5" fillId="0" borderId="1" xfId="0" applyFont="1" applyBorder="1">
      <alignment vertical="center"/>
    </xf>
    <xf numFmtId="0" fontId="4" fillId="3" borderId="10" xfId="0" applyFont="1" applyFill="1" applyBorder="1" applyAlignment="1">
      <alignment vertical="center"/>
    </xf>
    <xf numFmtId="0" fontId="18" fillId="3" borderId="9" xfId="0" applyFont="1" applyFill="1" applyBorder="1" applyAlignment="1">
      <alignment horizontal="center" vertical="center"/>
    </xf>
    <xf numFmtId="0" fontId="18" fillId="3" borderId="8" xfId="0" applyFont="1" applyFill="1" applyBorder="1" applyAlignment="1">
      <alignment vertical="center"/>
    </xf>
    <xf numFmtId="0" fontId="18" fillId="3" borderId="10" xfId="0" applyFont="1" applyFill="1" applyBorder="1" applyAlignment="1">
      <alignment horizontal="left" vertical="center"/>
    </xf>
    <xf numFmtId="0" fontId="3" fillId="0" borderId="0" xfId="0" applyFont="1" applyBorder="1" applyAlignment="1">
      <alignment horizontal="center" vertical="center"/>
    </xf>
    <xf numFmtId="49" fontId="3" fillId="0" borderId="0" xfId="0" applyNumberFormat="1" applyFont="1" applyBorder="1" applyAlignment="1">
      <alignment horizontal="center" vertical="center"/>
    </xf>
    <xf numFmtId="49" fontId="0" fillId="0" borderId="0" xfId="0" applyNumberFormat="1" applyBorder="1" applyAlignment="1">
      <alignment horizontal="center" vertical="center"/>
    </xf>
    <xf numFmtId="10" fontId="0" fillId="0" borderId="0" xfId="0" applyNumberFormat="1">
      <alignment vertical="center"/>
    </xf>
    <xf numFmtId="10" fontId="27" fillId="5" borderId="1" xfId="0" applyNumberFormat="1" applyFont="1" applyFill="1" applyBorder="1">
      <alignment vertical="center"/>
    </xf>
    <xf numFmtId="0" fontId="27" fillId="5" borderId="0" xfId="0" applyFont="1" applyFill="1">
      <alignment vertical="center"/>
    </xf>
    <xf numFmtId="0" fontId="5" fillId="5" borderId="1" xfId="0" applyFont="1" applyFill="1" applyBorder="1" applyAlignment="1">
      <alignment horizontal="center" vertical="center"/>
    </xf>
    <xf numFmtId="0" fontId="28" fillId="5" borderId="0" xfId="0" applyFont="1" applyFill="1" applyBorder="1" applyAlignment="1">
      <alignment horizontal="center" vertical="center"/>
    </xf>
    <xf numFmtId="10" fontId="28" fillId="5" borderId="0" xfId="0" applyNumberFormat="1" applyFont="1" applyFill="1" applyBorder="1" applyAlignment="1">
      <alignment horizontal="center" vertical="center"/>
    </xf>
    <xf numFmtId="0" fontId="25" fillId="0" borderId="20" xfId="1" applyFont="1" applyBorder="1" applyAlignment="1" applyProtection="1">
      <alignment vertical="center"/>
    </xf>
    <xf numFmtId="0" fontId="5" fillId="7" borderId="1" xfId="0" applyFont="1" applyFill="1" applyBorder="1" applyAlignment="1">
      <alignment vertical="center"/>
    </xf>
    <xf numFmtId="10" fontId="30" fillId="7" borderId="4" xfId="0" applyNumberFormat="1" applyFont="1" applyFill="1" applyBorder="1" applyAlignment="1">
      <alignment vertical="center"/>
    </xf>
    <xf numFmtId="0" fontId="2" fillId="2" borderId="1" xfId="0" applyFont="1" applyFill="1" applyBorder="1" applyAlignment="1">
      <alignment horizontal="center" vertical="center"/>
    </xf>
    <xf numFmtId="0" fontId="5" fillId="6" borderId="3" xfId="0" applyFont="1" applyFill="1" applyBorder="1">
      <alignment vertical="center"/>
    </xf>
    <xf numFmtId="0" fontId="5" fillId="3" borderId="1" xfId="0" applyFont="1" applyFill="1" applyBorder="1" applyAlignment="1">
      <alignment horizontal="center" vertical="center" wrapText="1"/>
    </xf>
    <xf numFmtId="0" fontId="2" fillId="2" borderId="1" xfId="0" applyFont="1" applyFill="1" applyBorder="1" applyAlignment="1">
      <alignment horizontal="center" vertical="center"/>
    </xf>
    <xf numFmtId="0" fontId="5" fillId="8" borderId="0" xfId="0" applyFont="1" applyFill="1" applyAlignment="1">
      <alignment horizontal="center" vertical="center"/>
    </xf>
    <xf numFmtId="0" fontId="5" fillId="6" borderId="1" xfId="0" applyFont="1" applyFill="1" applyBorder="1" applyAlignment="1">
      <alignment horizontal="center" vertical="center" wrapText="1"/>
    </xf>
    <xf numFmtId="0" fontId="5" fillId="4" borderId="1" xfId="0" applyFont="1" applyFill="1" applyBorder="1" applyAlignment="1">
      <alignment horizontal="center" vertical="center"/>
    </xf>
    <xf numFmtId="0" fontId="0" fillId="5" borderId="0" xfId="0" applyFill="1" applyAlignment="1">
      <alignment horizontal="center" vertical="center" wrapText="1"/>
    </xf>
    <xf numFmtId="0" fontId="0" fillId="6" borderId="1" xfId="0" applyFill="1" applyBorder="1">
      <alignment vertical="center"/>
    </xf>
    <xf numFmtId="0" fontId="5" fillId="4" borderId="1" xfId="0" applyFont="1" applyFill="1" applyBorder="1" applyAlignment="1">
      <alignment horizontal="center" vertical="center" wrapText="1"/>
    </xf>
    <xf numFmtId="0" fontId="5" fillId="4" borderId="1" xfId="0" applyFont="1" applyFill="1" applyBorder="1">
      <alignment vertical="center"/>
    </xf>
    <xf numFmtId="10" fontId="31" fillId="5" borderId="1" xfId="0" applyNumberFormat="1" applyFont="1" applyFill="1" applyBorder="1">
      <alignment vertical="center"/>
    </xf>
    <xf numFmtId="10" fontId="30" fillId="5" borderId="1" xfId="0" applyNumberFormat="1" applyFont="1" applyFill="1" applyBorder="1">
      <alignment vertical="center"/>
    </xf>
    <xf numFmtId="0" fontId="5" fillId="9" borderId="1" xfId="0" applyFont="1" applyFill="1" applyBorder="1" applyAlignment="1">
      <alignment horizontal="center" vertical="center" wrapText="1"/>
    </xf>
    <xf numFmtId="0" fontId="5" fillId="9" borderId="1" xfId="0" applyFont="1" applyFill="1" applyBorder="1" applyAlignment="1">
      <alignment horizontal="center" vertical="center"/>
    </xf>
    <xf numFmtId="10" fontId="27" fillId="6" borderId="1" xfId="0" applyNumberFormat="1" applyFont="1" applyFill="1" applyBorder="1">
      <alignment vertical="center"/>
    </xf>
    <xf numFmtId="10" fontId="30" fillId="10" borderId="4" xfId="0" applyNumberFormat="1" applyFont="1" applyFill="1" applyBorder="1" applyAlignment="1">
      <alignment vertical="center"/>
    </xf>
    <xf numFmtId="0" fontId="2" fillId="10" borderId="1" xfId="0" applyFont="1" applyFill="1" applyBorder="1" applyAlignment="1">
      <alignment vertical="center"/>
    </xf>
    <xf numFmtId="0" fontId="32" fillId="5" borderId="0" xfId="0" applyFont="1" applyFill="1">
      <alignment vertical="center"/>
    </xf>
    <xf numFmtId="0" fontId="0" fillId="3" borderId="1" xfId="0" applyFill="1" applyBorder="1" applyAlignment="1">
      <alignment vertical="center"/>
    </xf>
    <xf numFmtId="10" fontId="27" fillId="3" borderId="1" xfId="0" applyNumberFormat="1" applyFont="1" applyFill="1" applyBorder="1" applyAlignment="1">
      <alignment vertical="center"/>
    </xf>
    <xf numFmtId="0" fontId="2" fillId="2" borderId="1" xfId="0" applyFont="1" applyFill="1" applyBorder="1" applyAlignment="1">
      <alignment horizontal="center" vertical="center" wrapText="1"/>
    </xf>
    <xf numFmtId="0" fontId="2" fillId="2" borderId="1" xfId="0" applyFont="1" applyFill="1" applyBorder="1" applyAlignment="1">
      <alignment horizontal="center" vertical="center"/>
    </xf>
    <xf numFmtId="0" fontId="13" fillId="6" borderId="1" xfId="1" applyFill="1" applyBorder="1" applyAlignment="1" applyProtection="1">
      <alignment horizontal="center" vertical="center" wrapText="1"/>
    </xf>
    <xf numFmtId="0" fontId="5" fillId="3" borderId="19" xfId="0" applyFont="1" applyFill="1" applyBorder="1" applyAlignment="1">
      <alignment horizontal="center" vertical="center"/>
    </xf>
    <xf numFmtId="0" fontId="0" fillId="0" borderId="1" xfId="0" applyBorder="1" applyAlignment="1">
      <alignment horizontal="center" vertical="center"/>
    </xf>
    <xf numFmtId="10" fontId="30" fillId="2" borderId="1" xfId="0" applyNumberFormat="1" applyFont="1" applyFill="1" applyBorder="1" applyAlignment="1">
      <alignment horizontal="center" vertical="center"/>
    </xf>
    <xf numFmtId="0" fontId="13" fillId="0" borderId="1" xfId="1" applyBorder="1" applyAlignment="1" applyProtection="1">
      <alignment horizontal="center" vertical="center" wrapText="1"/>
    </xf>
    <xf numFmtId="0" fontId="27" fillId="0" borderId="0" xfId="0" applyFont="1">
      <alignment vertical="center"/>
    </xf>
    <xf numFmtId="0" fontId="13" fillId="3" borderId="1" xfId="1" applyFill="1" applyBorder="1" applyAlignment="1" applyProtection="1">
      <alignment horizontal="center" vertical="center" wrapText="1"/>
    </xf>
    <xf numFmtId="0" fontId="23" fillId="5" borderId="15" xfId="0" applyFont="1" applyFill="1" applyBorder="1" applyAlignment="1">
      <alignment horizontal="right" vertical="center"/>
    </xf>
    <xf numFmtId="0" fontId="23" fillId="5" borderId="16" xfId="0" applyFont="1" applyFill="1" applyBorder="1" applyAlignment="1">
      <alignment horizontal="left" vertical="center"/>
    </xf>
    <xf numFmtId="0" fontId="23" fillId="5" borderId="15" xfId="0" applyFont="1" applyFill="1" applyBorder="1" applyAlignment="1">
      <alignment horizontal="left" vertical="center"/>
    </xf>
    <xf numFmtId="0" fontId="0" fillId="0" borderId="0" xfId="0" applyAlignment="1">
      <alignment horizontal="left" vertical="center"/>
    </xf>
    <xf numFmtId="0" fontId="0" fillId="5" borderId="1" xfId="0" applyFill="1" applyBorder="1" applyAlignment="1">
      <alignment horizontal="center" vertical="center"/>
    </xf>
    <xf numFmtId="0" fontId="13" fillId="0" borderId="1" xfId="1" applyBorder="1" applyAlignment="1" applyProtection="1">
      <alignment horizontal="center" vertical="center"/>
    </xf>
    <xf numFmtId="0" fontId="13" fillId="3" borderId="1" xfId="1" applyFill="1" applyBorder="1" applyAlignment="1" applyProtection="1">
      <alignment vertical="center"/>
    </xf>
    <xf numFmtId="0" fontId="13" fillId="5" borderId="1" xfId="1" applyFill="1" applyBorder="1" applyAlignment="1" applyProtection="1">
      <alignment vertical="center"/>
    </xf>
    <xf numFmtId="0" fontId="0" fillId="0" borderId="1" xfId="0" applyFont="1" applyFill="1" applyBorder="1">
      <alignment vertical="center"/>
    </xf>
    <xf numFmtId="0" fontId="13" fillId="0" borderId="1" xfId="1" applyFill="1" applyBorder="1" applyAlignment="1" applyProtection="1">
      <alignment vertical="center"/>
    </xf>
    <xf numFmtId="0" fontId="5" fillId="0" borderId="1" xfId="0" applyFont="1" applyFill="1" applyBorder="1" applyAlignment="1">
      <alignment horizontal="center" vertical="center"/>
    </xf>
    <xf numFmtId="0" fontId="5" fillId="3" borderId="19" xfId="0" applyFont="1" applyFill="1" applyBorder="1">
      <alignment vertical="center"/>
    </xf>
    <xf numFmtId="0" fontId="13" fillId="0" borderId="1" xfId="1" applyBorder="1" applyAlignment="1" applyProtection="1">
      <alignment vertical="center"/>
    </xf>
    <xf numFmtId="49" fontId="35" fillId="5" borderId="0" xfId="0" applyNumberFormat="1" applyFont="1" applyFill="1">
      <alignment vertical="center"/>
    </xf>
    <xf numFmtId="0" fontId="5" fillId="5" borderId="1" xfId="0" applyFont="1" applyFill="1" applyBorder="1" applyAlignment="1">
      <alignment horizontal="center" vertical="center"/>
    </xf>
    <xf numFmtId="0" fontId="29" fillId="5" borderId="1" xfId="0" applyFont="1" applyFill="1" applyBorder="1" applyAlignment="1">
      <alignment horizontal="center" vertical="center"/>
    </xf>
    <xf numFmtId="0" fontId="5" fillId="5" borderId="1" xfId="0" applyFont="1" applyFill="1" applyBorder="1" applyAlignment="1">
      <alignment horizontal="center" vertical="center" wrapText="1"/>
    </xf>
    <xf numFmtId="0" fontId="36" fillId="5" borderId="0" xfId="0" applyFont="1" applyFill="1" applyBorder="1" applyAlignment="1">
      <alignment horizontal="center" vertical="center"/>
    </xf>
    <xf numFmtId="0" fontId="5" fillId="0" borderId="1" xfId="0" applyFont="1" applyFill="1" applyBorder="1" applyAlignment="1">
      <alignment horizontal="center" vertical="center" wrapText="1"/>
    </xf>
    <xf numFmtId="0" fontId="5" fillId="5" borderId="7" xfId="0" applyFont="1" applyFill="1" applyBorder="1" applyAlignment="1">
      <alignment horizontal="center" vertical="center"/>
    </xf>
    <xf numFmtId="49" fontId="5" fillId="5" borderId="1" xfId="0" applyNumberFormat="1" applyFont="1" applyFill="1" applyBorder="1" applyAlignment="1">
      <alignment horizontal="center" vertical="center"/>
    </xf>
    <xf numFmtId="0" fontId="5" fillId="5" borderId="24" xfId="0" applyFont="1" applyFill="1" applyBorder="1" applyAlignment="1">
      <alignment horizontal="center" vertical="center"/>
    </xf>
    <xf numFmtId="0" fontId="5" fillId="0" borderId="1" xfId="0" applyFont="1" applyFill="1" applyBorder="1" applyAlignment="1">
      <alignment horizontal="center" vertical="center"/>
    </xf>
    <xf numFmtId="0" fontId="2" fillId="10" borderId="0" xfId="0" applyFont="1" applyFill="1" applyAlignment="1">
      <alignment horizontal="center" vertical="center"/>
    </xf>
    <xf numFmtId="0" fontId="29" fillId="0" borderId="1" xfId="0" applyFont="1" applyFill="1" applyBorder="1" applyAlignment="1">
      <alignment horizontal="center" vertical="center"/>
    </xf>
    <xf numFmtId="49" fontId="5" fillId="0" borderId="1" xfId="0" applyNumberFormat="1" applyFont="1" applyFill="1" applyBorder="1" applyAlignment="1">
      <alignment horizontal="center" vertical="center"/>
    </xf>
    <xf numFmtId="0" fontId="2" fillId="2" borderId="1" xfId="0" applyFont="1" applyFill="1" applyBorder="1" applyAlignment="1">
      <alignment horizontal="center" vertical="center"/>
    </xf>
    <xf numFmtId="0" fontId="5" fillId="0" borderId="1" xfId="0" applyFont="1" applyFill="1" applyBorder="1" applyAlignment="1">
      <alignment horizontal="center" vertical="center"/>
    </xf>
    <xf numFmtId="0" fontId="3" fillId="4" borderId="1" xfId="0" applyFont="1" applyFill="1" applyBorder="1" applyAlignment="1">
      <alignment horizontal="center" vertical="center"/>
    </xf>
    <xf numFmtId="20" fontId="5" fillId="11" borderId="1" xfId="0" applyNumberFormat="1" applyFont="1" applyFill="1" applyBorder="1" applyAlignment="1">
      <alignment horizontal="center" vertical="center"/>
    </xf>
    <xf numFmtId="0" fontId="5" fillId="11" borderId="1" xfId="0" applyFont="1" applyFill="1" applyBorder="1" applyAlignment="1">
      <alignment horizontal="center" vertical="center"/>
    </xf>
    <xf numFmtId="10" fontId="5" fillId="11" borderId="1" xfId="0" applyNumberFormat="1" applyFont="1" applyFill="1" applyBorder="1" applyAlignment="1">
      <alignment horizontal="center" vertical="center"/>
    </xf>
    <xf numFmtId="20" fontId="5" fillId="3" borderId="1" xfId="0" applyNumberFormat="1" applyFont="1" applyFill="1" applyBorder="1" applyAlignment="1">
      <alignment horizontal="center" vertical="center"/>
    </xf>
    <xf numFmtId="0" fontId="5" fillId="3" borderId="1" xfId="0" applyFont="1" applyFill="1" applyBorder="1" applyAlignment="1">
      <alignment horizontal="center" vertical="center"/>
    </xf>
    <xf numFmtId="10" fontId="5" fillId="3" borderId="1" xfId="0" applyNumberFormat="1" applyFont="1" applyFill="1" applyBorder="1" applyAlignment="1">
      <alignment horizontal="center" vertical="center"/>
    </xf>
    <xf numFmtId="20" fontId="5" fillId="6" borderId="1" xfId="0" applyNumberFormat="1" applyFont="1" applyFill="1" applyBorder="1" applyAlignment="1">
      <alignment horizontal="center" vertical="center"/>
    </xf>
    <xf numFmtId="20" fontId="5" fillId="0" borderId="1" xfId="0" applyNumberFormat="1" applyFont="1" applyBorder="1" applyAlignment="1">
      <alignment horizontal="center" vertical="center"/>
    </xf>
    <xf numFmtId="20" fontId="5" fillId="0" borderId="1" xfId="0" applyNumberFormat="1" applyFont="1" applyFill="1" applyBorder="1" applyAlignment="1">
      <alignment horizontal="center" vertical="center"/>
    </xf>
    <xf numFmtId="0" fontId="5" fillId="6" borderId="1" xfId="0" applyFont="1" applyFill="1" applyBorder="1" applyAlignment="1">
      <alignment horizontal="center" vertical="center"/>
    </xf>
    <xf numFmtId="0" fontId="5" fillId="0" borderId="1" xfId="0" applyFont="1" applyBorder="1" applyAlignment="1">
      <alignment horizontal="center" vertical="center"/>
    </xf>
    <xf numFmtId="0" fontId="5" fillId="6" borderId="5" xfId="0" applyFont="1" applyFill="1" applyBorder="1" applyAlignment="1">
      <alignment horizontal="center" vertical="center"/>
    </xf>
    <xf numFmtId="0" fontId="5" fillId="0" borderId="5" xfId="0" applyFont="1" applyBorder="1" applyAlignment="1">
      <alignment horizontal="center" vertical="center"/>
    </xf>
    <xf numFmtId="0" fontId="5" fillId="0" borderId="5" xfId="0" applyFont="1" applyFill="1" applyBorder="1" applyAlignment="1">
      <alignment horizontal="center" vertical="center"/>
    </xf>
    <xf numFmtId="0" fontId="5" fillId="11" borderId="5" xfId="0" applyFont="1" applyFill="1" applyBorder="1" applyAlignment="1">
      <alignment horizontal="center" vertical="center"/>
    </xf>
    <xf numFmtId="0" fontId="3" fillId="6" borderId="26" xfId="0" applyFont="1" applyFill="1" applyBorder="1" applyAlignment="1">
      <alignment horizontal="center" vertical="center"/>
    </xf>
    <xf numFmtId="0" fontId="3" fillId="0" borderId="26" xfId="0" applyFont="1" applyBorder="1" applyAlignment="1">
      <alignment horizontal="center" vertical="center"/>
    </xf>
    <xf numFmtId="0" fontId="5" fillId="0" borderId="26" xfId="0" applyFont="1" applyFill="1" applyBorder="1" applyAlignment="1">
      <alignment horizontal="center" vertical="center"/>
    </xf>
    <xf numFmtId="0" fontId="5" fillId="11" borderId="26" xfId="0" applyFont="1" applyFill="1" applyBorder="1" applyAlignment="1">
      <alignment horizontal="center" vertical="center"/>
    </xf>
    <xf numFmtId="0" fontId="5" fillId="11" borderId="27" xfId="0" applyFont="1" applyFill="1" applyBorder="1" applyAlignment="1">
      <alignment horizontal="center" vertical="center"/>
    </xf>
    <xf numFmtId="0" fontId="3" fillId="6" borderId="6" xfId="0" applyFont="1" applyFill="1" applyBorder="1" applyAlignment="1">
      <alignment horizontal="center" vertical="center"/>
    </xf>
    <xf numFmtId="0" fontId="3" fillId="4" borderId="6" xfId="0" applyFont="1" applyFill="1" applyBorder="1" applyAlignment="1">
      <alignment horizontal="center" vertical="center"/>
    </xf>
    <xf numFmtId="0" fontId="3" fillId="4" borderId="28" xfId="0" applyFont="1" applyFill="1" applyBorder="1" applyAlignment="1">
      <alignment horizontal="center" vertical="center"/>
    </xf>
    <xf numFmtId="0" fontId="3" fillId="6" borderId="1" xfId="0" applyFont="1" applyFill="1" applyBorder="1" applyAlignment="1">
      <alignment horizontal="center" vertical="center"/>
    </xf>
    <xf numFmtId="0" fontId="6" fillId="3" borderId="1" xfId="0" applyFont="1" applyFill="1" applyBorder="1" applyAlignment="1">
      <alignment horizontal="center" vertical="center"/>
    </xf>
    <xf numFmtId="0" fontId="0" fillId="0" borderId="0" xfId="0" applyFill="1">
      <alignment vertical="center"/>
    </xf>
    <xf numFmtId="0" fontId="3" fillId="0" borderId="21" xfId="0" applyFont="1" applyFill="1" applyBorder="1" applyAlignment="1">
      <alignment horizontal="center" vertical="center"/>
    </xf>
    <xf numFmtId="0" fontId="6" fillId="0" borderId="21" xfId="0" applyFont="1" applyFill="1" applyBorder="1" applyAlignment="1">
      <alignment horizontal="center" vertical="center"/>
    </xf>
    <xf numFmtId="0" fontId="3" fillId="7" borderId="3" xfId="0" applyFont="1" applyFill="1" applyBorder="1" applyAlignment="1">
      <alignment vertical="center"/>
    </xf>
    <xf numFmtId="177" fontId="3" fillId="7" borderId="3" xfId="0" applyNumberFormat="1" applyFont="1" applyFill="1" applyBorder="1" applyAlignment="1">
      <alignment vertical="center"/>
    </xf>
    <xf numFmtId="0" fontId="0" fillId="7" borderId="0" xfId="0" applyFill="1">
      <alignment vertical="center"/>
    </xf>
    <xf numFmtId="0" fontId="5" fillId="0" borderId="1" xfId="0" applyFont="1" applyFill="1" applyBorder="1" applyAlignment="1">
      <alignment horizontal="center" vertical="center"/>
    </xf>
    <xf numFmtId="0" fontId="3" fillId="4" borderId="1" xfId="0" applyFont="1" applyFill="1" applyBorder="1" applyAlignment="1">
      <alignment horizontal="center" vertical="center"/>
    </xf>
    <xf numFmtId="0" fontId="5" fillId="0" borderId="5" xfId="0" applyFont="1" applyBorder="1" applyAlignment="1">
      <alignment horizontal="center" vertical="center"/>
    </xf>
    <xf numFmtId="0" fontId="3" fillId="3" borderId="1" xfId="0" applyFont="1" applyFill="1" applyBorder="1" applyAlignment="1">
      <alignment horizontal="center" vertical="center"/>
    </xf>
    <xf numFmtId="20" fontId="5" fillId="12" borderId="1" xfId="0" applyNumberFormat="1" applyFont="1" applyFill="1" applyBorder="1" applyAlignment="1">
      <alignment horizontal="center" vertical="center"/>
    </xf>
    <xf numFmtId="0" fontId="5" fillId="12" borderId="1" xfId="0" applyFont="1" applyFill="1" applyBorder="1" applyAlignment="1">
      <alignment horizontal="center" vertical="center"/>
    </xf>
    <xf numFmtId="10" fontId="5" fillId="12" borderId="1" xfId="0" applyNumberFormat="1" applyFont="1" applyFill="1" applyBorder="1" applyAlignment="1">
      <alignment horizontal="center" vertical="center"/>
    </xf>
    <xf numFmtId="0" fontId="5" fillId="0" borderId="1" xfId="0" applyFont="1" applyFill="1" applyBorder="1" applyAlignment="1">
      <alignment horizontal="center" vertical="center"/>
    </xf>
    <xf numFmtId="0" fontId="5" fillId="0" borderId="1" xfId="0" applyFont="1" applyFill="1" applyBorder="1" applyAlignment="1">
      <alignment horizontal="center" vertical="center"/>
    </xf>
    <xf numFmtId="0" fontId="2" fillId="2" borderId="1" xfId="0" applyFont="1" applyFill="1" applyBorder="1" applyAlignment="1">
      <alignment horizontal="center" vertical="center"/>
    </xf>
    <xf numFmtId="0" fontId="5" fillId="0" borderId="1" xfId="0" applyFont="1" applyFill="1" applyBorder="1" applyAlignment="1">
      <alignment horizontal="center" vertical="center"/>
    </xf>
    <xf numFmtId="0" fontId="3" fillId="4" borderId="1" xfId="0" applyFont="1" applyFill="1" applyBorder="1" applyAlignment="1">
      <alignment horizontal="center" vertical="center"/>
    </xf>
    <xf numFmtId="0" fontId="3" fillId="3" borderId="1" xfId="0" applyFont="1" applyFill="1" applyBorder="1" applyAlignment="1">
      <alignment horizontal="center" vertical="center"/>
    </xf>
    <xf numFmtId="0" fontId="5" fillId="0" borderId="5" xfId="0" applyFont="1" applyBorder="1" applyAlignment="1">
      <alignment horizontal="center" vertical="center"/>
    </xf>
    <xf numFmtId="14" fontId="0" fillId="0" borderId="0" xfId="0" applyNumberFormat="1">
      <alignment vertical="center"/>
    </xf>
    <xf numFmtId="21" fontId="0" fillId="0" borderId="0" xfId="0" applyNumberFormat="1">
      <alignment vertical="center"/>
    </xf>
    <xf numFmtId="0" fontId="3" fillId="4" borderId="1" xfId="0" applyFont="1" applyFill="1" applyBorder="1" applyAlignment="1">
      <alignment horizontal="center" vertical="center"/>
    </xf>
    <xf numFmtId="0" fontId="41" fillId="5" borderId="15" xfId="0" applyFont="1" applyFill="1" applyBorder="1" applyAlignment="1">
      <alignment horizontal="center" vertical="center"/>
    </xf>
    <xf numFmtId="0" fontId="42" fillId="5" borderId="15" xfId="0" applyFont="1" applyFill="1" applyBorder="1" applyAlignment="1">
      <alignment horizontal="center" vertical="center"/>
    </xf>
    <xf numFmtId="0" fontId="0" fillId="0" borderId="1" xfId="0" applyBorder="1" applyAlignment="1">
      <alignment horizontal="left" vertical="center" wrapText="1"/>
    </xf>
    <xf numFmtId="0" fontId="0" fillId="0" borderId="1" xfId="0" applyBorder="1" applyAlignment="1">
      <alignment horizontal="left" vertical="center"/>
    </xf>
    <xf numFmtId="0" fontId="0" fillId="0" borderId="0" xfId="0" applyAlignment="1">
      <alignment horizontal="left" vertical="center"/>
    </xf>
    <xf numFmtId="0" fontId="4" fillId="4" borderId="0" xfId="0" applyFont="1" applyFill="1" applyAlignment="1">
      <alignment horizontal="center" vertical="center"/>
    </xf>
    <xf numFmtId="0" fontId="2" fillId="2" borderId="1" xfId="0" applyFont="1" applyFill="1" applyBorder="1" applyAlignment="1">
      <alignment horizontal="center" vertical="center"/>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5" xfId="0" applyBorder="1" applyAlignment="1">
      <alignment horizontal="center" vertical="center"/>
    </xf>
    <xf numFmtId="0" fontId="0" fillId="0" borderId="7" xfId="0" applyBorder="1" applyAlignment="1">
      <alignment horizontal="center" vertical="center"/>
    </xf>
    <xf numFmtId="0" fontId="0" fillId="0" borderId="6" xfId="0" applyBorder="1" applyAlignment="1">
      <alignment horizontal="center" vertical="center"/>
    </xf>
    <xf numFmtId="0" fontId="0" fillId="0" borderId="0" xfId="0" applyAlignment="1">
      <alignment horizontal="left" vertical="center" wrapText="1"/>
    </xf>
    <xf numFmtId="0" fontId="5" fillId="0" borderId="1" xfId="0" applyFont="1" applyBorder="1" applyAlignment="1">
      <alignment horizontal="center" vertical="center" wrapText="1"/>
    </xf>
    <xf numFmtId="0" fontId="5" fillId="0" borderId="2" xfId="0" applyFont="1" applyBorder="1" applyAlignment="1">
      <alignment horizontal="center" vertical="center" wrapText="1"/>
    </xf>
    <xf numFmtId="0" fontId="5" fillId="8" borderId="1" xfId="0" applyFont="1" applyFill="1" applyBorder="1" applyAlignment="1">
      <alignment horizontal="left" vertical="center"/>
    </xf>
    <xf numFmtId="0" fontId="3" fillId="7" borderId="1" xfId="0" applyFont="1" applyFill="1" applyBorder="1" applyAlignment="1">
      <alignment horizontal="center" vertical="center"/>
    </xf>
    <xf numFmtId="0" fontId="0" fillId="5" borderId="1" xfId="0" applyFill="1" applyBorder="1" applyAlignment="1">
      <alignment horizontal="left" vertical="center"/>
    </xf>
    <xf numFmtId="0" fontId="5" fillId="6" borderId="1" xfId="0" applyFont="1" applyFill="1" applyBorder="1" applyAlignment="1">
      <alignment horizontal="left" vertical="center" wrapText="1"/>
    </xf>
    <xf numFmtId="0" fontId="5" fillId="6" borderId="1" xfId="0" applyFont="1" applyFill="1" applyBorder="1" applyAlignment="1">
      <alignment horizontal="left" vertical="center"/>
    </xf>
    <xf numFmtId="0" fontId="5" fillId="6" borderId="3" xfId="0" applyFont="1" applyFill="1" applyBorder="1" applyAlignment="1">
      <alignment horizontal="left" vertical="center"/>
    </xf>
    <xf numFmtId="0" fontId="5" fillId="6" borderId="3" xfId="0" applyFont="1" applyFill="1" applyBorder="1" applyAlignment="1">
      <alignment horizontal="center" vertical="center"/>
    </xf>
    <xf numFmtId="0" fontId="5" fillId="9" borderId="1" xfId="0" applyFont="1" applyFill="1" applyBorder="1" applyAlignment="1">
      <alignment horizontal="left" vertical="center"/>
    </xf>
    <xf numFmtId="0" fontId="5" fillId="3" borderId="1" xfId="0" applyFont="1" applyFill="1" applyBorder="1" applyAlignment="1">
      <alignment horizontal="left" vertical="center"/>
    </xf>
    <xf numFmtId="0" fontId="5" fillId="4" borderId="1" xfId="0" applyFont="1" applyFill="1" applyBorder="1" applyAlignment="1">
      <alignment horizontal="left" vertical="center"/>
    </xf>
    <xf numFmtId="0" fontId="3" fillId="6" borderId="2" xfId="0" applyFont="1" applyFill="1" applyBorder="1" applyAlignment="1">
      <alignment horizontal="center" vertical="center"/>
    </xf>
    <xf numFmtId="0" fontId="3" fillId="6" borderId="3" xfId="0" applyFont="1" applyFill="1" applyBorder="1" applyAlignment="1">
      <alignment horizontal="center" vertical="center"/>
    </xf>
    <xf numFmtId="0" fontId="3" fillId="6" borderId="4"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3" xfId="0" applyFont="1" applyFill="1" applyBorder="1" applyAlignment="1">
      <alignment horizontal="center" vertical="center"/>
    </xf>
    <xf numFmtId="0" fontId="3" fillId="3" borderId="4" xfId="0" applyFont="1" applyFill="1" applyBorder="1" applyAlignment="1">
      <alignment horizontal="center" vertical="center"/>
    </xf>
    <xf numFmtId="0" fontId="2" fillId="2" borderId="2"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13" fillId="3" borderId="1" xfId="1" applyFill="1" applyBorder="1" applyAlignment="1" applyProtection="1">
      <alignment horizontal="center" vertical="center" wrapText="1"/>
    </xf>
    <xf numFmtId="0" fontId="13" fillId="3" borderId="1" xfId="1" applyFill="1" applyBorder="1" applyAlignment="1" applyProtection="1">
      <alignment horizontal="center" vertical="center"/>
    </xf>
    <xf numFmtId="0" fontId="13" fillId="4" borderId="1" xfId="1" applyFill="1" applyBorder="1" applyAlignment="1" applyProtection="1">
      <alignment horizontal="center" vertical="center" wrapText="1"/>
    </xf>
    <xf numFmtId="0" fontId="13" fillId="4" borderId="1" xfId="1" applyFill="1" applyBorder="1" applyAlignment="1" applyProtection="1">
      <alignment horizontal="center" vertical="center"/>
    </xf>
    <xf numFmtId="0" fontId="13" fillId="9" borderId="1" xfId="1" applyFill="1" applyBorder="1" applyAlignment="1" applyProtection="1">
      <alignment horizontal="center" vertical="center"/>
    </xf>
    <xf numFmtId="0" fontId="2" fillId="10" borderId="2" xfId="0" applyFont="1" applyFill="1" applyBorder="1" applyAlignment="1">
      <alignment horizontal="center" vertical="center"/>
    </xf>
    <xf numFmtId="0" fontId="2" fillId="10" borderId="3" xfId="0" applyFont="1" applyFill="1" applyBorder="1" applyAlignment="1">
      <alignment horizontal="center" vertical="center"/>
    </xf>
    <xf numFmtId="0" fontId="13" fillId="6" borderId="1" xfId="1" applyFill="1" applyBorder="1" applyAlignment="1" applyProtection="1">
      <alignment horizontal="center" vertical="center" wrapText="1"/>
    </xf>
    <xf numFmtId="0" fontId="13" fillId="6" borderId="1" xfId="1" applyFill="1" applyBorder="1" applyAlignment="1" applyProtection="1">
      <alignment horizontal="center" vertical="center"/>
    </xf>
    <xf numFmtId="0" fontId="5" fillId="5" borderId="1" xfId="0"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Fill="1" applyBorder="1" applyAlignment="1">
      <alignment horizontal="center" vertical="center" wrapText="1"/>
    </xf>
    <xf numFmtId="0" fontId="5" fillId="0" borderId="1" xfId="0" applyFont="1" applyFill="1" applyBorder="1" applyAlignment="1">
      <alignment horizontal="center" vertical="center"/>
    </xf>
    <xf numFmtId="0" fontId="20" fillId="7" borderId="0" xfId="0" applyFont="1" applyFill="1" applyAlignment="1">
      <alignment horizontal="center" vertical="center"/>
    </xf>
    <xf numFmtId="0" fontId="5" fillId="7" borderId="2" xfId="0" applyFont="1" applyFill="1" applyBorder="1" applyAlignment="1">
      <alignment horizontal="center" vertical="center"/>
    </xf>
    <xf numFmtId="0" fontId="5" fillId="7" borderId="4" xfId="0" applyFont="1" applyFill="1" applyBorder="1" applyAlignment="1">
      <alignment horizontal="center" vertical="center"/>
    </xf>
    <xf numFmtId="0" fontId="22" fillId="2" borderId="1" xfId="1" applyFont="1" applyFill="1" applyBorder="1" applyAlignment="1" applyProtection="1">
      <alignment horizontal="center" vertical="center"/>
    </xf>
    <xf numFmtId="0" fontId="12" fillId="0" borderId="13" xfId="0" applyFont="1" applyBorder="1" applyAlignment="1">
      <alignment horizontal="center" vertical="center"/>
    </xf>
    <xf numFmtId="0" fontId="12" fillId="0" borderId="0" xfId="0" applyFont="1" applyBorder="1" applyAlignment="1">
      <alignment horizontal="center" vertical="center"/>
    </xf>
    <xf numFmtId="0" fontId="22" fillId="2" borderId="13" xfId="1" applyFont="1" applyFill="1" applyBorder="1" applyAlignment="1" applyProtection="1">
      <alignment horizontal="center" vertical="center"/>
    </xf>
    <xf numFmtId="0" fontId="22" fillId="2" borderId="0" xfId="1" applyFont="1" applyFill="1" applyBorder="1" applyAlignment="1" applyProtection="1">
      <alignment horizontal="center" vertical="center"/>
    </xf>
    <xf numFmtId="0" fontId="24" fillId="5" borderId="14" xfId="1" applyFont="1" applyFill="1" applyBorder="1" applyAlignment="1" applyProtection="1">
      <alignment horizontal="center" vertical="center"/>
    </xf>
    <xf numFmtId="0" fontId="24" fillId="5" borderId="15" xfId="1" applyFont="1" applyFill="1" applyBorder="1" applyAlignment="1" applyProtection="1">
      <alignment horizontal="center" vertical="center"/>
    </xf>
    <xf numFmtId="0" fontId="5" fillId="5" borderId="24" xfId="0" applyFont="1" applyFill="1" applyBorder="1" applyAlignment="1">
      <alignment horizontal="center" vertical="center"/>
    </xf>
    <xf numFmtId="0" fontId="13" fillId="3" borderId="6" xfId="1" applyFill="1" applyBorder="1" applyAlignment="1" applyProtection="1">
      <alignment horizontal="center" vertical="center" wrapText="1"/>
    </xf>
    <xf numFmtId="0" fontId="13" fillId="3" borderId="6" xfId="1" applyFill="1" applyBorder="1" applyAlignment="1" applyProtection="1">
      <alignment horizontal="center" vertical="center"/>
    </xf>
    <xf numFmtId="0" fontId="13" fillId="8" borderId="1" xfId="1" applyFill="1" applyBorder="1" applyAlignment="1" applyProtection="1">
      <alignment horizontal="center" vertical="center" wrapText="1"/>
    </xf>
    <xf numFmtId="0" fontId="13" fillId="8" borderId="1" xfId="1" applyFill="1" applyBorder="1" applyAlignment="1" applyProtection="1">
      <alignment horizontal="center" vertical="center"/>
    </xf>
    <xf numFmtId="0" fontId="5" fillId="5" borderId="11" xfId="0" applyFont="1" applyFill="1" applyBorder="1" applyAlignment="1">
      <alignment horizontal="center" vertical="center"/>
    </xf>
    <xf numFmtId="0" fontId="5" fillId="5" borderId="12" xfId="0" applyFont="1" applyFill="1" applyBorder="1" applyAlignment="1">
      <alignment horizontal="center" vertical="center"/>
    </xf>
    <xf numFmtId="0" fontId="5" fillId="5" borderId="2" xfId="0" applyFont="1" applyFill="1" applyBorder="1" applyAlignment="1">
      <alignment horizontal="center" vertical="center" wrapText="1"/>
    </xf>
    <xf numFmtId="0" fontId="5" fillId="5" borderId="4" xfId="0" applyFont="1" applyFill="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center"/>
    </xf>
    <xf numFmtId="0" fontId="2" fillId="2" borderId="21" xfId="0" applyFont="1" applyFill="1" applyBorder="1" applyAlignment="1">
      <alignment horizontal="center" vertical="center"/>
    </xf>
    <xf numFmtId="0" fontId="25" fillId="0" borderId="13" xfId="1" applyFont="1" applyBorder="1" applyAlignment="1" applyProtection="1">
      <alignment horizontal="center" vertical="center"/>
    </xf>
    <xf numFmtId="0" fontId="25" fillId="0" borderId="0" xfId="1" applyFont="1" applyBorder="1" applyAlignment="1" applyProtection="1">
      <alignment horizontal="center" vertical="center"/>
    </xf>
    <xf numFmtId="0" fontId="5" fillId="3" borderId="22" xfId="0" applyFont="1" applyFill="1" applyBorder="1" applyAlignment="1">
      <alignment horizontal="center" vertical="center"/>
    </xf>
    <xf numFmtId="0" fontId="5" fillId="3" borderId="19" xfId="0" applyFont="1" applyFill="1" applyBorder="1" applyAlignment="1">
      <alignment horizontal="center" vertical="center"/>
    </xf>
    <xf numFmtId="0" fontId="5" fillId="3" borderId="18"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22" xfId="0" applyFont="1" applyFill="1" applyBorder="1" applyAlignment="1">
      <alignment horizontal="center" vertical="center" wrapText="1"/>
    </xf>
    <xf numFmtId="0" fontId="5" fillId="3" borderId="19" xfId="0" applyFont="1" applyFill="1" applyBorder="1" applyAlignment="1">
      <alignment horizontal="center" vertical="center" wrapText="1"/>
    </xf>
    <xf numFmtId="0" fontId="29" fillId="3" borderId="22" xfId="0" applyFont="1" applyFill="1" applyBorder="1" applyAlignment="1">
      <alignment horizontal="center" vertical="center"/>
    </xf>
    <xf numFmtId="0" fontId="29" fillId="3" borderId="19" xfId="0" applyFont="1" applyFill="1" applyBorder="1" applyAlignment="1">
      <alignment horizontal="center" vertical="center"/>
    </xf>
    <xf numFmtId="0" fontId="14" fillId="0" borderId="0" xfId="1" applyFont="1" applyAlignment="1" applyProtection="1">
      <alignment horizontal="center" vertical="center"/>
    </xf>
    <xf numFmtId="0" fontId="15" fillId="0" borderId="0" xfId="1" applyFont="1" applyAlignment="1" applyProtection="1">
      <alignment horizontal="center" vertical="center"/>
    </xf>
    <xf numFmtId="0" fontId="3" fillId="4" borderId="1" xfId="0" applyFont="1" applyFill="1" applyBorder="1" applyAlignment="1">
      <alignment horizontal="center" vertical="center"/>
    </xf>
    <xf numFmtId="0" fontId="3" fillId="4" borderId="1" xfId="0" applyFont="1" applyFill="1" applyBorder="1" applyAlignment="1">
      <alignment horizontal="center" vertical="center" wrapText="1"/>
    </xf>
    <xf numFmtId="177" fontId="2" fillId="2" borderId="12" xfId="0" applyNumberFormat="1" applyFont="1" applyFill="1" applyBorder="1" applyAlignment="1">
      <alignment horizontal="center" vertical="center"/>
    </xf>
    <xf numFmtId="177" fontId="2" fillId="2" borderId="29" xfId="0" applyNumberFormat="1" applyFont="1" applyFill="1" applyBorder="1" applyAlignment="1">
      <alignment horizontal="center" vertical="center"/>
    </xf>
    <xf numFmtId="0" fontId="0" fillId="3" borderId="1" xfId="0" applyFill="1" applyBorder="1" applyAlignment="1">
      <alignment horizontal="center" vertical="center" wrapText="1"/>
    </xf>
    <xf numFmtId="0" fontId="0" fillId="3" borderId="1" xfId="0" applyFill="1" applyBorder="1" applyAlignment="1">
      <alignment horizontal="center" vertical="center"/>
    </xf>
    <xf numFmtId="0" fontId="5" fillId="0" borderId="5" xfId="0" applyFont="1" applyBorder="1" applyAlignment="1">
      <alignment horizontal="center" vertical="center"/>
    </xf>
    <xf numFmtId="0" fontId="37" fillId="0" borderId="25" xfId="0" applyFont="1" applyBorder="1" applyAlignment="1">
      <alignment horizontal="center" vertical="center"/>
    </xf>
    <xf numFmtId="0" fontId="37" fillId="0" borderId="26" xfId="0" applyFont="1" applyBorder="1" applyAlignment="1">
      <alignment horizontal="center" vertical="center"/>
    </xf>
    <xf numFmtId="0" fontId="40" fillId="4" borderId="6" xfId="0" applyFont="1" applyFill="1" applyBorder="1" applyAlignment="1">
      <alignment horizontal="center" vertical="center" wrapText="1"/>
    </xf>
    <xf numFmtId="0" fontId="40" fillId="4" borderId="6" xfId="0" applyFont="1" applyFill="1" applyBorder="1" applyAlignment="1">
      <alignment horizontal="center" vertical="center"/>
    </xf>
    <xf numFmtId="0" fontId="40" fillId="4" borderId="1" xfId="0" applyFont="1" applyFill="1" applyBorder="1" applyAlignment="1">
      <alignment horizontal="center" vertical="center"/>
    </xf>
    <xf numFmtId="0" fontId="3" fillId="3" borderId="1" xfId="0" applyFont="1" applyFill="1" applyBorder="1" applyAlignment="1">
      <alignment horizontal="center" vertical="center"/>
    </xf>
    <xf numFmtId="0" fontId="0" fillId="0" borderId="1" xfId="0" applyBorder="1" applyAlignment="1">
      <alignment horizontal="center" vertical="center"/>
    </xf>
  </cellXfs>
  <cellStyles count="2">
    <cellStyle name="一般" xfId="0" builtinId="0"/>
    <cellStyle name="超連結" xfId="1" builtinId="8"/>
  </cellStyles>
  <dxfs count="8">
    <dxf>
      <font>
        <b/>
        <i val="0"/>
        <color rgb="FFFF0000"/>
      </font>
    </dxf>
    <dxf>
      <font>
        <b/>
        <i val="0"/>
        <color rgb="FF0000FF"/>
      </font>
    </dxf>
    <dxf>
      <font>
        <b/>
        <i val="0"/>
        <color rgb="FFFF0000"/>
      </font>
    </dxf>
    <dxf>
      <font>
        <b/>
        <i val="0"/>
        <color rgb="FFFF0000"/>
      </font>
    </dxf>
    <dxf>
      <font>
        <b/>
        <i val="0"/>
        <color rgb="FFFF0000"/>
      </font>
    </dxf>
    <dxf>
      <font>
        <b/>
        <i val="0"/>
        <color rgb="FFFF0000"/>
      </font>
    </dxf>
    <dxf>
      <font>
        <b/>
        <i val="0"/>
        <color rgb="FF0000FF"/>
      </font>
    </dxf>
    <dxf>
      <font>
        <b/>
        <i val="0"/>
        <color rgb="FFFF0000"/>
      </font>
    </dxf>
  </dxfs>
  <tableStyles count="0" defaultTableStyle="TableStyleMedium9" defaultPivotStyle="PivotStyleLight16"/>
  <colors>
    <mruColors>
      <color rgb="FFFF99CC"/>
      <color rgb="FF00FF00"/>
      <color rgb="FF00FFFF"/>
      <color rgb="FF0000FF"/>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952500</xdr:colOff>
      <xdr:row>27</xdr:row>
      <xdr:rowOff>0</xdr:rowOff>
    </xdr:from>
    <xdr:to>
      <xdr:col>7</xdr:col>
      <xdr:colOff>9525</xdr:colOff>
      <xdr:row>56</xdr:row>
      <xdr:rowOff>66675</xdr:rowOff>
    </xdr:to>
    <xdr:pic>
      <xdr:nvPicPr>
        <xdr:cNvPr id="1026"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952500" y="6286500"/>
          <a:ext cx="4905375" cy="6143625"/>
        </a:xfrm>
        <a:prstGeom prst="rect">
          <a:avLst/>
        </a:prstGeom>
        <a:noFill/>
        <a:ln w="1">
          <a:noFill/>
          <a:miter lim="800000"/>
          <a:headEnd/>
          <a:tailEnd type="none" w="med" len="med"/>
        </a:ln>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0</xdr:row>
      <xdr:rowOff>38100</xdr:rowOff>
    </xdr:from>
    <xdr:to>
      <xdr:col>0</xdr:col>
      <xdr:colOff>885825</xdr:colOff>
      <xdr:row>1</xdr:row>
      <xdr:rowOff>28575</xdr:rowOff>
    </xdr:to>
    <xdr:sp macro="[0]!Updata" textlink="">
      <xdr:nvSpPr>
        <xdr:cNvPr id="3" name="圓角矩形 2"/>
        <xdr:cNvSpPr/>
      </xdr:nvSpPr>
      <xdr:spPr>
        <a:xfrm>
          <a:off x="19050" y="38100"/>
          <a:ext cx="866775" cy="381000"/>
        </a:xfrm>
        <a:prstGeom prst="roundRect">
          <a:avLst/>
        </a:prstGeom>
        <a:solidFill>
          <a:schemeClr val="tx2">
            <a:lumMod val="60000"/>
            <a:lumOff val="40000"/>
          </a:schemeClr>
        </a:solidFill>
        <a:scene3d>
          <a:camera prst="orthographicFront"/>
          <a:lightRig rig="threePt" dir="t"/>
        </a:scene3d>
        <a:sp3d>
          <a:bevelT/>
        </a:sp3d>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altLang="zh-TW" sz="2000" b="1">
              <a:solidFill>
                <a:schemeClr val="bg1"/>
              </a:solidFill>
            </a:rPr>
            <a:t>GO</a:t>
          </a:r>
          <a:endParaRPr lang="zh-TW" altLang="en-US" sz="2000" b="1">
            <a:solidFill>
              <a:schemeClr val="bg1"/>
            </a:solidFill>
          </a:endParaRPr>
        </a:p>
      </xdr:txBody>
    </xdr:sp>
    <xdr:clientData/>
  </xdr:twoCellAnchor>
  <xdr:twoCellAnchor>
    <xdr:from>
      <xdr:col>1</xdr:col>
      <xdr:colOff>57150</xdr:colOff>
      <xdr:row>0</xdr:row>
      <xdr:rowOff>38100</xdr:rowOff>
    </xdr:from>
    <xdr:to>
      <xdr:col>2</xdr:col>
      <xdr:colOff>371475</xdr:colOff>
      <xdr:row>1</xdr:row>
      <xdr:rowOff>28575</xdr:rowOff>
    </xdr:to>
    <xdr:sp macro="[0]!M_APP" textlink="">
      <xdr:nvSpPr>
        <xdr:cNvPr id="5" name="圓角矩形 4"/>
        <xdr:cNvSpPr/>
      </xdr:nvSpPr>
      <xdr:spPr>
        <a:xfrm>
          <a:off x="971550" y="38100"/>
          <a:ext cx="866775" cy="381000"/>
        </a:xfrm>
        <a:prstGeom prst="roundRect">
          <a:avLst/>
        </a:prstGeom>
        <a:solidFill>
          <a:schemeClr val="tx2">
            <a:lumMod val="60000"/>
            <a:lumOff val="40000"/>
          </a:schemeClr>
        </a:solidFill>
        <a:scene3d>
          <a:camera prst="orthographicFront"/>
          <a:lightRig rig="threePt" dir="t"/>
        </a:scene3d>
        <a:sp3d>
          <a:bevelT/>
        </a:sp3d>
      </xdr:spPr>
      <xdr:style>
        <a:lnRef idx="2">
          <a:schemeClr val="accent6"/>
        </a:lnRef>
        <a:fillRef idx="1">
          <a:schemeClr val="lt1"/>
        </a:fillRef>
        <a:effectRef idx="0">
          <a:schemeClr val="accent6"/>
        </a:effectRef>
        <a:fontRef idx="minor">
          <a:schemeClr val="dk1"/>
        </a:fontRef>
      </xdr:style>
      <xdr:txBody>
        <a:bodyPr vertOverflow="clip" rtlCol="0" anchor="ctr"/>
        <a:lstStyle/>
        <a:p>
          <a:pPr algn="ctr"/>
          <a:r>
            <a:rPr lang="en-US" altLang="zh-TW" sz="2000" b="1">
              <a:solidFill>
                <a:schemeClr val="bg1"/>
              </a:solidFill>
            </a:rPr>
            <a:t>MAPP</a:t>
          </a:r>
          <a:endParaRPr lang="zh-TW" altLang="en-US" sz="20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1</xdr:row>
      <xdr:rowOff>104775</xdr:rowOff>
    </xdr:from>
    <xdr:to>
      <xdr:col>11</xdr:col>
      <xdr:colOff>9525</xdr:colOff>
      <xdr:row>1</xdr:row>
      <xdr:rowOff>114300</xdr:rowOff>
    </xdr:to>
    <xdr:cxnSp macro="">
      <xdr:nvCxnSpPr>
        <xdr:cNvPr id="6" name="直線接點 5"/>
        <xdr:cNvCxnSpPr/>
      </xdr:nvCxnSpPr>
      <xdr:spPr>
        <a:xfrm flipV="1">
          <a:off x="1781175" y="314325"/>
          <a:ext cx="2838450" cy="9525"/>
        </a:xfrm>
        <a:prstGeom prst="line">
          <a:avLst/>
        </a:prstGeom>
        <a:ln w="762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123825</xdr:rowOff>
    </xdr:from>
    <xdr:to>
      <xdr:col>11</xdr:col>
      <xdr:colOff>9525</xdr:colOff>
      <xdr:row>3</xdr:row>
      <xdr:rowOff>133350</xdr:rowOff>
    </xdr:to>
    <xdr:cxnSp macro="">
      <xdr:nvCxnSpPr>
        <xdr:cNvPr id="8" name="直線接點 7"/>
        <xdr:cNvCxnSpPr/>
      </xdr:nvCxnSpPr>
      <xdr:spPr>
        <a:xfrm flipV="1">
          <a:off x="1781175" y="752475"/>
          <a:ext cx="2838450" cy="9525"/>
        </a:xfrm>
        <a:prstGeom prst="line">
          <a:avLst/>
        </a:prstGeom>
        <a:ln w="762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5</xdr:row>
      <xdr:rowOff>114300</xdr:rowOff>
    </xdr:from>
    <xdr:to>
      <xdr:col>12</xdr:col>
      <xdr:colOff>9525</xdr:colOff>
      <xdr:row>5</xdr:row>
      <xdr:rowOff>123825</xdr:rowOff>
    </xdr:to>
    <xdr:cxnSp macro="">
      <xdr:nvCxnSpPr>
        <xdr:cNvPr id="9" name="直線接點 8"/>
        <xdr:cNvCxnSpPr/>
      </xdr:nvCxnSpPr>
      <xdr:spPr>
        <a:xfrm flipV="1">
          <a:off x="2095500" y="1162050"/>
          <a:ext cx="2838450" cy="9525"/>
        </a:xfrm>
        <a:prstGeom prst="line">
          <a:avLst/>
        </a:prstGeom>
        <a:ln w="762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1171575</xdr:colOff>
      <xdr:row>18</xdr:row>
      <xdr:rowOff>76200</xdr:rowOff>
    </xdr:from>
    <xdr:to>
      <xdr:col>9</xdr:col>
      <xdr:colOff>28575</xdr:colOff>
      <xdr:row>18</xdr:row>
      <xdr:rowOff>85725</xdr:rowOff>
    </xdr:to>
    <xdr:cxnSp macro="">
      <xdr:nvCxnSpPr>
        <xdr:cNvPr id="10" name="直線接點 9"/>
        <xdr:cNvCxnSpPr/>
      </xdr:nvCxnSpPr>
      <xdr:spPr>
        <a:xfrm flipV="1">
          <a:off x="1171575" y="3848100"/>
          <a:ext cx="2838450" cy="9525"/>
        </a:xfrm>
        <a:prstGeom prst="line">
          <a:avLst/>
        </a:prstGeom>
        <a:ln w="76200">
          <a:solidFill>
            <a:srgbClr val="0000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7</xdr:row>
      <xdr:rowOff>114300</xdr:rowOff>
    </xdr:from>
    <xdr:to>
      <xdr:col>17</xdr:col>
      <xdr:colOff>9525</xdr:colOff>
      <xdr:row>7</xdr:row>
      <xdr:rowOff>114301</xdr:rowOff>
    </xdr:to>
    <xdr:cxnSp macro="">
      <xdr:nvCxnSpPr>
        <xdr:cNvPr id="11" name="直線接點 10"/>
        <xdr:cNvCxnSpPr/>
      </xdr:nvCxnSpPr>
      <xdr:spPr>
        <a:xfrm flipV="1">
          <a:off x="4610100" y="1581150"/>
          <a:ext cx="1895475" cy="1"/>
        </a:xfrm>
        <a:prstGeom prst="line">
          <a:avLst/>
        </a:prstGeom>
        <a:ln w="762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9525</xdr:colOff>
      <xdr:row>9</xdr:row>
      <xdr:rowOff>114300</xdr:rowOff>
    </xdr:from>
    <xdr:to>
      <xdr:col>17</xdr:col>
      <xdr:colOff>0</xdr:colOff>
      <xdr:row>9</xdr:row>
      <xdr:rowOff>114304</xdr:rowOff>
    </xdr:to>
    <xdr:cxnSp macro="">
      <xdr:nvCxnSpPr>
        <xdr:cNvPr id="14" name="直線接點 13"/>
        <xdr:cNvCxnSpPr/>
      </xdr:nvCxnSpPr>
      <xdr:spPr>
        <a:xfrm flipV="1">
          <a:off x="4933950" y="2000250"/>
          <a:ext cx="1562100" cy="4"/>
        </a:xfrm>
        <a:prstGeom prst="line">
          <a:avLst/>
        </a:prstGeom>
        <a:ln w="762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sheetPr codeName="Sheet1"/>
  <dimension ref="A1:O31"/>
  <sheetViews>
    <sheetView workbookViewId="0">
      <selection activeCell="B17" sqref="B17:H17"/>
    </sheetView>
  </sheetViews>
  <sheetFormatPr defaultRowHeight="16.5"/>
  <cols>
    <col min="1" max="1" width="22.75" bestFit="1" customWidth="1"/>
    <col min="2" max="8" width="9" style="2"/>
    <col min="9" max="9" width="55.75" bestFit="1" customWidth="1"/>
  </cols>
  <sheetData>
    <row r="1" spans="1:15" ht="21">
      <c r="A1" s="214" t="s">
        <v>0</v>
      </c>
      <c r="B1" s="214"/>
      <c r="C1" s="214"/>
      <c r="D1" s="214"/>
      <c r="E1" s="214"/>
      <c r="F1" s="214"/>
      <c r="G1" s="214"/>
      <c r="H1" s="214"/>
      <c r="I1" s="214"/>
    </row>
    <row r="2" spans="1:15">
      <c r="A2" s="215" t="s">
        <v>6</v>
      </c>
      <c r="B2" s="215"/>
      <c r="C2" s="215"/>
      <c r="D2" s="215"/>
      <c r="E2" s="215"/>
      <c r="F2" s="215"/>
      <c r="G2" s="215"/>
      <c r="H2" s="215"/>
      <c r="I2" s="6" t="s">
        <v>5</v>
      </c>
    </row>
    <row r="3" spans="1:15" ht="33">
      <c r="A3" s="219" t="s">
        <v>2</v>
      </c>
      <c r="B3" s="212" t="s">
        <v>8</v>
      </c>
      <c r="C3" s="212"/>
      <c r="D3" s="212"/>
      <c r="E3" s="212"/>
      <c r="F3" s="212"/>
      <c r="G3" s="212"/>
      <c r="H3" s="212"/>
      <c r="I3" s="5" t="s">
        <v>15</v>
      </c>
    </row>
    <row r="4" spans="1:15" ht="66">
      <c r="A4" s="220"/>
      <c r="B4" s="211" t="s">
        <v>7</v>
      </c>
      <c r="C4" s="212"/>
      <c r="D4" s="212"/>
      <c r="E4" s="212"/>
      <c r="F4" s="212"/>
      <c r="G4" s="212"/>
      <c r="H4" s="212"/>
      <c r="I4" s="5" t="s">
        <v>10</v>
      </c>
    </row>
    <row r="5" spans="1:15">
      <c r="A5" s="221"/>
      <c r="B5" s="216" t="s">
        <v>17</v>
      </c>
      <c r="C5" s="217"/>
      <c r="D5" s="217"/>
      <c r="E5" s="217"/>
      <c r="F5" s="217"/>
      <c r="G5" s="217"/>
      <c r="H5" s="218"/>
      <c r="I5" s="5" t="s">
        <v>18</v>
      </c>
    </row>
    <row r="6" spans="1:15" ht="82.5">
      <c r="A6" s="4" t="s">
        <v>3</v>
      </c>
      <c r="B6" s="212" t="s">
        <v>4</v>
      </c>
      <c r="C6" s="212"/>
      <c r="D6" s="212"/>
      <c r="E6" s="212"/>
      <c r="F6" s="212"/>
      <c r="G6" s="212"/>
      <c r="H6" s="212"/>
      <c r="I6" s="5" t="s">
        <v>16</v>
      </c>
    </row>
    <row r="7" spans="1:15">
      <c r="B7" s="213"/>
      <c r="C7" s="213"/>
      <c r="D7" s="213"/>
      <c r="E7" s="213"/>
      <c r="F7" s="213"/>
      <c r="G7" s="213"/>
      <c r="H7" s="213"/>
      <c r="I7" s="45" t="s">
        <v>100</v>
      </c>
      <c r="J7" s="2"/>
      <c r="K7" s="2"/>
      <c r="L7" s="2"/>
      <c r="M7" s="2"/>
      <c r="N7" s="2"/>
      <c r="O7" s="2"/>
    </row>
    <row r="8" spans="1:15">
      <c r="B8" s="213"/>
      <c r="C8" s="213"/>
      <c r="D8" s="213"/>
      <c r="E8" s="213"/>
      <c r="F8" s="213"/>
      <c r="G8" s="213"/>
      <c r="H8" s="213"/>
      <c r="I8" s="62" t="s">
        <v>120</v>
      </c>
    </row>
    <row r="9" spans="1:15">
      <c r="A9" s="63" t="s">
        <v>144</v>
      </c>
      <c r="B9" s="213" t="s">
        <v>145</v>
      </c>
      <c r="C9" s="213"/>
      <c r="D9" s="213"/>
      <c r="E9" s="213"/>
      <c r="F9" s="213"/>
      <c r="G9" s="213"/>
      <c r="H9" s="213"/>
      <c r="I9">
        <v>9507</v>
      </c>
    </row>
    <row r="10" spans="1:15">
      <c r="B10" s="213" t="s">
        <v>146</v>
      </c>
      <c r="C10" s="213"/>
      <c r="D10" s="213"/>
      <c r="E10" s="213"/>
      <c r="F10" s="213"/>
      <c r="G10" s="213"/>
      <c r="H10" s="213"/>
    </row>
    <row r="11" spans="1:15">
      <c r="B11" s="213" t="s">
        <v>147</v>
      </c>
      <c r="C11" s="213"/>
      <c r="D11" s="213"/>
      <c r="E11" s="213"/>
      <c r="F11" s="213"/>
      <c r="G11" s="213"/>
      <c r="H11" s="213"/>
    </row>
    <row r="12" spans="1:15">
      <c r="B12" s="213"/>
      <c r="C12" s="213"/>
      <c r="D12" s="213"/>
      <c r="E12" s="213"/>
      <c r="F12" s="213"/>
      <c r="G12" s="213"/>
      <c r="H12" s="213"/>
    </row>
    <row r="13" spans="1:15">
      <c r="B13" s="213"/>
      <c r="C13" s="213"/>
      <c r="D13" s="213"/>
      <c r="E13" s="213"/>
      <c r="F13" s="213"/>
      <c r="G13" s="213"/>
      <c r="H13" s="213"/>
    </row>
    <row r="14" spans="1:15">
      <c r="B14" s="213"/>
      <c r="C14" s="213"/>
      <c r="D14" s="213"/>
      <c r="E14" s="213"/>
      <c r="F14" s="213"/>
      <c r="G14" s="213"/>
      <c r="H14" s="213"/>
    </row>
    <row r="15" spans="1:15">
      <c r="B15" s="213"/>
      <c r="C15" s="213"/>
      <c r="D15" s="213"/>
      <c r="E15" s="213"/>
      <c r="F15" s="213"/>
      <c r="G15" s="213"/>
      <c r="H15" s="213"/>
    </row>
    <row r="16" spans="1:15">
      <c r="B16" s="213"/>
      <c r="C16" s="213"/>
      <c r="D16" s="213"/>
      <c r="E16" s="213"/>
      <c r="F16" s="213"/>
      <c r="G16" s="213"/>
      <c r="H16" s="213"/>
    </row>
    <row r="17" spans="1:9">
      <c r="B17" s="213"/>
      <c r="C17" s="213"/>
      <c r="D17" s="213"/>
      <c r="E17" s="213"/>
      <c r="F17" s="213"/>
      <c r="G17" s="213"/>
      <c r="H17" s="213"/>
    </row>
    <row r="18" spans="1:9" ht="81.75" customHeight="1">
      <c r="A18" t="s">
        <v>12</v>
      </c>
      <c r="B18" s="222" t="s">
        <v>13</v>
      </c>
      <c r="C18" s="213"/>
      <c r="D18" s="213"/>
      <c r="E18" s="213"/>
      <c r="F18" s="213"/>
      <c r="G18" s="213"/>
      <c r="H18" s="213"/>
      <c r="I18" s="1" t="s">
        <v>14</v>
      </c>
    </row>
    <row r="19" spans="1:9" hidden="1">
      <c r="A19" t="s">
        <v>9</v>
      </c>
      <c r="B19" s="213"/>
      <c r="C19" s="213"/>
      <c r="D19" s="213"/>
      <c r="E19" s="213"/>
      <c r="F19" s="213"/>
      <c r="G19" s="213"/>
      <c r="H19" s="213"/>
    </row>
    <row r="20" spans="1:9" ht="32.25" hidden="1" customHeight="1">
      <c r="A20" t="s">
        <v>1</v>
      </c>
      <c r="B20" s="222" t="s">
        <v>11</v>
      </c>
      <c r="C20" s="213"/>
      <c r="D20" s="213"/>
      <c r="E20" s="213"/>
      <c r="F20" s="213"/>
      <c r="G20" s="213"/>
      <c r="H20" s="213"/>
    </row>
    <row r="21" spans="1:9">
      <c r="B21" s="213"/>
      <c r="C21" s="213"/>
      <c r="D21" s="213"/>
      <c r="E21" s="213"/>
      <c r="F21" s="213"/>
      <c r="G21" s="213"/>
      <c r="H21" s="213"/>
    </row>
    <row r="22" spans="1:9">
      <c r="B22" s="213"/>
      <c r="C22" s="213"/>
      <c r="D22" s="213"/>
      <c r="E22" s="213"/>
      <c r="F22" s="213"/>
      <c r="G22" s="213"/>
      <c r="H22" s="213"/>
    </row>
    <row r="23" spans="1:9">
      <c r="B23" s="213"/>
      <c r="C23" s="213"/>
      <c r="D23" s="213"/>
      <c r="E23" s="213"/>
      <c r="F23" s="213"/>
      <c r="G23" s="213"/>
      <c r="H23" s="213"/>
    </row>
    <row r="24" spans="1:9">
      <c r="B24" s="213"/>
      <c r="C24" s="213"/>
      <c r="D24" s="213"/>
      <c r="E24" s="213"/>
      <c r="F24" s="213"/>
      <c r="G24" s="213"/>
      <c r="H24" s="213"/>
    </row>
    <row r="25" spans="1:9">
      <c r="B25" s="213"/>
      <c r="C25" s="213"/>
      <c r="D25" s="213"/>
      <c r="E25" s="213"/>
      <c r="F25" s="213"/>
      <c r="G25" s="213"/>
      <c r="H25" s="213"/>
    </row>
    <row r="26" spans="1:9">
      <c r="B26" s="213"/>
      <c r="C26" s="213"/>
      <c r="D26" s="213"/>
      <c r="E26" s="213"/>
      <c r="F26" s="213"/>
      <c r="G26" s="213"/>
      <c r="H26" s="213"/>
    </row>
    <row r="27" spans="1:9">
      <c r="B27" s="213"/>
      <c r="C27" s="213"/>
      <c r="D27" s="213"/>
      <c r="E27" s="213"/>
      <c r="F27" s="213"/>
      <c r="G27" s="213"/>
      <c r="H27" s="213"/>
    </row>
    <row r="28" spans="1:9">
      <c r="B28" s="213"/>
      <c r="C28" s="213"/>
      <c r="D28" s="213"/>
      <c r="E28" s="213"/>
      <c r="F28" s="213"/>
      <c r="G28" s="213"/>
      <c r="H28" s="213"/>
    </row>
    <row r="29" spans="1:9">
      <c r="B29" s="213"/>
      <c r="C29" s="213"/>
      <c r="D29" s="213"/>
      <c r="E29" s="213"/>
      <c r="F29" s="213"/>
      <c r="G29" s="213"/>
      <c r="H29" s="213"/>
    </row>
    <row r="30" spans="1:9">
      <c r="B30" s="213"/>
      <c r="C30" s="213"/>
      <c r="D30" s="213"/>
      <c r="E30" s="213"/>
      <c r="F30" s="213"/>
      <c r="G30" s="213"/>
      <c r="H30" s="213"/>
    </row>
    <row r="31" spans="1:9">
      <c r="B31" s="213"/>
      <c r="C31" s="213"/>
      <c r="D31" s="213"/>
      <c r="E31" s="213"/>
      <c r="F31" s="213"/>
      <c r="G31" s="213"/>
      <c r="H31" s="213"/>
    </row>
  </sheetData>
  <customSheetViews>
    <customSheetView guid="{86E069D6-AAB6-4ACE-BC4B-ADB04AF4E9D6}" hiddenRows="1">
      <selection activeCell="B17" sqref="B17:H17"/>
      <pageMargins left="0.7" right="0.7" top="0.75" bottom="0.75" header="0.3" footer="0.3"/>
    </customSheetView>
  </customSheetViews>
  <mergeCells count="32">
    <mergeCell ref="B15:H15"/>
    <mergeCell ref="B16:H16"/>
    <mergeCell ref="B17:H17"/>
    <mergeCell ref="B18:H18"/>
    <mergeCell ref="B9:H9"/>
    <mergeCell ref="B10:H10"/>
    <mergeCell ref="B11:H11"/>
    <mergeCell ref="B12:H12"/>
    <mergeCell ref="B13:H13"/>
    <mergeCell ref="B14:H14"/>
    <mergeCell ref="B29:H29"/>
    <mergeCell ref="B30:H30"/>
    <mergeCell ref="B31:H31"/>
    <mergeCell ref="B19:H19"/>
    <mergeCell ref="B21:H21"/>
    <mergeCell ref="B22:H22"/>
    <mergeCell ref="B23:H23"/>
    <mergeCell ref="B24:H24"/>
    <mergeCell ref="B25:H25"/>
    <mergeCell ref="B20:H20"/>
    <mergeCell ref="B26:H26"/>
    <mergeCell ref="B27:H27"/>
    <mergeCell ref="B28:H28"/>
    <mergeCell ref="B4:H4"/>
    <mergeCell ref="B6:H6"/>
    <mergeCell ref="B7:H7"/>
    <mergeCell ref="B8:H8"/>
    <mergeCell ref="A1:I1"/>
    <mergeCell ref="A2:H2"/>
    <mergeCell ref="B5:H5"/>
    <mergeCell ref="A3:A5"/>
    <mergeCell ref="B3:H3"/>
  </mergeCells>
  <phoneticPr fontId="1"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
  <dimension ref="A1:F15"/>
  <sheetViews>
    <sheetView topLeftCell="A10" workbookViewId="0">
      <pane xSplit="1" topLeftCell="C1" activePane="topRight" state="frozen"/>
      <selection pane="topRight" activeCell="F1" sqref="F1"/>
    </sheetView>
  </sheetViews>
  <sheetFormatPr defaultRowHeight="16.5"/>
  <cols>
    <col min="1" max="1" width="33" customWidth="1"/>
    <col min="2" max="2" width="31.5" customWidth="1"/>
    <col min="3" max="3" width="34.75" customWidth="1"/>
    <col min="4" max="4" width="41.75" customWidth="1"/>
    <col min="5" max="5" width="22.25" bestFit="1" customWidth="1"/>
    <col min="6" max="6" width="35.875" customWidth="1"/>
  </cols>
  <sheetData>
    <row r="1" spans="1:6" ht="22.5" customHeight="1">
      <c r="D1" s="13" t="s">
        <v>23</v>
      </c>
      <c r="E1" s="13" t="s">
        <v>39</v>
      </c>
      <c r="F1" s="13" t="s">
        <v>43</v>
      </c>
    </row>
    <row r="2" spans="1:6" ht="82.5">
      <c r="A2" s="223" t="s">
        <v>22</v>
      </c>
      <c r="B2" s="223" t="s">
        <v>35</v>
      </c>
      <c r="C2" s="224" t="s">
        <v>25</v>
      </c>
      <c r="D2" s="9" t="s">
        <v>38</v>
      </c>
      <c r="E2" s="17" t="s">
        <v>45</v>
      </c>
      <c r="F2" s="19" t="s">
        <v>72</v>
      </c>
    </row>
    <row r="3" spans="1:6" ht="82.5">
      <c r="A3" s="223"/>
      <c r="B3" s="223"/>
      <c r="C3" s="224"/>
      <c r="D3" s="10" t="s">
        <v>20</v>
      </c>
      <c r="E3" s="17" t="s">
        <v>48</v>
      </c>
      <c r="F3" s="4"/>
    </row>
    <row r="4" spans="1:6" ht="82.5">
      <c r="A4" s="223"/>
      <c r="B4" s="223"/>
      <c r="C4" s="224" t="s">
        <v>26</v>
      </c>
      <c r="D4" s="10" t="s">
        <v>40</v>
      </c>
      <c r="E4" s="17" t="s">
        <v>44</v>
      </c>
      <c r="F4" s="14" t="s">
        <v>46</v>
      </c>
    </row>
    <row r="5" spans="1:6" ht="82.5">
      <c r="A5" s="223"/>
      <c r="B5" s="223"/>
      <c r="C5" s="224"/>
      <c r="D5" s="10" t="s">
        <v>19</v>
      </c>
      <c r="E5" s="17" t="s">
        <v>51</v>
      </c>
      <c r="F5" s="4"/>
    </row>
    <row r="6" spans="1:6" ht="82.5">
      <c r="A6" s="223"/>
      <c r="B6" s="223"/>
      <c r="C6" s="224" t="s">
        <v>27</v>
      </c>
      <c r="D6" s="10" t="s">
        <v>47</v>
      </c>
      <c r="E6" s="17" t="s">
        <v>50</v>
      </c>
      <c r="F6" s="4"/>
    </row>
    <row r="7" spans="1:6" ht="82.5">
      <c r="A7" s="223"/>
      <c r="B7" s="223"/>
      <c r="C7" s="224"/>
      <c r="D7" s="10" t="s">
        <v>21</v>
      </c>
      <c r="E7" s="17" t="s">
        <v>49</v>
      </c>
      <c r="F7" s="4"/>
    </row>
    <row r="8" spans="1:6" ht="49.5">
      <c r="A8" s="223"/>
      <c r="B8" s="223" t="s">
        <v>28</v>
      </c>
      <c r="C8" s="11" t="s">
        <v>30</v>
      </c>
      <c r="D8" s="9" t="s">
        <v>37</v>
      </c>
      <c r="E8" s="18" t="s">
        <v>71</v>
      </c>
      <c r="F8" s="4"/>
    </row>
    <row r="9" spans="1:6" ht="49.5">
      <c r="A9" s="223"/>
      <c r="B9" s="223"/>
      <c r="C9" s="11" t="s">
        <v>29</v>
      </c>
      <c r="D9" s="10" t="s">
        <v>36</v>
      </c>
      <c r="E9" s="18" t="s">
        <v>71</v>
      </c>
      <c r="F9" s="4"/>
    </row>
    <row r="10" spans="1:6" ht="66">
      <c r="A10" s="223"/>
      <c r="B10" s="223" t="s">
        <v>34</v>
      </c>
      <c r="C10" s="224" t="s">
        <v>31</v>
      </c>
      <c r="D10" s="10" t="s">
        <v>53</v>
      </c>
      <c r="E10" s="17" t="s">
        <v>67</v>
      </c>
      <c r="F10" s="4"/>
    </row>
    <row r="11" spans="1:6" ht="82.5">
      <c r="A11" s="223"/>
      <c r="B11" s="223"/>
      <c r="C11" s="224"/>
      <c r="D11" s="10" t="s">
        <v>32</v>
      </c>
      <c r="E11" s="17" t="s">
        <v>68</v>
      </c>
      <c r="F11" s="4"/>
    </row>
    <row r="12" spans="1:6" ht="82.5">
      <c r="A12" s="223"/>
      <c r="B12" s="223"/>
      <c r="C12" s="224"/>
      <c r="D12" s="10" t="s">
        <v>33</v>
      </c>
      <c r="E12" s="17" t="s">
        <v>69</v>
      </c>
      <c r="F12" s="4"/>
    </row>
    <row r="13" spans="1:6" ht="82.5">
      <c r="A13" s="223"/>
      <c r="B13" s="223"/>
      <c r="C13" s="12" t="s">
        <v>24</v>
      </c>
      <c r="D13" s="4"/>
      <c r="E13" s="17" t="s">
        <v>70</v>
      </c>
      <c r="F13" s="4"/>
    </row>
    <row r="14" spans="1:6">
      <c r="A14" s="3" t="s">
        <v>41</v>
      </c>
      <c r="B14" s="7"/>
    </row>
    <row r="15" spans="1:6">
      <c r="A15" s="8" t="s">
        <v>42</v>
      </c>
      <c r="B15" s="7"/>
    </row>
  </sheetData>
  <customSheetViews>
    <customSheetView guid="{86E069D6-AAB6-4ACE-BC4B-ADB04AF4E9D6}">
      <pane xSplit="1" topLeftCell="C1" activePane="topRight" state="frozen"/>
      <selection pane="topRight" activeCell="F1" sqref="F1"/>
      <pageMargins left="0.7" right="0.7" top="0.75" bottom="0.75" header="0.3" footer="0.3"/>
    </customSheetView>
  </customSheetViews>
  <mergeCells count="8">
    <mergeCell ref="B10:B13"/>
    <mergeCell ref="A2:A13"/>
    <mergeCell ref="B2:B7"/>
    <mergeCell ref="C2:C3"/>
    <mergeCell ref="C4:C5"/>
    <mergeCell ref="C6:C7"/>
    <mergeCell ref="B8:B9"/>
    <mergeCell ref="C10:C12"/>
  </mergeCells>
  <phoneticPr fontId="1" type="noConversion"/>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sheetPr codeName="Sheet4"/>
  <dimension ref="A1:AD39"/>
  <sheetViews>
    <sheetView tabSelected="1" zoomScale="85" zoomScaleNormal="85" workbookViewId="0">
      <pane ySplit="7" topLeftCell="A8" activePane="bottomLeft" state="frozen"/>
      <selection pane="bottomLeft" activeCell="G10" sqref="G10:H10"/>
    </sheetView>
  </sheetViews>
  <sheetFormatPr defaultColWidth="7.375" defaultRowHeight="16.5"/>
  <cols>
    <col min="1" max="1" width="14.375" style="15" customWidth="1"/>
    <col min="2" max="2" width="8.75" style="15" customWidth="1"/>
    <col min="3" max="3" width="6.25" style="15" bestFit="1" customWidth="1"/>
    <col min="4" max="4" width="8.375" style="15" customWidth="1"/>
    <col min="5" max="5" width="9.25" style="15" customWidth="1"/>
    <col min="6" max="6" width="6.25" style="15" customWidth="1"/>
    <col min="7" max="7" width="12.5" style="15" customWidth="1"/>
    <col min="8" max="8" width="7.875" style="15" customWidth="1"/>
    <col min="9" max="9" width="10.125" style="15" customWidth="1"/>
    <col min="10" max="10" width="9.625" style="15" customWidth="1"/>
    <col min="11" max="11" width="9.875" style="15" customWidth="1"/>
    <col min="12" max="12" width="5.5" style="15" customWidth="1"/>
    <col min="13" max="13" width="13.75" style="15" customWidth="1"/>
    <col min="14" max="14" width="8.25" style="15" customWidth="1"/>
    <col min="15" max="15" width="12.875" style="15" customWidth="1"/>
    <col min="16" max="16" width="8.875" style="15" customWidth="1"/>
    <col min="17" max="17" width="11.25" style="15" customWidth="1"/>
    <col min="18" max="20" width="10.125" style="15" customWidth="1"/>
    <col min="21" max="25" width="7.375" style="15"/>
    <col min="26" max="26" width="12.875" style="15" customWidth="1"/>
    <col min="27" max="27" width="9" style="15" customWidth="1"/>
    <col min="28" max="28" width="10.5" style="15" customWidth="1"/>
    <col min="29" max="29" width="9.125" style="15" customWidth="1"/>
    <col min="30" max="30" width="11.375" style="15" customWidth="1"/>
    <col min="31" max="16384" width="7.375" style="15"/>
  </cols>
  <sheetData>
    <row r="1" spans="1:22" ht="30.75" customHeight="1" thickBot="1">
      <c r="A1" s="65"/>
      <c r="B1" s="66"/>
      <c r="F1" s="257" t="s">
        <v>52</v>
      </c>
      <c r="G1" s="257"/>
      <c r="H1" s="257"/>
      <c r="I1" s="257"/>
      <c r="J1" s="257"/>
      <c r="K1" s="257"/>
      <c r="L1" s="257"/>
      <c r="M1" s="257"/>
      <c r="N1" s="35"/>
      <c r="O1" s="35"/>
      <c r="P1" s="35"/>
      <c r="Q1" s="35"/>
    </row>
    <row r="2" spans="1:22" s="51" customFormat="1" ht="30.75" customHeight="1" thickTop="1" thickBot="1">
      <c r="A2" s="67">
        <v>44151</v>
      </c>
      <c r="B2" s="26">
        <v>0.62430555555555556</v>
      </c>
      <c r="D2" s="265" t="s">
        <v>115</v>
      </c>
      <c r="E2" s="266"/>
      <c r="F2" s="209">
        <v>28</v>
      </c>
      <c r="G2" s="76" t="s">
        <v>113</v>
      </c>
      <c r="H2" s="76" t="s">
        <v>114</v>
      </c>
      <c r="I2" s="132" t="s">
        <v>116</v>
      </c>
      <c r="J2" s="210">
        <v>20</v>
      </c>
      <c r="K2" s="134" t="s">
        <v>113</v>
      </c>
      <c r="L2" s="76" t="s">
        <v>117</v>
      </c>
      <c r="M2" s="132" t="s">
        <v>118</v>
      </c>
      <c r="N2" s="209">
        <v>8</v>
      </c>
      <c r="O2" s="133" t="s">
        <v>113</v>
      </c>
      <c r="P2" s="46"/>
    </row>
    <row r="3" spans="1:22" ht="18.75" customHeight="1" thickTop="1" thickBot="1">
      <c r="A3" s="20"/>
      <c r="B3" s="26"/>
      <c r="V3" s="35"/>
    </row>
    <row r="4" spans="1:22" ht="21.75" thickBot="1">
      <c r="A4" s="73" t="s">
        <v>151</v>
      </c>
      <c r="B4" s="72">
        <v>1736</v>
      </c>
      <c r="C4" s="71" t="s">
        <v>152</v>
      </c>
      <c r="D4" s="72">
        <v>34</v>
      </c>
      <c r="E4" s="74" t="s">
        <v>150</v>
      </c>
      <c r="F4" s="47"/>
      <c r="G4" s="88" t="s">
        <v>168</v>
      </c>
      <c r="H4" s="87">
        <v>132</v>
      </c>
      <c r="I4" s="87" t="s">
        <v>167</v>
      </c>
      <c r="J4" s="87">
        <v>2</v>
      </c>
      <c r="K4" s="89" t="s">
        <v>150</v>
      </c>
      <c r="L4" s="53"/>
      <c r="M4" s="73" t="s">
        <v>165</v>
      </c>
      <c r="N4" s="75">
        <v>1868</v>
      </c>
      <c r="O4" s="75" t="s">
        <v>166</v>
      </c>
      <c r="P4" s="75">
        <v>36</v>
      </c>
      <c r="Q4" s="86" t="s">
        <v>164</v>
      </c>
      <c r="R4" s="58"/>
      <c r="S4" s="58"/>
    </row>
    <row r="5" spans="1:22" ht="21">
      <c r="A5" s="60"/>
      <c r="B5" s="60"/>
      <c r="C5" s="60"/>
      <c r="D5" s="60"/>
      <c r="E5" s="60"/>
      <c r="F5" s="47"/>
      <c r="G5" s="149" t="s">
        <v>714</v>
      </c>
      <c r="H5" s="61"/>
      <c r="I5" s="97">
        <v>81</v>
      </c>
      <c r="J5" s="97"/>
      <c r="K5" s="98"/>
      <c r="L5" s="53"/>
      <c r="M5" s="60"/>
      <c r="N5" s="60"/>
      <c r="O5" s="60"/>
      <c r="P5" s="60"/>
      <c r="Q5" s="60"/>
      <c r="R5" s="58"/>
      <c r="S5" s="58"/>
    </row>
    <row r="6" spans="1:22">
      <c r="A6" s="260" t="s">
        <v>119</v>
      </c>
      <c r="B6" s="260"/>
      <c r="C6" s="260"/>
      <c r="D6" s="260"/>
      <c r="E6" s="260"/>
      <c r="F6" s="52"/>
      <c r="G6" s="263" t="s">
        <v>252</v>
      </c>
      <c r="H6" s="264"/>
      <c r="I6" s="264"/>
      <c r="J6" s="264"/>
      <c r="K6" s="264"/>
      <c r="L6" s="54"/>
      <c r="M6" s="260" t="s">
        <v>148</v>
      </c>
      <c r="N6" s="260"/>
      <c r="O6" s="260"/>
      <c r="P6" s="260"/>
      <c r="Q6" s="260"/>
      <c r="R6" s="59"/>
      <c r="S6" s="59"/>
    </row>
    <row r="7" spans="1:22">
      <c r="A7" s="272" t="s">
        <v>728</v>
      </c>
      <c r="B7" s="273"/>
      <c r="C7" s="151" t="s">
        <v>729</v>
      </c>
      <c r="D7" s="151" t="s">
        <v>730</v>
      </c>
      <c r="E7" s="151" t="s">
        <v>731</v>
      </c>
      <c r="F7" s="36"/>
      <c r="G7" s="261" t="s">
        <v>103</v>
      </c>
      <c r="H7" s="262"/>
      <c r="I7" s="56" t="s">
        <v>74</v>
      </c>
      <c r="J7" s="57" t="s">
        <v>75</v>
      </c>
      <c r="K7" s="57" t="s">
        <v>81</v>
      </c>
      <c r="M7" s="254" t="s">
        <v>189</v>
      </c>
      <c r="N7" s="254"/>
      <c r="O7" s="96" t="s">
        <v>190</v>
      </c>
      <c r="P7" s="96" t="s">
        <v>191</v>
      </c>
      <c r="Q7" s="96" t="s">
        <v>192</v>
      </c>
    </row>
    <row r="8" spans="1:22" ht="33.75" customHeight="1">
      <c r="A8" s="254" t="s">
        <v>732</v>
      </c>
      <c r="B8" s="254"/>
      <c r="C8" s="152" t="s">
        <v>733</v>
      </c>
      <c r="D8" s="146">
        <v>750</v>
      </c>
      <c r="E8" s="146">
        <v>14</v>
      </c>
      <c r="F8" s="36"/>
      <c r="G8" s="258" t="s">
        <v>201</v>
      </c>
      <c r="H8" s="259"/>
      <c r="I8" s="100">
        <v>807</v>
      </c>
      <c r="J8" s="100">
        <v>40969</v>
      </c>
      <c r="K8" s="101">
        <v>0.84609999999999996</v>
      </c>
      <c r="L8" s="55"/>
      <c r="M8" s="253" t="s">
        <v>715</v>
      </c>
      <c r="N8" s="254"/>
      <c r="O8" s="148" t="s">
        <v>716</v>
      </c>
      <c r="P8" s="146">
        <v>1287</v>
      </c>
      <c r="Q8" s="142">
        <v>26</v>
      </c>
    </row>
    <row r="9" spans="1:22" ht="53.25" customHeight="1">
      <c r="A9" s="254" t="s">
        <v>734</v>
      </c>
      <c r="B9" s="254"/>
      <c r="C9" s="148" t="s">
        <v>735</v>
      </c>
      <c r="D9" s="146">
        <v>387</v>
      </c>
      <c r="E9" s="147">
        <v>10</v>
      </c>
      <c r="F9" s="36"/>
      <c r="G9" s="268" t="s">
        <v>241</v>
      </c>
      <c r="H9" s="269"/>
      <c r="I9" s="27">
        <v>408</v>
      </c>
      <c r="J9" s="27">
        <v>23775</v>
      </c>
      <c r="K9" s="113">
        <v>0.97119999999999995</v>
      </c>
      <c r="L9" s="15">
        <v>5</v>
      </c>
      <c r="M9" s="253" t="s">
        <v>717</v>
      </c>
      <c r="N9" s="254"/>
      <c r="O9" s="148" t="s">
        <v>716</v>
      </c>
      <c r="P9" s="146">
        <v>191</v>
      </c>
      <c r="Q9" s="142">
        <v>2</v>
      </c>
    </row>
    <row r="10" spans="1:22" ht="36.75" customHeight="1">
      <c r="A10" s="254" t="s">
        <v>685</v>
      </c>
      <c r="B10" s="254"/>
      <c r="C10" s="152" t="s">
        <v>736</v>
      </c>
      <c r="D10" s="146">
        <v>359</v>
      </c>
      <c r="E10" s="146">
        <v>6</v>
      </c>
      <c r="F10" s="36"/>
      <c r="G10" s="246" t="s">
        <v>242</v>
      </c>
      <c r="H10" s="247"/>
      <c r="I10" s="27">
        <v>29</v>
      </c>
      <c r="J10" s="27">
        <v>1501</v>
      </c>
      <c r="K10" s="114">
        <v>0.86260000000000003</v>
      </c>
      <c r="L10" s="15">
        <v>1</v>
      </c>
      <c r="M10" s="253" t="s">
        <v>718</v>
      </c>
      <c r="N10" s="254"/>
      <c r="O10" s="148" t="s">
        <v>719</v>
      </c>
      <c r="P10" s="146">
        <v>0</v>
      </c>
      <c r="Q10" s="147">
        <v>0</v>
      </c>
      <c r="R10" s="145"/>
    </row>
    <row r="11" spans="1:22" ht="33">
      <c r="A11" s="254" t="s">
        <v>686</v>
      </c>
      <c r="B11" s="254"/>
      <c r="C11" s="146">
        <v>9892</v>
      </c>
      <c r="D11" s="146">
        <v>240</v>
      </c>
      <c r="E11" s="146">
        <v>4</v>
      </c>
      <c r="G11" s="246" t="s">
        <v>570</v>
      </c>
      <c r="H11" s="247"/>
      <c r="I11" s="27">
        <v>15</v>
      </c>
      <c r="J11" s="27">
        <v>507</v>
      </c>
      <c r="K11" s="114">
        <v>0.56330000000000002</v>
      </c>
      <c r="L11" s="15">
        <v>5</v>
      </c>
      <c r="M11" s="255" t="s">
        <v>720</v>
      </c>
      <c r="N11" s="256"/>
      <c r="O11" s="150" t="s">
        <v>721</v>
      </c>
      <c r="P11" s="154">
        <v>390</v>
      </c>
      <c r="Q11" s="156">
        <v>8</v>
      </c>
      <c r="R11" s="145"/>
    </row>
    <row r="12" spans="1:22" ht="33.75" customHeight="1">
      <c r="A12" s="254" t="s">
        <v>737</v>
      </c>
      <c r="B12" s="254"/>
      <c r="C12" s="146">
        <v>5802</v>
      </c>
      <c r="D12" s="146">
        <v>0</v>
      </c>
      <c r="E12" s="146">
        <v>0</v>
      </c>
      <c r="G12" s="270" t="s">
        <v>243</v>
      </c>
      <c r="H12" s="271"/>
      <c r="I12" s="27">
        <v>43</v>
      </c>
      <c r="J12" s="27">
        <v>2271</v>
      </c>
      <c r="K12" s="114">
        <v>0.88019999999999998</v>
      </c>
      <c r="L12" s="15">
        <v>3</v>
      </c>
      <c r="M12" s="256" t="s">
        <v>722</v>
      </c>
      <c r="N12" s="256"/>
      <c r="O12" s="157" t="s">
        <v>723</v>
      </c>
      <c r="P12" s="154">
        <v>0</v>
      </c>
      <c r="Q12" s="154">
        <v>0</v>
      </c>
    </row>
    <row r="13" spans="1:22" ht="33.75" customHeight="1">
      <c r="A13" s="267"/>
      <c r="B13" s="267"/>
      <c r="C13" s="153"/>
      <c r="D13" s="153">
        <v>0</v>
      </c>
      <c r="E13" s="153">
        <v>0</v>
      </c>
      <c r="G13" s="270" t="s">
        <v>244</v>
      </c>
      <c r="H13" s="271"/>
      <c r="I13" s="27">
        <v>11</v>
      </c>
      <c r="J13" s="27">
        <v>566</v>
      </c>
      <c r="K13" s="114">
        <v>0.85760000000000003</v>
      </c>
      <c r="L13" s="15">
        <v>1</v>
      </c>
      <c r="M13" s="254" t="s">
        <v>724</v>
      </c>
      <c r="N13" s="254"/>
      <c r="O13" s="146" t="s">
        <v>725</v>
      </c>
      <c r="P13" s="146">
        <v>0</v>
      </c>
      <c r="Q13" s="146">
        <v>0</v>
      </c>
    </row>
    <row r="14" spans="1:22" ht="33" customHeight="1">
      <c r="A14" s="274" t="s">
        <v>738</v>
      </c>
      <c r="B14" s="275"/>
      <c r="C14" s="148" t="s">
        <v>739</v>
      </c>
      <c r="D14" s="146">
        <v>0</v>
      </c>
      <c r="E14" s="146">
        <v>0</v>
      </c>
      <c r="G14" s="251" t="s">
        <v>245</v>
      </c>
      <c r="H14" s="252"/>
      <c r="I14" s="27">
        <v>36</v>
      </c>
      <c r="J14" s="27">
        <v>1304</v>
      </c>
      <c r="K14" s="114">
        <v>0.60370000000000001</v>
      </c>
      <c r="L14" s="15">
        <v>13</v>
      </c>
      <c r="M14" s="254" t="s">
        <v>726</v>
      </c>
      <c r="N14" s="254"/>
      <c r="O14" s="146">
        <v>5801</v>
      </c>
      <c r="P14" s="146">
        <v>0</v>
      </c>
      <c r="Q14" s="146">
        <v>0</v>
      </c>
    </row>
    <row r="15" spans="1:22" ht="34.5" customHeight="1">
      <c r="A15" s="256" t="s">
        <v>740</v>
      </c>
      <c r="B15" s="256"/>
      <c r="C15" s="150">
        <v>9081</v>
      </c>
      <c r="D15" s="154">
        <v>-58</v>
      </c>
      <c r="E15" s="154">
        <v>-1</v>
      </c>
      <c r="G15" s="251" t="s">
        <v>246</v>
      </c>
      <c r="H15" s="252"/>
      <c r="I15" s="27">
        <v>1</v>
      </c>
      <c r="J15" s="27">
        <v>4</v>
      </c>
      <c r="K15" s="114">
        <v>6.6699999999999995E-2</v>
      </c>
      <c r="L15" s="15">
        <v>1</v>
      </c>
      <c r="M15" s="256" t="s">
        <v>727</v>
      </c>
      <c r="N15" s="256"/>
      <c r="O15" s="150">
        <v>9080</v>
      </c>
      <c r="P15" s="142">
        <v>0</v>
      </c>
      <c r="Q15" s="142">
        <v>0</v>
      </c>
    </row>
    <row r="16" spans="1:22" ht="34.5" customHeight="1">
      <c r="G16" s="251" t="s">
        <v>247</v>
      </c>
      <c r="H16" s="252"/>
      <c r="I16" s="27">
        <v>132</v>
      </c>
      <c r="J16" s="27">
        <v>6645</v>
      </c>
      <c r="K16" s="114">
        <v>0.83899999999999997</v>
      </c>
      <c r="L16" s="15">
        <v>8</v>
      </c>
    </row>
    <row r="17" spans="1:30" ht="34.5" customHeight="1">
      <c r="G17" s="251" t="s">
        <v>248</v>
      </c>
      <c r="H17" s="252"/>
      <c r="I17" s="27">
        <v>20</v>
      </c>
      <c r="J17" s="27">
        <v>731</v>
      </c>
      <c r="K17" s="114">
        <v>0.60919999999999996</v>
      </c>
      <c r="L17" s="15">
        <v>9</v>
      </c>
      <c r="M17" s="278" t="s">
        <v>193</v>
      </c>
      <c r="N17" s="278"/>
      <c r="O17" s="278"/>
      <c r="P17" s="278"/>
      <c r="Q17" s="278"/>
    </row>
    <row r="18" spans="1:30" ht="33.75" customHeight="1">
      <c r="G18" s="251" t="s">
        <v>249</v>
      </c>
      <c r="H18" s="252"/>
      <c r="I18" s="27">
        <v>109</v>
      </c>
      <c r="J18" s="27">
        <v>3485</v>
      </c>
      <c r="K18" s="114">
        <v>0.53290000000000004</v>
      </c>
      <c r="L18" s="15">
        <v>35</v>
      </c>
      <c r="M18" s="276" t="s">
        <v>194</v>
      </c>
      <c r="N18" s="277"/>
      <c r="O18" s="111" t="s">
        <v>112</v>
      </c>
      <c r="P18" s="112">
        <v>1377</v>
      </c>
      <c r="Q18" s="112">
        <v>23</v>
      </c>
    </row>
    <row r="19" spans="1:30" ht="34.5" customHeight="1">
      <c r="G19" s="251" t="s">
        <v>250</v>
      </c>
      <c r="H19" s="252"/>
      <c r="I19" s="27">
        <v>3</v>
      </c>
      <c r="J19" s="27">
        <v>180</v>
      </c>
      <c r="K19" s="113">
        <v>1</v>
      </c>
      <c r="L19" s="15">
        <v>0</v>
      </c>
      <c r="M19" s="276" t="s">
        <v>195</v>
      </c>
      <c r="N19" s="277"/>
      <c r="O19" s="111" t="s">
        <v>112</v>
      </c>
      <c r="P19" s="112">
        <v>63</v>
      </c>
      <c r="Q19" s="112">
        <v>3</v>
      </c>
    </row>
    <row r="20" spans="1:30" ht="15" customHeight="1">
      <c r="K20" s="120"/>
      <c r="M20" s="276" t="s">
        <v>196</v>
      </c>
      <c r="N20" s="277"/>
      <c r="O20" s="111" t="s">
        <v>112</v>
      </c>
      <c r="P20" s="112">
        <v>0</v>
      </c>
      <c r="Q20" s="112">
        <v>0</v>
      </c>
    </row>
    <row r="21" spans="1:30" ht="21.75" customHeight="1">
      <c r="AA21" s="25" t="s">
        <v>237</v>
      </c>
      <c r="AB21" s="25" t="s">
        <v>75</v>
      </c>
      <c r="AC21" s="25" t="s">
        <v>81</v>
      </c>
    </row>
    <row r="22" spans="1:30" ht="33">
      <c r="G22" s="249" t="s">
        <v>202</v>
      </c>
      <c r="H22" s="250"/>
      <c r="I22" s="119">
        <v>62</v>
      </c>
      <c r="J22" s="119">
        <v>1768</v>
      </c>
      <c r="K22" s="118">
        <v>0.4753</v>
      </c>
      <c r="Z22" s="123" t="s">
        <v>590</v>
      </c>
      <c r="AA22" s="124">
        <v>88</v>
      </c>
      <c r="AB22" s="124">
        <v>2306</v>
      </c>
      <c r="AC22" s="128">
        <v>0.43669999999999998</v>
      </c>
      <c r="AD22" s="105" t="s">
        <v>238</v>
      </c>
    </row>
    <row r="23" spans="1:30" ht="33.75" customHeight="1">
      <c r="G23" s="244" t="s">
        <v>197</v>
      </c>
      <c r="H23" s="245"/>
      <c r="I23" s="27">
        <v>30</v>
      </c>
      <c r="J23" s="27">
        <v>871</v>
      </c>
      <c r="K23" s="94">
        <v>0.4839</v>
      </c>
      <c r="P23" s="95"/>
      <c r="Z23" s="125" t="s">
        <v>592</v>
      </c>
      <c r="AA23" s="110">
        <v>81</v>
      </c>
      <c r="AB23" s="110">
        <v>2154</v>
      </c>
      <c r="AC23" s="117">
        <v>0.44319999999999998</v>
      </c>
      <c r="AD23" s="105" t="s">
        <v>239</v>
      </c>
    </row>
    <row r="24" spans="1:30" ht="54" customHeight="1">
      <c r="G24" s="246" t="s">
        <v>198</v>
      </c>
      <c r="H24" s="247"/>
      <c r="I24" s="27">
        <v>9</v>
      </c>
      <c r="J24" s="27">
        <v>245</v>
      </c>
      <c r="K24" s="94">
        <v>0.45369999999999999</v>
      </c>
      <c r="P24" s="95"/>
      <c r="Z24" s="131" t="s">
        <v>596</v>
      </c>
      <c r="AA24" s="121">
        <v>7</v>
      </c>
      <c r="AB24" s="121">
        <v>152</v>
      </c>
      <c r="AC24" s="122">
        <v>0.3619</v>
      </c>
      <c r="AD24" s="123" t="s">
        <v>251</v>
      </c>
    </row>
    <row r="25" spans="1:30">
      <c r="G25" s="248" t="s">
        <v>186</v>
      </c>
      <c r="H25" s="248"/>
      <c r="I25" s="27">
        <v>23</v>
      </c>
      <c r="J25" s="27">
        <v>652</v>
      </c>
      <c r="K25" s="94">
        <v>0.47249999999999998</v>
      </c>
      <c r="P25" s="95"/>
      <c r="Z25"/>
      <c r="AA25"/>
      <c r="AB25"/>
      <c r="AC25"/>
      <c r="AD25"/>
    </row>
    <row r="26" spans="1:30">
      <c r="K26" s="120"/>
      <c r="M26" s="109"/>
    </row>
    <row r="27" spans="1:30">
      <c r="A27" s="235" t="s">
        <v>236</v>
      </c>
      <c r="B27" s="236"/>
      <c r="C27" s="236"/>
      <c r="D27" s="236"/>
      <c r="E27" s="236"/>
      <c r="F27" s="236"/>
      <c r="G27" s="237"/>
      <c r="I27" s="238" t="s">
        <v>206</v>
      </c>
      <c r="J27" s="239"/>
      <c r="K27" s="239"/>
      <c r="L27" s="239"/>
      <c r="M27" s="239"/>
      <c r="N27" s="239"/>
      <c r="O27" s="240"/>
    </row>
    <row r="28" spans="1:30">
      <c r="A28" s="241" t="s">
        <v>207</v>
      </c>
      <c r="B28" s="242"/>
      <c r="C28" s="242"/>
      <c r="D28" s="242"/>
      <c r="E28" s="242" t="s">
        <v>208</v>
      </c>
      <c r="F28" s="243"/>
      <c r="G28" s="102" t="s">
        <v>209</v>
      </c>
      <c r="I28" s="215" t="s">
        <v>207</v>
      </c>
      <c r="J28" s="215"/>
      <c r="K28" s="215"/>
      <c r="L28" s="215"/>
      <c r="M28" s="215"/>
      <c r="N28" s="215"/>
      <c r="O28" s="102" t="s">
        <v>209</v>
      </c>
    </row>
    <row r="29" spans="1:30" ht="33">
      <c r="A29" s="230" t="s">
        <v>210</v>
      </c>
      <c r="B29" s="230"/>
      <c r="C29" s="230"/>
      <c r="D29" s="230"/>
      <c r="E29" s="231">
        <v>2</v>
      </c>
      <c r="F29" s="231"/>
      <c r="G29" s="103"/>
      <c r="I29" s="232" t="s">
        <v>211</v>
      </c>
      <c r="J29" s="232"/>
      <c r="K29" s="232"/>
      <c r="L29" s="232"/>
      <c r="M29" s="232"/>
      <c r="N29" s="232"/>
      <c r="O29" s="115" t="s">
        <v>227</v>
      </c>
      <c r="P29" s="16"/>
    </row>
    <row r="30" spans="1:30">
      <c r="A30" s="230" t="s">
        <v>212</v>
      </c>
      <c r="B30" s="230"/>
      <c r="C30" s="230"/>
      <c r="D30" s="230"/>
      <c r="E30" s="231">
        <v>4</v>
      </c>
      <c r="F30" s="231"/>
      <c r="G30" s="103"/>
      <c r="H30" s="16"/>
      <c r="I30" s="232" t="s">
        <v>213</v>
      </c>
      <c r="J30" s="232"/>
      <c r="K30" s="232"/>
      <c r="L30" s="232"/>
      <c r="M30" s="232"/>
      <c r="N30" s="232"/>
      <c r="O30" s="115" t="s">
        <v>214</v>
      </c>
    </row>
    <row r="31" spans="1:30" ht="33">
      <c r="A31" s="230" t="s">
        <v>215</v>
      </c>
      <c r="B31" s="230"/>
      <c r="C31" s="230"/>
      <c r="D31" s="230"/>
      <c r="E31" s="231">
        <v>3</v>
      </c>
      <c r="F31" s="231"/>
      <c r="G31" s="103"/>
      <c r="I31" s="232" t="s">
        <v>216</v>
      </c>
      <c r="J31" s="232"/>
      <c r="K31" s="232"/>
      <c r="L31" s="232"/>
      <c r="M31" s="232"/>
      <c r="N31" s="232"/>
      <c r="O31" s="115" t="s">
        <v>230</v>
      </c>
    </row>
    <row r="32" spans="1:30">
      <c r="A32" s="230" t="s">
        <v>217</v>
      </c>
      <c r="B32" s="230"/>
      <c r="C32" s="230"/>
      <c r="D32" s="230"/>
      <c r="E32" s="231">
        <v>4</v>
      </c>
      <c r="F32" s="231"/>
      <c r="G32" s="103"/>
      <c r="I32" s="232" t="s">
        <v>218</v>
      </c>
      <c r="J32" s="232"/>
      <c r="K32" s="232"/>
      <c r="L32" s="232"/>
      <c r="M32" s="232"/>
      <c r="N32" s="232"/>
      <c r="O32" s="116" t="s">
        <v>219</v>
      </c>
    </row>
    <row r="33" spans="1:15">
      <c r="A33" s="230" t="s">
        <v>220</v>
      </c>
      <c r="B33" s="230"/>
      <c r="C33" s="230"/>
      <c r="D33" s="230"/>
      <c r="E33" s="231" t="s">
        <v>221</v>
      </c>
      <c r="F33" s="231"/>
      <c r="G33" s="103"/>
      <c r="I33" s="232" t="s">
        <v>222</v>
      </c>
      <c r="J33" s="232"/>
      <c r="K33" s="232"/>
      <c r="L33" s="232"/>
      <c r="M33" s="232"/>
      <c r="N33" s="232"/>
      <c r="O33" s="115" t="s">
        <v>229</v>
      </c>
    </row>
    <row r="34" spans="1:15">
      <c r="I34" s="233" t="s">
        <v>232</v>
      </c>
      <c r="J34" s="233"/>
      <c r="K34" s="233"/>
      <c r="L34" s="233"/>
      <c r="M34" s="233"/>
      <c r="N34" s="233"/>
      <c r="O34" s="104" t="s">
        <v>229</v>
      </c>
    </row>
    <row r="35" spans="1:15">
      <c r="A35" s="226" t="s">
        <v>223</v>
      </c>
      <c r="B35" s="226"/>
      <c r="C35" s="226"/>
      <c r="D35" s="226"/>
      <c r="E35" s="226"/>
      <c r="F35" s="226"/>
      <c r="I35" s="234" t="s">
        <v>233</v>
      </c>
      <c r="J35" s="234"/>
      <c r="K35" s="234"/>
      <c r="L35" s="234"/>
      <c r="M35" s="234"/>
      <c r="N35" s="234"/>
      <c r="O35" s="108" t="s">
        <v>231</v>
      </c>
    </row>
    <row r="36" spans="1:15">
      <c r="A36" s="227" t="s">
        <v>224</v>
      </c>
      <c r="B36" s="227"/>
      <c r="C36" s="227"/>
      <c r="D36" s="227"/>
      <c r="E36" s="227"/>
      <c r="F36" s="227"/>
      <c r="I36" s="225" t="s">
        <v>234</v>
      </c>
      <c r="J36" s="225"/>
      <c r="K36" s="225"/>
      <c r="L36" s="225"/>
      <c r="M36" s="225"/>
      <c r="N36" s="225"/>
      <c r="O36" s="106" t="s">
        <v>228</v>
      </c>
    </row>
    <row r="37" spans="1:15" ht="33" customHeight="1">
      <c r="A37" s="227" t="s">
        <v>225</v>
      </c>
      <c r="B37" s="227"/>
      <c r="C37" s="227"/>
      <c r="D37" s="227"/>
      <c r="E37" s="227"/>
      <c r="F37" s="227"/>
      <c r="I37" s="228" t="s">
        <v>235</v>
      </c>
      <c r="J37" s="229"/>
      <c r="K37" s="229"/>
      <c r="L37" s="229"/>
      <c r="M37" s="229"/>
      <c r="N37" s="229"/>
      <c r="O37" s="107" t="s">
        <v>214</v>
      </c>
    </row>
    <row r="38" spans="1:15">
      <c r="A38" s="227" t="s">
        <v>226</v>
      </c>
      <c r="B38" s="227"/>
      <c r="C38" s="227"/>
      <c r="D38" s="227"/>
      <c r="E38" s="227"/>
      <c r="F38" s="227"/>
    </row>
    <row r="39" spans="1:15">
      <c r="A39" s="15" t="s">
        <v>603</v>
      </c>
    </row>
  </sheetData>
  <customSheetViews>
    <customSheetView guid="{86E069D6-AAB6-4ACE-BC4B-ADB04AF4E9D6}">
      <pane ySplit="7" topLeftCell="A8" activePane="bottomLeft" state="frozen"/>
      <selection pane="bottomLeft" activeCell="E18" sqref="E18"/>
      <pageMargins left="0.7" right="0.7" top="0.75" bottom="0.75" header="0.3" footer="0.3"/>
      <pageSetup paperSize="9" orientation="portrait" r:id="rId1"/>
    </customSheetView>
  </customSheetViews>
  <mergeCells count="72">
    <mergeCell ref="A14:B14"/>
    <mergeCell ref="M20:N20"/>
    <mergeCell ref="M13:N13"/>
    <mergeCell ref="M14:N14"/>
    <mergeCell ref="M17:Q17"/>
    <mergeCell ref="M18:N18"/>
    <mergeCell ref="M19:N19"/>
    <mergeCell ref="G19:H19"/>
    <mergeCell ref="A15:B15"/>
    <mergeCell ref="M15:N15"/>
    <mergeCell ref="D2:E2"/>
    <mergeCell ref="A11:B11"/>
    <mergeCell ref="A12:B12"/>
    <mergeCell ref="A13:B13"/>
    <mergeCell ref="G9:H9"/>
    <mergeCell ref="G10:H10"/>
    <mergeCell ref="G11:H11"/>
    <mergeCell ref="G12:H12"/>
    <mergeCell ref="G13:H13"/>
    <mergeCell ref="A8:B8"/>
    <mergeCell ref="A9:B9"/>
    <mergeCell ref="A10:B10"/>
    <mergeCell ref="A6:E6"/>
    <mergeCell ref="A7:B7"/>
    <mergeCell ref="M10:N10"/>
    <mergeCell ref="M11:N11"/>
    <mergeCell ref="M12:N12"/>
    <mergeCell ref="F1:M1"/>
    <mergeCell ref="G8:H8"/>
    <mergeCell ref="M8:N8"/>
    <mergeCell ref="M7:N7"/>
    <mergeCell ref="M6:Q6"/>
    <mergeCell ref="G7:H7"/>
    <mergeCell ref="G6:K6"/>
    <mergeCell ref="M9:N9"/>
    <mergeCell ref="G23:H23"/>
    <mergeCell ref="G24:H24"/>
    <mergeCell ref="G25:H25"/>
    <mergeCell ref="G22:H22"/>
    <mergeCell ref="G14:H14"/>
    <mergeCell ref="G15:H15"/>
    <mergeCell ref="G16:H16"/>
    <mergeCell ref="G17:H17"/>
    <mergeCell ref="G18:H18"/>
    <mergeCell ref="A27:G27"/>
    <mergeCell ref="I27:O27"/>
    <mergeCell ref="A28:D28"/>
    <mergeCell ref="E28:F28"/>
    <mergeCell ref="I28:N28"/>
    <mergeCell ref="A29:D29"/>
    <mergeCell ref="E29:F29"/>
    <mergeCell ref="I29:N29"/>
    <mergeCell ref="A30:D30"/>
    <mergeCell ref="E30:F30"/>
    <mergeCell ref="I30:N30"/>
    <mergeCell ref="A31:D31"/>
    <mergeCell ref="E31:F31"/>
    <mergeCell ref="I31:N31"/>
    <mergeCell ref="A32:D32"/>
    <mergeCell ref="E32:F32"/>
    <mergeCell ref="I32:N32"/>
    <mergeCell ref="A33:D33"/>
    <mergeCell ref="E33:F33"/>
    <mergeCell ref="I33:N33"/>
    <mergeCell ref="I34:N34"/>
    <mergeCell ref="I35:N35"/>
    <mergeCell ref="I36:N36"/>
    <mergeCell ref="A35:F35"/>
    <mergeCell ref="A36:F36"/>
    <mergeCell ref="A37:F37"/>
    <mergeCell ref="A38:F38"/>
    <mergeCell ref="I37:N37"/>
  </mergeCells>
  <phoneticPr fontId="1" type="noConversion"/>
  <hyperlinks>
    <hyperlink ref="A6:D6" location="INPUT!A1" display="INPUT"/>
    <hyperlink ref="D2" location="'Empty CST'!A1" display="EMPTY CST :  ** 個     &gt;    FAB : ** 個  /  SUP : ** 個  "/>
    <hyperlink ref="M6:Q6" location="OUTPUT!A1" display="OUTPUT"/>
    <hyperlink ref="G6:K6" location="滿批率!A1" display="滿批率"/>
    <hyperlink ref="G9:H9" location="滿批率!F1" display="黃光"/>
    <hyperlink ref="G10:H10" location="滿批率!P1" display="薄膜 (單玻)"/>
    <hyperlink ref="G11:H11" location="滿批率!Z1" display="薄膜 (雙玻)"/>
    <hyperlink ref="G12:H12" location="滿批率!AJ1" display="檢測 (單玻)"/>
    <hyperlink ref="G13:H13" location="滿批率!AT1" display="檢測 (雙玻)"/>
    <hyperlink ref="G14:H14" location="滿批率!BD1" display="BANK(單玻)"/>
    <hyperlink ref="G15:H15" location="滿批率!BN1" display="BANK(雙玻)"/>
    <hyperlink ref="G16:H16" location="滿批率!BX1" display="OHGC(單玻)"/>
    <hyperlink ref="G17:H17" location="滿批率!CH1" display="OHGC(雙玻)"/>
    <hyperlink ref="G18:H18" location="滿批率!CR1" display="出貨站點"/>
    <hyperlink ref="G19:H19" location="滿批率!DB1" display="分流 / 合併"/>
    <hyperlink ref="G23:H23" location="實驗貨!E1" display="實驗貨!E1"/>
    <hyperlink ref="G24:H24" location="實驗貨!O1" display="實驗貨!O1"/>
    <hyperlink ref="G25:H25" location="實驗貨!Y1" display="ENG BANK"/>
    <hyperlink ref="Z23" location="實驗貨!AP1" display="實驗貨!AP1"/>
    <hyperlink ref="Z24" location="實驗貨!AZ1" display="實驗貨!AZ1"/>
  </hyperlinks>
  <pageMargins left="0.7" right="0.7" top="0.75" bottom="0.75" header="0.3" footer="0.3"/>
  <pageSetup paperSize="9"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5"/>
  <dimension ref="A1:DI1000"/>
  <sheetViews>
    <sheetView topLeftCell="CT1" workbookViewId="0">
      <selection activeCell="DB5" sqref="DB5:DH1000"/>
    </sheetView>
  </sheetViews>
  <sheetFormatPr defaultRowHeight="16.5"/>
  <cols>
    <col min="1" max="1" width="10.25" bestFit="1" customWidth="1"/>
    <col min="2" max="2" width="17" style="24" bestFit="1" customWidth="1"/>
    <col min="3" max="3" width="17" style="21" bestFit="1" customWidth="1"/>
    <col min="4" max="4" width="11.875" customWidth="1"/>
    <col min="5" max="5" width="19.5" customWidth="1"/>
    <col min="6" max="6" width="10.5" customWidth="1"/>
    <col min="7" max="7" width="21.375" bestFit="1" customWidth="1"/>
    <col min="8" max="8" width="7.625" style="63" bestFit="1" customWidth="1"/>
    <col min="9" max="10" width="10.5" style="63" customWidth="1"/>
    <col min="11" max="13" width="10.5" customWidth="1"/>
    <col min="14" max="15" width="12.375" bestFit="1" customWidth="1"/>
    <col min="16" max="16" width="11.375" bestFit="1" customWidth="1"/>
    <col min="17" max="17" width="21.625" bestFit="1" customWidth="1"/>
    <col min="18" max="18" width="7.625" bestFit="1" customWidth="1"/>
    <col min="19" max="19" width="10.5" bestFit="1" customWidth="1"/>
    <col min="20" max="20" width="8.375" bestFit="1" customWidth="1"/>
    <col min="21" max="21" width="10.5" style="63" bestFit="1" customWidth="1"/>
    <col min="22" max="22" width="8.625" style="63" bestFit="1" customWidth="1"/>
    <col min="23" max="23" width="8.125" style="63" customWidth="1"/>
    <col min="26" max="26" width="12.625" bestFit="1" customWidth="1"/>
    <col min="27" max="27" width="20.75" bestFit="1" customWidth="1"/>
    <col min="28" max="28" width="7.625" bestFit="1" customWidth="1"/>
    <col min="29" max="29" width="10.25" bestFit="1" customWidth="1"/>
    <col min="30" max="30" width="8.375" bestFit="1" customWidth="1"/>
    <col min="31" max="31" width="10.5" style="63" bestFit="1" customWidth="1"/>
    <col min="32" max="32" width="8.625" style="63" bestFit="1" customWidth="1"/>
    <col min="33" max="33" width="8.125" style="63" customWidth="1"/>
    <col min="36" max="36" width="12.625" bestFit="1" customWidth="1"/>
    <col min="37" max="37" width="21.375" bestFit="1" customWidth="1"/>
    <col min="38" max="38" width="7.625" bestFit="1" customWidth="1"/>
    <col min="39" max="39" width="10.875" bestFit="1" customWidth="1"/>
    <col min="40" max="40" width="8.375" bestFit="1" customWidth="1"/>
    <col min="41" max="41" width="10.5" style="63" bestFit="1" customWidth="1"/>
    <col min="42" max="42" width="8.625" style="63" bestFit="1" customWidth="1"/>
    <col min="43" max="43" width="8.125" style="63" customWidth="1"/>
    <col min="46" max="46" width="12.625" bestFit="1" customWidth="1"/>
    <col min="47" max="47" width="20.75" bestFit="1" customWidth="1"/>
    <col min="48" max="48" width="7.625" bestFit="1" customWidth="1"/>
    <col min="49" max="49" width="10.25" bestFit="1" customWidth="1"/>
    <col min="50" max="50" width="8.375" bestFit="1" customWidth="1"/>
    <col min="51" max="51" width="10.5" style="63" bestFit="1" customWidth="1"/>
    <col min="52" max="52" width="8.625" style="63" bestFit="1" customWidth="1"/>
    <col min="53" max="53" width="8.125" style="63" customWidth="1"/>
    <col min="56" max="56" width="13.75" bestFit="1" customWidth="1"/>
    <col min="57" max="57" width="21.375" bestFit="1" customWidth="1"/>
    <col min="58" max="58" width="7.625" bestFit="1" customWidth="1"/>
    <col min="59" max="59" width="10.875" bestFit="1" customWidth="1"/>
    <col min="60" max="60" width="8.375" bestFit="1" customWidth="1"/>
    <col min="61" max="61" width="10.5" style="63" bestFit="1" customWidth="1"/>
    <col min="62" max="62" width="8.625" style="63" bestFit="1" customWidth="1"/>
    <col min="63" max="63" width="8.125" style="63" customWidth="1"/>
    <col min="66" max="66" width="13.75" bestFit="1" customWidth="1"/>
    <col min="67" max="67" width="20.625" bestFit="1" customWidth="1"/>
    <col min="68" max="68" width="7.625" bestFit="1" customWidth="1"/>
    <col min="69" max="69" width="10.25" bestFit="1" customWidth="1"/>
    <col min="70" max="70" width="8.375" bestFit="1" customWidth="1"/>
    <col min="71" max="71" width="10.5" style="63" bestFit="1" customWidth="1"/>
    <col min="72" max="72" width="8.625" style="63" bestFit="1" customWidth="1"/>
    <col min="73" max="73" width="8.125" style="63" customWidth="1"/>
    <col min="76" max="76" width="13.75" bestFit="1" customWidth="1"/>
    <col min="77" max="77" width="21.625" bestFit="1" customWidth="1"/>
    <col min="78" max="78" width="7.625" bestFit="1" customWidth="1"/>
    <col min="79" max="79" width="11" bestFit="1" customWidth="1"/>
    <col min="80" max="80" width="8.375" bestFit="1" customWidth="1"/>
    <col min="81" max="81" width="10.5" style="63" bestFit="1" customWidth="1"/>
    <col min="82" max="82" width="8.625" style="63" bestFit="1" customWidth="1"/>
    <col min="83" max="83" width="8.125" style="63" customWidth="1"/>
    <col min="86" max="86" width="13.75" bestFit="1" customWidth="1"/>
    <col min="87" max="87" width="20.75" bestFit="1" customWidth="1"/>
    <col min="88" max="88" width="7.625" bestFit="1" customWidth="1"/>
    <col min="89" max="89" width="10.25" bestFit="1" customWidth="1"/>
    <col min="90" max="90" width="8.375" bestFit="1" customWidth="1"/>
    <col min="91" max="91" width="10.5" bestFit="1" customWidth="1"/>
    <col min="92" max="92" width="8.625" bestFit="1" customWidth="1"/>
    <col min="93" max="93" width="8.125" bestFit="1" customWidth="1"/>
    <col min="96" max="96" width="10.25" bestFit="1" customWidth="1"/>
    <col min="97" max="97" width="21.125" bestFit="1" customWidth="1"/>
    <col min="98" max="98" width="7.625" bestFit="1" customWidth="1"/>
    <col min="99" max="99" width="10.375" bestFit="1" customWidth="1"/>
    <col min="100" max="100" width="8.375" bestFit="1" customWidth="1"/>
    <col min="101" max="101" width="10.5" bestFit="1" customWidth="1"/>
    <col min="102" max="102" width="8.625" bestFit="1" customWidth="1"/>
    <col min="103" max="103" width="8.125" bestFit="1" customWidth="1"/>
    <col min="106" max="106" width="12.375" bestFit="1" customWidth="1"/>
    <col min="107" max="107" width="20.625" bestFit="1" customWidth="1"/>
    <col min="108" max="108" width="7.625" bestFit="1" customWidth="1"/>
    <col min="109" max="109" width="10.25" bestFit="1" customWidth="1"/>
    <col min="110" max="110" width="8.375" bestFit="1" customWidth="1"/>
    <col min="111" max="111" width="10.5" bestFit="1" customWidth="1"/>
    <col min="112" max="112" width="8.625" bestFit="1" customWidth="1"/>
    <col min="113" max="113" width="8.125" bestFit="1" customWidth="1"/>
  </cols>
  <sheetData>
    <row r="1" spans="1:113" ht="16.5" customHeight="1">
      <c r="A1" s="241" t="s">
        <v>138</v>
      </c>
      <c r="B1" s="242"/>
      <c r="C1" s="242"/>
      <c r="D1" s="243"/>
      <c r="E1" s="99"/>
      <c r="F1" s="283" t="s">
        <v>102</v>
      </c>
      <c r="G1" s="279" t="s">
        <v>199</v>
      </c>
      <c r="H1" s="280"/>
      <c r="P1" s="283" t="s">
        <v>104</v>
      </c>
      <c r="Q1" s="279" t="s">
        <v>199</v>
      </c>
      <c r="R1" s="280"/>
      <c r="Z1" s="281" t="s">
        <v>107</v>
      </c>
      <c r="AA1" s="279" t="s">
        <v>199</v>
      </c>
      <c r="AB1" s="280"/>
      <c r="AC1" s="63"/>
      <c r="AD1" s="63"/>
      <c r="AJ1" s="281" t="s">
        <v>110</v>
      </c>
      <c r="AK1" s="279" t="s">
        <v>199</v>
      </c>
      <c r="AL1" s="280"/>
      <c r="AT1" s="281" t="s">
        <v>111</v>
      </c>
      <c r="AU1" s="279" t="s">
        <v>199</v>
      </c>
      <c r="AV1" s="280"/>
      <c r="BD1" s="281" t="s">
        <v>105</v>
      </c>
      <c r="BE1" s="279" t="s">
        <v>199</v>
      </c>
      <c r="BF1" s="280"/>
      <c r="BN1" s="281" t="s">
        <v>109</v>
      </c>
      <c r="BO1" s="279" t="s">
        <v>199</v>
      </c>
      <c r="BP1" s="280"/>
      <c r="BX1" s="281" t="s">
        <v>106</v>
      </c>
      <c r="BY1" s="279" t="s">
        <v>199</v>
      </c>
      <c r="BZ1" s="280"/>
      <c r="CH1" s="281" t="s">
        <v>108</v>
      </c>
      <c r="CI1" s="279" t="s">
        <v>199</v>
      </c>
      <c r="CJ1" s="280"/>
      <c r="CR1" s="281" t="s">
        <v>187</v>
      </c>
      <c r="CS1" s="279" t="s">
        <v>199</v>
      </c>
      <c r="CT1" s="280"/>
      <c r="DB1" s="281" t="s">
        <v>188</v>
      </c>
      <c r="DC1" s="279" t="s">
        <v>199</v>
      </c>
      <c r="DD1" s="280"/>
    </row>
    <row r="2" spans="1:113" ht="17.25" customHeight="1" thickBot="1">
      <c r="A2" s="25" t="s">
        <v>73</v>
      </c>
      <c r="B2" s="48" t="s">
        <v>169</v>
      </c>
      <c r="C2" s="25" t="s">
        <v>170</v>
      </c>
      <c r="D2" s="25" t="s">
        <v>81</v>
      </c>
      <c r="E2" s="99"/>
      <c r="F2" s="282"/>
      <c r="G2" s="279"/>
      <c r="H2" s="280"/>
      <c r="P2" s="284"/>
      <c r="Q2" s="279"/>
      <c r="R2" s="280"/>
      <c r="Z2" s="282"/>
      <c r="AA2" s="279"/>
      <c r="AB2" s="280"/>
      <c r="AC2" s="63"/>
      <c r="AD2" s="63"/>
      <c r="AJ2" s="282"/>
      <c r="AK2" s="279"/>
      <c r="AL2" s="280"/>
      <c r="AT2" s="282"/>
      <c r="AU2" s="279"/>
      <c r="AV2" s="280"/>
      <c r="BD2" s="282"/>
      <c r="BE2" s="279"/>
      <c r="BF2" s="280"/>
      <c r="BN2" s="282"/>
      <c r="BO2" s="279"/>
      <c r="BP2" s="280"/>
      <c r="BX2" s="282"/>
      <c r="BY2" s="279"/>
      <c r="BZ2" s="280"/>
      <c r="CH2" s="282"/>
      <c r="CI2" s="279"/>
      <c r="CJ2" s="280"/>
      <c r="CR2" s="282"/>
      <c r="CS2" s="279"/>
      <c r="CT2" s="280"/>
      <c r="DB2" s="282"/>
      <c r="DC2" s="279"/>
      <c r="DD2" s="280"/>
    </row>
    <row r="3" spans="1:113">
      <c r="A3" s="50" t="s">
        <v>134</v>
      </c>
      <c r="B3"/>
      <c r="C3"/>
      <c r="F3" s="7" t="s">
        <v>179</v>
      </c>
      <c r="G3" s="7" t="s">
        <v>180</v>
      </c>
      <c r="H3" s="7" t="s">
        <v>78</v>
      </c>
      <c r="I3" s="7" t="s">
        <v>171</v>
      </c>
      <c r="J3" s="7" t="s">
        <v>183</v>
      </c>
      <c r="K3" s="7" t="s">
        <v>181</v>
      </c>
      <c r="L3" s="7" t="s">
        <v>182</v>
      </c>
      <c r="M3" s="7"/>
      <c r="P3" s="7" t="s">
        <v>101</v>
      </c>
      <c r="Q3" s="7" t="s">
        <v>180</v>
      </c>
      <c r="R3" s="7" t="s">
        <v>78</v>
      </c>
      <c r="S3" s="7" t="s">
        <v>171</v>
      </c>
      <c r="T3" s="7" t="s">
        <v>154</v>
      </c>
      <c r="U3" s="7" t="s">
        <v>169</v>
      </c>
      <c r="V3" s="7" t="s">
        <v>156</v>
      </c>
      <c r="W3" s="7"/>
      <c r="Z3" s="7" t="s">
        <v>101</v>
      </c>
      <c r="AA3" s="7" t="s">
        <v>180</v>
      </c>
      <c r="AB3" s="7" t="s">
        <v>78</v>
      </c>
      <c r="AC3" s="7" t="s">
        <v>171</v>
      </c>
      <c r="AD3" s="7" t="s">
        <v>154</v>
      </c>
      <c r="AE3" s="7" t="s">
        <v>169</v>
      </c>
      <c r="AF3" s="7" t="s">
        <v>156</v>
      </c>
      <c r="AG3" s="7"/>
      <c r="AJ3" s="7" t="s">
        <v>101</v>
      </c>
      <c r="AK3" s="7" t="s">
        <v>180</v>
      </c>
      <c r="AL3" s="7" t="s">
        <v>78</v>
      </c>
      <c r="AM3" s="7" t="s">
        <v>171</v>
      </c>
      <c r="AN3" s="7" t="s">
        <v>154</v>
      </c>
      <c r="AO3" s="7" t="s">
        <v>169</v>
      </c>
      <c r="AP3" s="7" t="s">
        <v>156</v>
      </c>
      <c r="AQ3" s="7"/>
      <c r="AT3" s="7" t="s">
        <v>101</v>
      </c>
      <c r="AU3" s="7" t="s">
        <v>180</v>
      </c>
      <c r="AV3" s="7" t="s">
        <v>78</v>
      </c>
      <c r="AW3" s="7" t="s">
        <v>171</v>
      </c>
      <c r="AX3" s="7" t="s">
        <v>154</v>
      </c>
      <c r="AY3" s="7" t="s">
        <v>169</v>
      </c>
      <c r="AZ3" s="7" t="s">
        <v>156</v>
      </c>
      <c r="BA3" s="7"/>
      <c r="BD3" s="7" t="s">
        <v>101</v>
      </c>
      <c r="BE3" s="7" t="s">
        <v>180</v>
      </c>
      <c r="BF3" s="7" t="s">
        <v>78</v>
      </c>
      <c r="BG3" s="7" t="s">
        <v>171</v>
      </c>
      <c r="BH3" s="7" t="s">
        <v>154</v>
      </c>
      <c r="BI3" s="7" t="s">
        <v>169</v>
      </c>
      <c r="BJ3" s="7" t="s">
        <v>156</v>
      </c>
      <c r="BK3" s="7"/>
      <c r="BN3" s="7" t="s">
        <v>101</v>
      </c>
      <c r="BO3" s="7" t="s">
        <v>180</v>
      </c>
      <c r="BP3" s="7" t="s">
        <v>78</v>
      </c>
      <c r="BQ3" s="7" t="s">
        <v>171</v>
      </c>
      <c r="BR3" s="7" t="s">
        <v>154</v>
      </c>
      <c r="BS3" s="7" t="s">
        <v>169</v>
      </c>
      <c r="BT3" s="7" t="s">
        <v>156</v>
      </c>
      <c r="BU3" s="7"/>
      <c r="BX3" s="7" t="s">
        <v>101</v>
      </c>
      <c r="BY3" s="7" t="s">
        <v>180</v>
      </c>
      <c r="BZ3" s="7" t="s">
        <v>78</v>
      </c>
      <c r="CA3" s="7" t="s">
        <v>171</v>
      </c>
      <c r="CB3" s="7" t="s">
        <v>154</v>
      </c>
      <c r="CC3" s="7" t="s">
        <v>169</v>
      </c>
      <c r="CD3" s="7" t="s">
        <v>156</v>
      </c>
      <c r="CE3" s="7"/>
      <c r="CH3" s="7" t="s">
        <v>101</v>
      </c>
      <c r="CI3" s="7" t="s">
        <v>180</v>
      </c>
      <c r="CJ3" s="7" t="s">
        <v>78</v>
      </c>
      <c r="CK3" s="7" t="s">
        <v>171</v>
      </c>
      <c r="CL3" s="7" t="s">
        <v>154</v>
      </c>
      <c r="CM3" s="7" t="s">
        <v>169</v>
      </c>
      <c r="CN3" s="7" t="s">
        <v>156</v>
      </c>
      <c r="CO3" s="7"/>
      <c r="CR3" s="7" t="s">
        <v>101</v>
      </c>
      <c r="CS3" s="7" t="s">
        <v>180</v>
      </c>
      <c r="CT3" s="7" t="s">
        <v>78</v>
      </c>
      <c r="CU3" s="7" t="s">
        <v>171</v>
      </c>
      <c r="CV3" s="7" t="s">
        <v>154</v>
      </c>
      <c r="CW3" s="7" t="s">
        <v>169</v>
      </c>
      <c r="CX3" s="7" t="s">
        <v>156</v>
      </c>
      <c r="CY3" s="7"/>
      <c r="DB3" s="7" t="s">
        <v>101</v>
      </c>
      <c r="DC3" s="7" t="s">
        <v>180</v>
      </c>
      <c r="DD3" s="7" t="s">
        <v>78</v>
      </c>
      <c r="DE3" s="7" t="s">
        <v>171</v>
      </c>
      <c r="DF3" s="7" t="s">
        <v>154</v>
      </c>
      <c r="DG3" s="7" t="s">
        <v>169</v>
      </c>
      <c r="DH3" s="7" t="s">
        <v>156</v>
      </c>
      <c r="DI3" s="7"/>
    </row>
    <row r="4" spans="1:113">
      <c r="A4" s="50">
        <v>9580</v>
      </c>
      <c r="B4"/>
      <c r="C4"/>
      <c r="F4">
        <v>1300</v>
      </c>
      <c r="G4" s="63" t="s">
        <v>559</v>
      </c>
      <c r="H4" s="63" t="s">
        <v>261</v>
      </c>
      <c r="I4" s="63" t="s">
        <v>172</v>
      </c>
      <c r="J4" s="63" t="s">
        <v>1266</v>
      </c>
      <c r="K4">
        <v>1</v>
      </c>
      <c r="L4">
        <v>59</v>
      </c>
      <c r="P4">
        <v>801</v>
      </c>
      <c r="Q4" s="63" t="s">
        <v>623</v>
      </c>
      <c r="R4" s="63" t="s">
        <v>261</v>
      </c>
      <c r="S4" s="63" t="s">
        <v>504</v>
      </c>
      <c r="T4" s="63" t="s">
        <v>2383</v>
      </c>
      <c r="U4">
        <v>1</v>
      </c>
      <c r="V4">
        <v>30</v>
      </c>
      <c r="W4"/>
      <c r="Z4">
        <v>5200</v>
      </c>
      <c r="AA4" s="63" t="s">
        <v>2580</v>
      </c>
      <c r="AB4" s="63" t="s">
        <v>59</v>
      </c>
      <c r="AC4" s="63" t="s">
        <v>174</v>
      </c>
      <c r="AD4" s="63" t="s">
        <v>2034</v>
      </c>
      <c r="AE4">
        <v>1</v>
      </c>
      <c r="AF4">
        <v>29</v>
      </c>
      <c r="AG4"/>
      <c r="AJ4">
        <v>1571</v>
      </c>
      <c r="AK4" s="63" t="s">
        <v>2500</v>
      </c>
      <c r="AL4" s="63" t="s">
        <v>59</v>
      </c>
      <c r="AM4" s="63" t="s">
        <v>203</v>
      </c>
      <c r="AN4" s="63" t="s">
        <v>2505</v>
      </c>
      <c r="AO4">
        <v>1</v>
      </c>
      <c r="AP4">
        <v>60</v>
      </c>
      <c r="AQ4"/>
      <c r="AT4" s="130">
        <v>1190</v>
      </c>
      <c r="AU4" s="130" t="s">
        <v>1197</v>
      </c>
      <c r="AV4" s="130" t="s">
        <v>1767</v>
      </c>
      <c r="AW4" s="130" t="s">
        <v>254</v>
      </c>
      <c r="AX4" s="130" t="s">
        <v>2494</v>
      </c>
      <c r="AY4" s="130">
        <v>1</v>
      </c>
      <c r="AZ4" s="130">
        <v>2</v>
      </c>
      <c r="BA4"/>
      <c r="BD4" s="130">
        <v>2996</v>
      </c>
      <c r="BE4" s="130" t="s">
        <v>2900</v>
      </c>
      <c r="BF4" s="130" t="s">
        <v>59</v>
      </c>
      <c r="BG4" s="130" t="s">
        <v>184</v>
      </c>
      <c r="BH4" s="130" t="s">
        <v>1496</v>
      </c>
      <c r="BI4" s="130">
        <v>1</v>
      </c>
      <c r="BJ4" s="130">
        <v>19</v>
      </c>
      <c r="BK4"/>
      <c r="BN4" s="130">
        <v>5997</v>
      </c>
      <c r="BO4" s="130" t="s">
        <v>340</v>
      </c>
      <c r="BP4" s="130" t="s">
        <v>59</v>
      </c>
      <c r="BQ4" s="130" t="s">
        <v>172</v>
      </c>
      <c r="BR4" s="130" t="s">
        <v>1226</v>
      </c>
      <c r="BS4" s="130">
        <v>1</v>
      </c>
      <c r="BT4" s="130">
        <v>4</v>
      </c>
      <c r="BU4"/>
      <c r="BX4">
        <v>201</v>
      </c>
      <c r="BY4" s="63" t="s">
        <v>1837</v>
      </c>
      <c r="BZ4" s="63" t="s">
        <v>59</v>
      </c>
      <c r="CA4" s="63" t="s">
        <v>175</v>
      </c>
      <c r="CB4" s="63" t="s">
        <v>1349</v>
      </c>
      <c r="CC4">
        <v>1</v>
      </c>
      <c r="CD4">
        <v>52</v>
      </c>
      <c r="CE4"/>
      <c r="CH4" s="130">
        <v>205</v>
      </c>
      <c r="CI4" s="130" t="s">
        <v>1283</v>
      </c>
      <c r="CJ4" s="130" t="s">
        <v>59</v>
      </c>
      <c r="CK4" s="130" t="s">
        <v>174</v>
      </c>
      <c r="CL4" s="130" t="s">
        <v>1029</v>
      </c>
      <c r="CM4" s="130">
        <v>1</v>
      </c>
      <c r="CN4" s="130">
        <v>1</v>
      </c>
      <c r="CR4">
        <v>9199</v>
      </c>
      <c r="CS4" s="63" t="s">
        <v>472</v>
      </c>
      <c r="CT4" s="63" t="s">
        <v>59</v>
      </c>
      <c r="CU4" s="63" t="s">
        <v>177</v>
      </c>
      <c r="CV4" s="63" t="s">
        <v>2706</v>
      </c>
      <c r="CW4">
        <v>1</v>
      </c>
      <c r="CX4">
        <v>27</v>
      </c>
    </row>
    <row r="5" spans="1:113">
      <c r="A5" s="50">
        <v>7590</v>
      </c>
      <c r="B5"/>
      <c r="C5"/>
      <c r="F5">
        <v>2300</v>
      </c>
      <c r="G5" s="63" t="s">
        <v>358</v>
      </c>
      <c r="H5" s="63" t="s">
        <v>59</v>
      </c>
      <c r="I5" s="63" t="s">
        <v>172</v>
      </c>
      <c r="J5" s="63" t="s">
        <v>1216</v>
      </c>
      <c r="K5">
        <v>1</v>
      </c>
      <c r="L5">
        <v>58</v>
      </c>
      <c r="P5">
        <v>2900</v>
      </c>
      <c r="Q5" s="63" t="s">
        <v>2513</v>
      </c>
      <c r="R5" s="63" t="s">
        <v>261</v>
      </c>
      <c r="S5" s="63" t="s">
        <v>176</v>
      </c>
      <c r="T5" s="63" t="s">
        <v>2514</v>
      </c>
      <c r="U5">
        <v>1</v>
      </c>
      <c r="V5">
        <v>26</v>
      </c>
      <c r="W5"/>
      <c r="Z5" s="130">
        <v>5200</v>
      </c>
      <c r="AA5" s="130" t="s">
        <v>1283</v>
      </c>
      <c r="AB5" s="130" t="s">
        <v>309</v>
      </c>
      <c r="AC5" s="130" t="s">
        <v>174</v>
      </c>
      <c r="AD5" s="130" t="s">
        <v>1343</v>
      </c>
      <c r="AE5" s="130">
        <v>1</v>
      </c>
      <c r="AF5" s="130">
        <v>8</v>
      </c>
      <c r="AG5"/>
      <c r="AJ5">
        <v>2970</v>
      </c>
      <c r="AK5" s="63" t="s">
        <v>316</v>
      </c>
      <c r="AL5" s="63" t="s">
        <v>261</v>
      </c>
      <c r="AM5" s="63" t="s">
        <v>172</v>
      </c>
      <c r="AN5" s="63" t="s">
        <v>909</v>
      </c>
      <c r="AO5">
        <v>1</v>
      </c>
      <c r="AP5">
        <v>60</v>
      </c>
      <c r="AQ5"/>
      <c r="AT5" s="63" t="s">
        <v>1010</v>
      </c>
      <c r="AU5" s="63" t="s">
        <v>310</v>
      </c>
      <c r="AV5" s="63" t="s">
        <v>59</v>
      </c>
      <c r="AW5" s="63" t="s">
        <v>176</v>
      </c>
      <c r="AX5" s="63" t="s">
        <v>2180</v>
      </c>
      <c r="AY5">
        <v>1</v>
      </c>
      <c r="AZ5">
        <v>48</v>
      </c>
      <c r="BA5"/>
      <c r="BD5">
        <v>2996</v>
      </c>
      <c r="BE5" s="63" t="s">
        <v>2899</v>
      </c>
      <c r="BF5" s="63" t="s">
        <v>59</v>
      </c>
      <c r="BG5" s="63" t="s">
        <v>184</v>
      </c>
      <c r="BH5" s="63" t="s">
        <v>2123</v>
      </c>
      <c r="BI5">
        <v>1</v>
      </c>
      <c r="BJ5">
        <v>60</v>
      </c>
      <c r="BK5"/>
      <c r="BS5"/>
      <c r="BT5"/>
      <c r="BU5"/>
      <c r="BX5">
        <v>201</v>
      </c>
      <c r="BY5" s="63" t="s">
        <v>1837</v>
      </c>
      <c r="BZ5" s="63" t="s">
        <v>59</v>
      </c>
      <c r="CA5" s="63" t="s">
        <v>175</v>
      </c>
      <c r="CB5" s="63" t="s">
        <v>1985</v>
      </c>
      <c r="CC5">
        <v>1</v>
      </c>
      <c r="CD5">
        <v>60</v>
      </c>
      <c r="CE5"/>
      <c r="CH5">
        <v>205</v>
      </c>
      <c r="CI5" s="63" t="s">
        <v>1283</v>
      </c>
      <c r="CJ5" s="63" t="s">
        <v>59</v>
      </c>
      <c r="CK5" s="63" t="s">
        <v>184</v>
      </c>
      <c r="CL5" s="63" t="s">
        <v>1316</v>
      </c>
      <c r="CM5">
        <v>1</v>
      </c>
      <c r="CN5">
        <v>60</v>
      </c>
      <c r="CR5" s="130">
        <v>9199</v>
      </c>
      <c r="CS5" s="130" t="s">
        <v>488</v>
      </c>
      <c r="CT5" s="130" t="s">
        <v>59</v>
      </c>
      <c r="CU5" s="130" t="s">
        <v>177</v>
      </c>
      <c r="CV5" s="130" t="s">
        <v>2054</v>
      </c>
      <c r="CW5" s="130">
        <v>1</v>
      </c>
      <c r="CX5" s="130">
        <v>11</v>
      </c>
    </row>
    <row r="6" spans="1:113">
      <c r="A6" s="50">
        <v>7310</v>
      </c>
      <c r="B6"/>
      <c r="C6"/>
      <c r="F6">
        <v>2350</v>
      </c>
      <c r="G6" s="63" t="s">
        <v>2500</v>
      </c>
      <c r="H6" s="63" t="s">
        <v>59</v>
      </c>
      <c r="I6" s="63" t="s">
        <v>174</v>
      </c>
      <c r="J6" s="63" t="s">
        <v>461</v>
      </c>
      <c r="K6">
        <v>1</v>
      </c>
      <c r="L6">
        <v>49</v>
      </c>
      <c r="P6">
        <v>2901</v>
      </c>
      <c r="Q6" s="63" t="s">
        <v>979</v>
      </c>
      <c r="R6" s="63" t="s">
        <v>261</v>
      </c>
      <c r="S6" s="63" t="s">
        <v>311</v>
      </c>
      <c r="T6" s="63" t="s">
        <v>2518</v>
      </c>
      <c r="U6">
        <v>1</v>
      </c>
      <c r="V6">
        <v>29</v>
      </c>
      <c r="W6"/>
      <c r="Z6">
        <v>5200</v>
      </c>
      <c r="AA6" s="63" t="s">
        <v>823</v>
      </c>
      <c r="AB6" s="63" t="s">
        <v>307</v>
      </c>
      <c r="AC6" s="63" t="s">
        <v>173</v>
      </c>
      <c r="AD6" s="63" t="s">
        <v>1998</v>
      </c>
      <c r="AE6">
        <v>1</v>
      </c>
      <c r="AF6">
        <v>31</v>
      </c>
      <c r="AG6"/>
      <c r="AJ6">
        <v>2970</v>
      </c>
      <c r="AK6" s="63" t="s">
        <v>316</v>
      </c>
      <c r="AL6" s="63" t="s">
        <v>261</v>
      </c>
      <c r="AM6" s="63" t="s">
        <v>173</v>
      </c>
      <c r="AN6" s="63" t="s">
        <v>1474</v>
      </c>
      <c r="AO6">
        <v>1</v>
      </c>
      <c r="AP6">
        <v>60</v>
      </c>
      <c r="AQ6"/>
      <c r="AT6" s="63" t="s">
        <v>1010</v>
      </c>
      <c r="AU6" s="63" t="s">
        <v>310</v>
      </c>
      <c r="AV6" s="63" t="s">
        <v>59</v>
      </c>
      <c r="AW6" s="63" t="s">
        <v>176</v>
      </c>
      <c r="AX6" s="63" t="s">
        <v>2182</v>
      </c>
      <c r="AY6">
        <v>1</v>
      </c>
      <c r="AZ6">
        <v>48</v>
      </c>
      <c r="BA6"/>
      <c r="BD6">
        <v>2999</v>
      </c>
      <c r="BE6" s="63" t="s">
        <v>2901</v>
      </c>
      <c r="BF6" s="63" t="s">
        <v>374</v>
      </c>
      <c r="BG6" s="63" t="s">
        <v>172</v>
      </c>
      <c r="BH6" s="63" t="s">
        <v>1155</v>
      </c>
      <c r="BI6">
        <v>1</v>
      </c>
      <c r="BJ6">
        <v>60</v>
      </c>
      <c r="BK6"/>
      <c r="BS6"/>
      <c r="BT6"/>
      <c r="BU6"/>
      <c r="BX6">
        <v>201</v>
      </c>
      <c r="BY6" s="63" t="s">
        <v>1837</v>
      </c>
      <c r="BZ6" s="63" t="s">
        <v>59</v>
      </c>
      <c r="CA6" s="63" t="s">
        <v>175</v>
      </c>
      <c r="CB6" s="63" t="s">
        <v>1732</v>
      </c>
      <c r="CC6">
        <v>1</v>
      </c>
      <c r="CD6">
        <v>60</v>
      </c>
      <c r="CE6"/>
      <c r="CH6">
        <v>205</v>
      </c>
      <c r="CI6" s="63" t="s">
        <v>1283</v>
      </c>
      <c r="CJ6" s="63" t="s">
        <v>59</v>
      </c>
      <c r="CK6" s="63" t="s">
        <v>184</v>
      </c>
      <c r="CL6" s="63" t="s">
        <v>1382</v>
      </c>
      <c r="CM6">
        <v>1</v>
      </c>
      <c r="CN6">
        <v>60</v>
      </c>
      <c r="CR6" s="130">
        <v>9199</v>
      </c>
      <c r="CS6" s="130" t="s">
        <v>2536</v>
      </c>
      <c r="CT6" s="130" t="s">
        <v>59</v>
      </c>
      <c r="CU6" s="130" t="s">
        <v>177</v>
      </c>
      <c r="CV6" s="130" t="s">
        <v>2707</v>
      </c>
      <c r="CW6" s="130">
        <v>1</v>
      </c>
      <c r="CX6" s="130">
        <v>11</v>
      </c>
    </row>
    <row r="7" spans="1:113">
      <c r="A7" s="49" t="s">
        <v>135</v>
      </c>
      <c r="B7"/>
      <c r="C7"/>
      <c r="F7">
        <v>3300</v>
      </c>
      <c r="G7" s="63" t="s">
        <v>2542</v>
      </c>
      <c r="H7" s="63" t="s">
        <v>59</v>
      </c>
      <c r="I7" s="63" t="s">
        <v>203</v>
      </c>
      <c r="J7" s="63" t="s">
        <v>1954</v>
      </c>
      <c r="K7">
        <v>1</v>
      </c>
      <c r="L7">
        <v>53</v>
      </c>
      <c r="P7" s="130">
        <v>2901</v>
      </c>
      <c r="Q7" s="130" t="s">
        <v>809</v>
      </c>
      <c r="R7" s="130" t="s">
        <v>261</v>
      </c>
      <c r="S7" s="130" t="s">
        <v>311</v>
      </c>
      <c r="T7" s="130" t="s">
        <v>1398</v>
      </c>
      <c r="U7" s="130">
        <v>1</v>
      </c>
      <c r="V7" s="130">
        <v>4</v>
      </c>
      <c r="W7"/>
      <c r="Z7">
        <v>5200</v>
      </c>
      <c r="AA7" s="63" t="s">
        <v>823</v>
      </c>
      <c r="AB7" s="63" t="s">
        <v>307</v>
      </c>
      <c r="AC7" s="63" t="s">
        <v>174</v>
      </c>
      <c r="AD7" s="63" t="s">
        <v>1547</v>
      </c>
      <c r="AE7">
        <v>1</v>
      </c>
      <c r="AF7">
        <v>46</v>
      </c>
      <c r="AG7"/>
      <c r="AJ7">
        <v>2970</v>
      </c>
      <c r="AK7" s="63" t="s">
        <v>316</v>
      </c>
      <c r="AL7" s="63" t="s">
        <v>261</v>
      </c>
      <c r="AM7" s="63" t="s">
        <v>173</v>
      </c>
      <c r="AN7" s="63" t="s">
        <v>1026</v>
      </c>
      <c r="AO7">
        <v>1</v>
      </c>
      <c r="AP7">
        <v>60</v>
      </c>
      <c r="AQ7"/>
      <c r="AT7" s="63" t="s">
        <v>1010</v>
      </c>
      <c r="AU7" s="63" t="s">
        <v>310</v>
      </c>
      <c r="AV7" s="63" t="s">
        <v>59</v>
      </c>
      <c r="AW7" s="63" t="s">
        <v>459</v>
      </c>
      <c r="AX7" s="63" t="s">
        <v>2184</v>
      </c>
      <c r="AY7">
        <v>1</v>
      </c>
      <c r="AZ7">
        <v>48</v>
      </c>
      <c r="BA7"/>
      <c r="BD7">
        <v>2999</v>
      </c>
      <c r="BE7" s="63" t="s">
        <v>2902</v>
      </c>
      <c r="BF7" s="63" t="s">
        <v>59</v>
      </c>
      <c r="BG7" s="63" t="s">
        <v>172</v>
      </c>
      <c r="BH7" s="63" t="s">
        <v>1313</v>
      </c>
      <c r="BI7">
        <v>1</v>
      </c>
      <c r="BJ7">
        <v>60</v>
      </c>
      <c r="BK7"/>
      <c r="BS7"/>
      <c r="BT7"/>
      <c r="BU7"/>
      <c r="BX7">
        <v>201</v>
      </c>
      <c r="BY7" s="63" t="s">
        <v>1837</v>
      </c>
      <c r="BZ7" s="63" t="s">
        <v>59</v>
      </c>
      <c r="CA7" s="63" t="s">
        <v>184</v>
      </c>
      <c r="CB7" s="63" t="s">
        <v>1814</v>
      </c>
      <c r="CC7">
        <v>1</v>
      </c>
      <c r="CD7">
        <v>38</v>
      </c>
      <c r="CE7"/>
      <c r="CH7" s="130">
        <v>205</v>
      </c>
      <c r="CI7" s="130" t="s">
        <v>975</v>
      </c>
      <c r="CJ7" s="130" t="s">
        <v>309</v>
      </c>
      <c r="CK7" s="130" t="s">
        <v>174</v>
      </c>
      <c r="CL7" s="130" t="s">
        <v>2105</v>
      </c>
      <c r="CM7" s="130">
        <v>1</v>
      </c>
      <c r="CN7" s="130">
        <v>7</v>
      </c>
      <c r="CR7">
        <v>9199</v>
      </c>
      <c r="CS7" s="63" t="s">
        <v>1837</v>
      </c>
      <c r="CT7" s="63" t="s">
        <v>59</v>
      </c>
      <c r="CU7" s="63" t="s">
        <v>177</v>
      </c>
      <c r="CV7" s="63" t="s">
        <v>2708</v>
      </c>
      <c r="CW7">
        <v>1</v>
      </c>
      <c r="CX7">
        <v>21</v>
      </c>
    </row>
    <row r="8" spans="1:113">
      <c r="A8" s="50">
        <v>7581</v>
      </c>
      <c r="B8"/>
      <c r="C8"/>
      <c r="F8">
        <v>3300</v>
      </c>
      <c r="G8" s="63" t="s">
        <v>357</v>
      </c>
      <c r="H8" s="63" t="s">
        <v>59</v>
      </c>
      <c r="I8" s="63" t="s">
        <v>172</v>
      </c>
      <c r="J8" s="63" t="s">
        <v>1797</v>
      </c>
      <c r="K8">
        <v>1</v>
      </c>
      <c r="L8">
        <v>38</v>
      </c>
      <c r="P8">
        <v>2902</v>
      </c>
      <c r="Q8" s="63" t="s">
        <v>1614</v>
      </c>
      <c r="R8" s="63" t="s">
        <v>261</v>
      </c>
      <c r="S8" s="63" t="s">
        <v>254</v>
      </c>
      <c r="T8" s="63" t="s">
        <v>651</v>
      </c>
      <c r="U8">
        <v>1</v>
      </c>
      <c r="V8">
        <v>59</v>
      </c>
      <c r="W8"/>
      <c r="Z8">
        <v>5200</v>
      </c>
      <c r="AA8" s="63" t="s">
        <v>823</v>
      </c>
      <c r="AB8" s="63" t="s">
        <v>307</v>
      </c>
      <c r="AC8" s="63" t="s">
        <v>174</v>
      </c>
      <c r="AD8" s="63" t="s">
        <v>2136</v>
      </c>
      <c r="AE8">
        <v>1</v>
      </c>
      <c r="AF8">
        <v>48</v>
      </c>
      <c r="AG8"/>
      <c r="AJ8">
        <v>2970</v>
      </c>
      <c r="AK8" s="63" t="s">
        <v>316</v>
      </c>
      <c r="AL8" s="63" t="s">
        <v>261</v>
      </c>
      <c r="AM8" s="63" t="s">
        <v>173</v>
      </c>
      <c r="AN8" s="63" t="s">
        <v>1220</v>
      </c>
      <c r="AO8">
        <v>1</v>
      </c>
      <c r="AP8">
        <v>60</v>
      </c>
      <c r="AQ8"/>
      <c r="AT8">
        <v>5290</v>
      </c>
      <c r="AU8" s="63" t="s">
        <v>406</v>
      </c>
      <c r="AV8" s="63" t="s">
        <v>59</v>
      </c>
      <c r="AW8" s="63" t="s">
        <v>254</v>
      </c>
      <c r="AX8" s="63" t="s">
        <v>2591</v>
      </c>
      <c r="AY8">
        <v>1</v>
      </c>
      <c r="AZ8">
        <v>60</v>
      </c>
      <c r="BA8"/>
      <c r="BD8">
        <v>2999</v>
      </c>
      <c r="BE8" s="63" t="s">
        <v>2903</v>
      </c>
      <c r="BF8" s="63" t="s">
        <v>59</v>
      </c>
      <c r="BG8" s="63" t="s">
        <v>174</v>
      </c>
      <c r="BH8" s="63" t="s">
        <v>628</v>
      </c>
      <c r="BI8">
        <v>1</v>
      </c>
      <c r="BJ8">
        <v>60</v>
      </c>
      <c r="BK8"/>
      <c r="BS8"/>
      <c r="BT8"/>
      <c r="BU8"/>
      <c r="BX8">
        <v>201</v>
      </c>
      <c r="BY8" s="63" t="s">
        <v>2309</v>
      </c>
      <c r="BZ8" s="63" t="s">
        <v>59</v>
      </c>
      <c r="CA8" s="63" t="s">
        <v>184</v>
      </c>
      <c r="CB8" s="63" t="s">
        <v>1361</v>
      </c>
      <c r="CC8">
        <v>1</v>
      </c>
      <c r="CD8">
        <v>60</v>
      </c>
      <c r="CE8"/>
      <c r="CH8" s="130">
        <v>205</v>
      </c>
      <c r="CI8" s="130" t="s">
        <v>2332</v>
      </c>
      <c r="CJ8" s="130" t="s">
        <v>309</v>
      </c>
      <c r="CK8" s="130" t="s">
        <v>175</v>
      </c>
      <c r="CL8" s="130" t="s">
        <v>1070</v>
      </c>
      <c r="CM8" s="130">
        <v>1</v>
      </c>
      <c r="CN8" s="130">
        <v>10</v>
      </c>
      <c r="CR8" s="130">
        <v>9199</v>
      </c>
      <c r="CS8" s="130" t="s">
        <v>350</v>
      </c>
      <c r="CT8" s="130" t="s">
        <v>59</v>
      </c>
      <c r="CU8" s="130" t="s">
        <v>254</v>
      </c>
      <c r="CV8" s="130" t="s">
        <v>1857</v>
      </c>
      <c r="CW8" s="130">
        <v>1</v>
      </c>
      <c r="CX8" s="130">
        <v>9</v>
      </c>
    </row>
    <row r="9" spans="1:113">
      <c r="A9" s="50">
        <v>7570</v>
      </c>
      <c r="B9"/>
      <c r="C9"/>
      <c r="F9">
        <v>3300</v>
      </c>
      <c r="G9" s="63" t="s">
        <v>357</v>
      </c>
      <c r="H9" s="63" t="s">
        <v>59</v>
      </c>
      <c r="I9" s="63" t="s">
        <v>184</v>
      </c>
      <c r="J9" s="63" t="s">
        <v>1174</v>
      </c>
      <c r="K9">
        <v>1</v>
      </c>
      <c r="L9">
        <v>49</v>
      </c>
      <c r="P9">
        <v>2902</v>
      </c>
      <c r="Q9" s="63" t="s">
        <v>1614</v>
      </c>
      <c r="R9" s="63" t="s">
        <v>261</v>
      </c>
      <c r="S9" s="63" t="s">
        <v>254</v>
      </c>
      <c r="T9" s="63" t="s">
        <v>1606</v>
      </c>
      <c r="U9">
        <v>1</v>
      </c>
      <c r="V9">
        <v>26</v>
      </c>
      <c r="W9"/>
      <c r="Z9">
        <v>5200</v>
      </c>
      <c r="AA9" s="63" t="s">
        <v>823</v>
      </c>
      <c r="AB9" s="63" t="s">
        <v>307</v>
      </c>
      <c r="AC9" s="63" t="s">
        <v>174</v>
      </c>
      <c r="AD9" s="63" t="s">
        <v>2585</v>
      </c>
      <c r="AE9">
        <v>1</v>
      </c>
      <c r="AF9">
        <v>48</v>
      </c>
      <c r="AG9"/>
      <c r="AJ9">
        <v>2970</v>
      </c>
      <c r="AK9" s="63" t="s">
        <v>331</v>
      </c>
      <c r="AL9" s="63" t="s">
        <v>261</v>
      </c>
      <c r="AM9" s="63" t="s">
        <v>203</v>
      </c>
      <c r="AN9" s="63" t="s">
        <v>2116</v>
      </c>
      <c r="AO9">
        <v>1</v>
      </c>
      <c r="AP9">
        <v>60</v>
      </c>
      <c r="AQ9"/>
      <c r="AT9">
        <v>5290</v>
      </c>
      <c r="AU9" s="63" t="s">
        <v>406</v>
      </c>
      <c r="AV9" s="63" t="s">
        <v>59</v>
      </c>
      <c r="AW9" s="63" t="s">
        <v>254</v>
      </c>
      <c r="AX9" s="63" t="s">
        <v>2592</v>
      </c>
      <c r="AY9">
        <v>1</v>
      </c>
      <c r="AZ9">
        <v>60</v>
      </c>
      <c r="BA9"/>
      <c r="BD9">
        <v>2999</v>
      </c>
      <c r="BE9" s="63" t="s">
        <v>2904</v>
      </c>
      <c r="BF9" s="63" t="s">
        <v>59</v>
      </c>
      <c r="BG9" s="63" t="s">
        <v>172</v>
      </c>
      <c r="BH9" s="63" t="s">
        <v>1374</v>
      </c>
      <c r="BI9">
        <v>1</v>
      </c>
      <c r="BJ9">
        <v>60</v>
      </c>
      <c r="BK9"/>
      <c r="BS9"/>
      <c r="BT9"/>
      <c r="BU9"/>
      <c r="BX9">
        <v>201</v>
      </c>
      <c r="BY9" s="63" t="s">
        <v>2309</v>
      </c>
      <c r="BZ9" s="63" t="s">
        <v>59</v>
      </c>
      <c r="CA9" s="63" t="s">
        <v>184</v>
      </c>
      <c r="CB9" s="63" t="s">
        <v>1212</v>
      </c>
      <c r="CC9">
        <v>1</v>
      </c>
      <c r="CD9">
        <v>60</v>
      </c>
      <c r="CE9"/>
      <c r="CH9" s="130">
        <v>205</v>
      </c>
      <c r="CI9" s="130" t="s">
        <v>1607</v>
      </c>
      <c r="CJ9" s="130" t="s">
        <v>309</v>
      </c>
      <c r="CK9" s="130" t="s">
        <v>175</v>
      </c>
      <c r="CL9" s="130" t="s">
        <v>2082</v>
      </c>
      <c r="CM9" s="130">
        <v>1</v>
      </c>
      <c r="CN9" s="130">
        <v>12</v>
      </c>
      <c r="CR9" s="130">
        <v>9199</v>
      </c>
      <c r="CS9" s="130" t="s">
        <v>350</v>
      </c>
      <c r="CT9" s="130" t="s">
        <v>59</v>
      </c>
      <c r="CU9" s="130" t="s">
        <v>177</v>
      </c>
      <c r="CV9" s="130" t="s">
        <v>1108</v>
      </c>
      <c r="CW9" s="130">
        <v>1</v>
      </c>
      <c r="CX9" s="130">
        <v>5</v>
      </c>
    </row>
    <row r="10" spans="1:113">
      <c r="A10" s="50">
        <v>7571</v>
      </c>
      <c r="B10"/>
      <c r="C10"/>
      <c r="F10">
        <v>3300</v>
      </c>
      <c r="G10" s="63" t="s">
        <v>357</v>
      </c>
      <c r="H10" s="63" t="s">
        <v>59</v>
      </c>
      <c r="I10" s="63" t="s">
        <v>184</v>
      </c>
      <c r="J10" s="63" t="s">
        <v>1208</v>
      </c>
      <c r="K10">
        <v>1</v>
      </c>
      <c r="L10">
        <v>58</v>
      </c>
      <c r="P10">
        <v>2902</v>
      </c>
      <c r="Q10" s="63" t="s">
        <v>1317</v>
      </c>
      <c r="R10" s="63" t="s">
        <v>261</v>
      </c>
      <c r="S10" s="63" t="s">
        <v>176</v>
      </c>
      <c r="T10" s="63" t="s">
        <v>1564</v>
      </c>
      <c r="U10">
        <v>1</v>
      </c>
      <c r="V10">
        <v>48</v>
      </c>
      <c r="W10"/>
      <c r="Z10">
        <v>5200</v>
      </c>
      <c r="AA10" s="63" t="s">
        <v>823</v>
      </c>
      <c r="AB10" s="63" t="s">
        <v>307</v>
      </c>
      <c r="AC10" s="63" t="s">
        <v>174</v>
      </c>
      <c r="AD10" s="63" t="s">
        <v>625</v>
      </c>
      <c r="AE10">
        <v>1</v>
      </c>
      <c r="AF10">
        <v>48</v>
      </c>
      <c r="AG10"/>
      <c r="AJ10">
        <v>2970</v>
      </c>
      <c r="AK10" s="63" t="s">
        <v>332</v>
      </c>
      <c r="AL10" s="63" t="s">
        <v>261</v>
      </c>
      <c r="AM10" s="63" t="s">
        <v>172</v>
      </c>
      <c r="AN10" s="63" t="s">
        <v>1788</v>
      </c>
      <c r="AO10">
        <v>1</v>
      </c>
      <c r="AP10">
        <v>60</v>
      </c>
      <c r="AQ10"/>
      <c r="AT10" s="63" t="s">
        <v>2118</v>
      </c>
      <c r="AU10" s="63" t="s">
        <v>1283</v>
      </c>
      <c r="AV10" s="63" t="s">
        <v>59</v>
      </c>
      <c r="AW10" s="63" t="s">
        <v>174</v>
      </c>
      <c r="AX10" s="63" t="s">
        <v>2593</v>
      </c>
      <c r="AY10">
        <v>1</v>
      </c>
      <c r="AZ10">
        <v>60</v>
      </c>
      <c r="BA10"/>
      <c r="BD10">
        <v>2999</v>
      </c>
      <c r="BE10" s="63" t="s">
        <v>2905</v>
      </c>
      <c r="BF10" s="63" t="s">
        <v>59</v>
      </c>
      <c r="BG10" s="63" t="s">
        <v>203</v>
      </c>
      <c r="BH10" s="63" t="s">
        <v>1457</v>
      </c>
      <c r="BI10">
        <v>1</v>
      </c>
      <c r="BJ10">
        <v>60</v>
      </c>
      <c r="BK10"/>
      <c r="BS10"/>
      <c r="BT10"/>
      <c r="BU10"/>
      <c r="BX10">
        <v>201</v>
      </c>
      <c r="BY10" s="63" t="s">
        <v>2309</v>
      </c>
      <c r="BZ10" s="63" t="s">
        <v>59</v>
      </c>
      <c r="CA10" s="63" t="s">
        <v>184</v>
      </c>
      <c r="CB10" s="63" t="s">
        <v>1158</v>
      </c>
      <c r="CC10">
        <v>1</v>
      </c>
      <c r="CD10">
        <v>60</v>
      </c>
      <c r="CE10"/>
      <c r="CH10">
        <v>205</v>
      </c>
      <c r="CI10" s="63" t="s">
        <v>823</v>
      </c>
      <c r="CJ10" s="63" t="s">
        <v>307</v>
      </c>
      <c r="CK10" s="63" t="s">
        <v>174</v>
      </c>
      <c r="CL10" s="63" t="s">
        <v>949</v>
      </c>
      <c r="CM10">
        <v>1</v>
      </c>
      <c r="CN10">
        <v>48</v>
      </c>
      <c r="CR10">
        <v>9199</v>
      </c>
      <c r="CS10" s="63" t="s">
        <v>350</v>
      </c>
      <c r="CT10" s="63" t="s">
        <v>59</v>
      </c>
      <c r="CU10" s="63" t="s">
        <v>177</v>
      </c>
      <c r="CV10" s="63" t="s">
        <v>2709</v>
      </c>
      <c r="CW10">
        <v>1</v>
      </c>
      <c r="CX10">
        <v>21</v>
      </c>
    </row>
    <row r="11" spans="1:113">
      <c r="A11" s="50">
        <v>7560</v>
      </c>
      <c r="B11"/>
      <c r="C11"/>
      <c r="F11">
        <v>3300</v>
      </c>
      <c r="G11" s="63" t="s">
        <v>2538</v>
      </c>
      <c r="H11" s="63" t="s">
        <v>59</v>
      </c>
      <c r="I11" s="63" t="s">
        <v>203</v>
      </c>
      <c r="J11" s="63" t="s">
        <v>1731</v>
      </c>
      <c r="K11">
        <v>1</v>
      </c>
      <c r="L11">
        <v>57</v>
      </c>
      <c r="P11">
        <v>2902</v>
      </c>
      <c r="Q11" s="63" t="s">
        <v>1706</v>
      </c>
      <c r="R11" s="63" t="s">
        <v>261</v>
      </c>
      <c r="S11" s="63" t="s">
        <v>254</v>
      </c>
      <c r="T11" s="63" t="s">
        <v>1005</v>
      </c>
      <c r="U11">
        <v>1</v>
      </c>
      <c r="V11">
        <v>30</v>
      </c>
      <c r="W11"/>
      <c r="Z11" s="130">
        <v>5200</v>
      </c>
      <c r="AA11" s="130" t="s">
        <v>823</v>
      </c>
      <c r="AB11" s="130" t="s">
        <v>307</v>
      </c>
      <c r="AC11" s="130" t="s">
        <v>184</v>
      </c>
      <c r="AD11" s="130" t="s">
        <v>453</v>
      </c>
      <c r="AE11" s="130">
        <v>1</v>
      </c>
      <c r="AF11" s="130">
        <v>2</v>
      </c>
      <c r="AG11"/>
      <c r="AJ11">
        <v>2971</v>
      </c>
      <c r="AK11" s="63" t="s">
        <v>331</v>
      </c>
      <c r="AL11" s="63" t="s">
        <v>261</v>
      </c>
      <c r="AM11" s="63" t="s">
        <v>203</v>
      </c>
      <c r="AN11" s="63" t="s">
        <v>1825</v>
      </c>
      <c r="AO11">
        <v>1</v>
      </c>
      <c r="AP11">
        <v>60</v>
      </c>
      <c r="AQ11"/>
      <c r="AT11" s="63" t="s">
        <v>2118</v>
      </c>
      <c r="AU11" s="63" t="s">
        <v>1283</v>
      </c>
      <c r="AV11" s="63" t="s">
        <v>59</v>
      </c>
      <c r="AW11" s="63" t="s">
        <v>174</v>
      </c>
      <c r="AX11" s="63" t="s">
        <v>527</v>
      </c>
      <c r="AY11">
        <v>1</v>
      </c>
      <c r="AZ11">
        <v>60</v>
      </c>
      <c r="BA11"/>
      <c r="BD11">
        <v>2999</v>
      </c>
      <c r="BE11" s="63" t="s">
        <v>2906</v>
      </c>
      <c r="BF11" s="63" t="s">
        <v>59</v>
      </c>
      <c r="BG11" s="63" t="s">
        <v>173</v>
      </c>
      <c r="BH11" s="63" t="s">
        <v>1717</v>
      </c>
      <c r="BI11">
        <v>1</v>
      </c>
      <c r="BJ11">
        <v>60</v>
      </c>
      <c r="BK11"/>
      <c r="BS11"/>
      <c r="BT11"/>
      <c r="BU11"/>
      <c r="BX11">
        <v>201</v>
      </c>
      <c r="BY11" s="63" t="s">
        <v>2309</v>
      </c>
      <c r="BZ11" s="63" t="s">
        <v>59</v>
      </c>
      <c r="CA11" s="63" t="s">
        <v>184</v>
      </c>
      <c r="CB11" s="63" t="s">
        <v>2040</v>
      </c>
      <c r="CC11">
        <v>1</v>
      </c>
      <c r="CD11">
        <v>60</v>
      </c>
      <c r="CE11"/>
      <c r="CH11" s="130">
        <v>206</v>
      </c>
      <c r="CI11" s="130" t="s">
        <v>308</v>
      </c>
      <c r="CJ11" s="130" t="s">
        <v>301</v>
      </c>
      <c r="CK11" s="130" t="s">
        <v>254</v>
      </c>
      <c r="CL11" s="130" t="s">
        <v>1563</v>
      </c>
      <c r="CM11" s="130">
        <v>1</v>
      </c>
      <c r="CN11" s="130">
        <v>15</v>
      </c>
      <c r="CR11" s="130">
        <v>9199</v>
      </c>
      <c r="CS11" s="130" t="s">
        <v>873</v>
      </c>
      <c r="CT11" s="130" t="s">
        <v>59</v>
      </c>
      <c r="CU11" s="130" t="s">
        <v>177</v>
      </c>
      <c r="CV11" s="130" t="s">
        <v>1227</v>
      </c>
      <c r="CW11" s="130">
        <v>1</v>
      </c>
      <c r="CX11" s="130">
        <v>16</v>
      </c>
    </row>
    <row r="12" spans="1:113">
      <c r="A12" s="90"/>
      <c r="B12"/>
      <c r="C12"/>
      <c r="F12">
        <v>3300</v>
      </c>
      <c r="G12" s="63" t="s">
        <v>358</v>
      </c>
      <c r="H12" s="63" t="s">
        <v>59</v>
      </c>
      <c r="I12" s="63" t="s">
        <v>174</v>
      </c>
      <c r="J12" s="63" t="s">
        <v>1835</v>
      </c>
      <c r="K12">
        <v>1</v>
      </c>
      <c r="L12">
        <v>46</v>
      </c>
      <c r="P12">
        <v>5901</v>
      </c>
      <c r="Q12" s="63" t="s">
        <v>1614</v>
      </c>
      <c r="R12" s="63" t="s">
        <v>261</v>
      </c>
      <c r="S12" s="63" t="s">
        <v>311</v>
      </c>
      <c r="T12" s="63" t="s">
        <v>2063</v>
      </c>
      <c r="U12">
        <v>1</v>
      </c>
      <c r="V12">
        <v>49</v>
      </c>
      <c r="W12"/>
      <c r="Z12" s="130">
        <v>5200</v>
      </c>
      <c r="AA12" s="130" t="s">
        <v>1612</v>
      </c>
      <c r="AB12" s="130" t="s">
        <v>309</v>
      </c>
      <c r="AC12" s="130" t="s">
        <v>184</v>
      </c>
      <c r="AD12" s="130" t="s">
        <v>1410</v>
      </c>
      <c r="AE12" s="130">
        <v>1</v>
      </c>
      <c r="AF12" s="130">
        <v>2</v>
      </c>
      <c r="AG12"/>
      <c r="AJ12">
        <v>4560</v>
      </c>
      <c r="AK12" s="63" t="s">
        <v>350</v>
      </c>
      <c r="AL12" s="63" t="s">
        <v>59</v>
      </c>
      <c r="AM12" s="63" t="s">
        <v>173</v>
      </c>
      <c r="AN12" s="63" t="s">
        <v>752</v>
      </c>
      <c r="AO12">
        <v>1</v>
      </c>
      <c r="AP12">
        <v>60</v>
      </c>
      <c r="AQ12"/>
      <c r="AT12" s="63" t="s">
        <v>2118</v>
      </c>
      <c r="AU12" s="63" t="s">
        <v>1283</v>
      </c>
      <c r="AV12" s="63" t="s">
        <v>59</v>
      </c>
      <c r="AW12" s="63" t="s">
        <v>174</v>
      </c>
      <c r="AX12" s="63" t="s">
        <v>899</v>
      </c>
      <c r="AY12">
        <v>1</v>
      </c>
      <c r="AZ12">
        <v>60</v>
      </c>
      <c r="BA12"/>
      <c r="BD12">
        <v>2999</v>
      </c>
      <c r="BE12" s="63" t="s">
        <v>928</v>
      </c>
      <c r="BF12" s="63" t="s">
        <v>59</v>
      </c>
      <c r="BG12" s="63" t="s">
        <v>172</v>
      </c>
      <c r="BH12" s="63" t="s">
        <v>2108</v>
      </c>
      <c r="BI12">
        <v>1</v>
      </c>
      <c r="BJ12">
        <v>60</v>
      </c>
      <c r="BK12"/>
      <c r="BS12"/>
      <c r="BT12"/>
      <c r="BU12"/>
      <c r="BX12">
        <v>201</v>
      </c>
      <c r="BY12" s="63" t="s">
        <v>2309</v>
      </c>
      <c r="BZ12" s="63" t="s">
        <v>59</v>
      </c>
      <c r="CA12" s="63" t="s">
        <v>184</v>
      </c>
      <c r="CB12" s="63" t="s">
        <v>1960</v>
      </c>
      <c r="CC12">
        <v>1</v>
      </c>
      <c r="CD12">
        <v>60</v>
      </c>
      <c r="CE12"/>
      <c r="CH12" s="130">
        <v>206</v>
      </c>
      <c r="CI12" s="130" t="s">
        <v>1609</v>
      </c>
      <c r="CJ12" s="130" t="s">
        <v>309</v>
      </c>
      <c r="CK12" s="130" t="s">
        <v>177</v>
      </c>
      <c r="CL12" s="130" t="s">
        <v>1610</v>
      </c>
      <c r="CM12" s="130">
        <v>1</v>
      </c>
      <c r="CN12" s="130">
        <v>16</v>
      </c>
      <c r="CR12" s="130">
        <v>9199</v>
      </c>
      <c r="CS12" s="130" t="s">
        <v>873</v>
      </c>
      <c r="CT12" s="130" t="s">
        <v>59</v>
      </c>
      <c r="CU12" s="130" t="s">
        <v>177</v>
      </c>
      <c r="CV12" s="130" t="s">
        <v>2148</v>
      </c>
      <c r="CW12" s="130">
        <v>1</v>
      </c>
      <c r="CX12" s="130">
        <v>3</v>
      </c>
    </row>
    <row r="13" spans="1:113">
      <c r="A13" s="90"/>
      <c r="B13"/>
      <c r="C13"/>
      <c r="F13">
        <v>3300</v>
      </c>
      <c r="G13" s="63" t="s">
        <v>358</v>
      </c>
      <c r="H13" s="63" t="s">
        <v>59</v>
      </c>
      <c r="I13" s="63" t="s">
        <v>175</v>
      </c>
      <c r="J13" s="63" t="s">
        <v>440</v>
      </c>
      <c r="K13">
        <v>1</v>
      </c>
      <c r="L13">
        <v>21</v>
      </c>
      <c r="U13"/>
      <c r="V13"/>
      <c r="W13"/>
      <c r="Z13" s="130">
        <v>5200</v>
      </c>
      <c r="AA13" s="130" t="s">
        <v>1612</v>
      </c>
      <c r="AB13" s="130" t="s">
        <v>59</v>
      </c>
      <c r="AC13" s="130" t="s">
        <v>184</v>
      </c>
      <c r="AD13" s="130" t="s">
        <v>2048</v>
      </c>
      <c r="AE13" s="130">
        <v>1</v>
      </c>
      <c r="AF13" s="130">
        <v>3</v>
      </c>
      <c r="AG13"/>
      <c r="AJ13">
        <v>4560</v>
      </c>
      <c r="AK13" s="63" t="s">
        <v>373</v>
      </c>
      <c r="AL13" s="63" t="s">
        <v>59</v>
      </c>
      <c r="AM13" s="63" t="s">
        <v>173</v>
      </c>
      <c r="AN13" s="63" t="s">
        <v>1168</v>
      </c>
      <c r="AO13">
        <v>1</v>
      </c>
      <c r="AP13">
        <v>60</v>
      </c>
      <c r="AQ13"/>
      <c r="AT13">
        <v>5560</v>
      </c>
      <c r="AU13" s="63" t="s">
        <v>1283</v>
      </c>
      <c r="AV13" s="63" t="s">
        <v>59</v>
      </c>
      <c r="AW13" s="63" t="s">
        <v>174</v>
      </c>
      <c r="AX13" s="63" t="s">
        <v>542</v>
      </c>
      <c r="AY13">
        <v>1</v>
      </c>
      <c r="AZ13">
        <v>60</v>
      </c>
      <c r="BA13"/>
      <c r="BD13">
        <v>2999</v>
      </c>
      <c r="BE13" s="63" t="s">
        <v>928</v>
      </c>
      <c r="BF13" s="63" t="s">
        <v>59</v>
      </c>
      <c r="BG13" s="63" t="s">
        <v>172</v>
      </c>
      <c r="BH13" s="63" t="s">
        <v>1368</v>
      </c>
      <c r="BI13">
        <v>1</v>
      </c>
      <c r="BJ13">
        <v>60</v>
      </c>
      <c r="BK13"/>
      <c r="BS13"/>
      <c r="BT13"/>
      <c r="BU13"/>
      <c r="BX13">
        <v>201</v>
      </c>
      <c r="BY13" s="63" t="s">
        <v>2309</v>
      </c>
      <c r="BZ13" s="63" t="s">
        <v>59</v>
      </c>
      <c r="CA13" s="63" t="s">
        <v>184</v>
      </c>
      <c r="CB13" s="63" t="s">
        <v>1497</v>
      </c>
      <c r="CC13">
        <v>1</v>
      </c>
      <c r="CD13">
        <v>39</v>
      </c>
      <c r="CE13"/>
      <c r="CH13">
        <v>207</v>
      </c>
      <c r="CI13" s="63" t="s">
        <v>406</v>
      </c>
      <c r="CJ13" s="63" t="s">
        <v>59</v>
      </c>
      <c r="CK13" s="63" t="s">
        <v>184</v>
      </c>
      <c r="CL13" s="63" t="s">
        <v>761</v>
      </c>
      <c r="CM13">
        <v>1</v>
      </c>
      <c r="CN13">
        <v>60</v>
      </c>
      <c r="CR13">
        <v>9199</v>
      </c>
      <c r="CS13" s="63" t="s">
        <v>874</v>
      </c>
      <c r="CT13" s="63" t="s">
        <v>59</v>
      </c>
      <c r="CU13" s="63" t="s">
        <v>177</v>
      </c>
      <c r="CV13" s="63" t="s">
        <v>2710</v>
      </c>
      <c r="CW13">
        <v>1</v>
      </c>
      <c r="CX13">
        <v>20</v>
      </c>
    </row>
    <row r="14" spans="1:113">
      <c r="A14" s="50" t="s">
        <v>133</v>
      </c>
      <c r="B14"/>
      <c r="C14"/>
      <c r="F14">
        <v>3300</v>
      </c>
      <c r="G14" s="63" t="s">
        <v>1369</v>
      </c>
      <c r="H14" s="63" t="s">
        <v>59</v>
      </c>
      <c r="I14" s="63" t="s">
        <v>184</v>
      </c>
      <c r="J14" s="63" t="s">
        <v>2559</v>
      </c>
      <c r="K14">
        <v>1</v>
      </c>
      <c r="L14">
        <v>51</v>
      </c>
      <c r="U14"/>
      <c r="V14"/>
      <c r="W14"/>
      <c r="Z14" s="130">
        <v>5803</v>
      </c>
      <c r="AA14" s="130" t="s">
        <v>1762</v>
      </c>
      <c r="AB14" s="130" t="s">
        <v>59</v>
      </c>
      <c r="AC14" s="130" t="s">
        <v>504</v>
      </c>
      <c r="AD14" s="130" t="s">
        <v>1763</v>
      </c>
      <c r="AE14" s="130">
        <v>1</v>
      </c>
      <c r="AF14" s="130">
        <v>2</v>
      </c>
      <c r="AG14"/>
      <c r="AJ14">
        <v>4560</v>
      </c>
      <c r="AK14" s="63" t="s">
        <v>373</v>
      </c>
      <c r="AL14" s="63" t="s">
        <v>59</v>
      </c>
      <c r="AM14" s="63" t="s">
        <v>174</v>
      </c>
      <c r="AN14" s="63" t="s">
        <v>693</v>
      </c>
      <c r="AO14">
        <v>1</v>
      </c>
      <c r="AP14">
        <v>60</v>
      </c>
      <c r="AQ14"/>
      <c r="AT14">
        <v>5560</v>
      </c>
      <c r="AU14" s="63" t="s">
        <v>406</v>
      </c>
      <c r="AV14" s="63" t="s">
        <v>59</v>
      </c>
      <c r="AW14" s="63" t="s">
        <v>174</v>
      </c>
      <c r="AX14" s="63" t="s">
        <v>1465</v>
      </c>
      <c r="AY14">
        <v>1</v>
      </c>
      <c r="AZ14">
        <v>60</v>
      </c>
      <c r="BA14"/>
      <c r="BD14">
        <v>2999</v>
      </c>
      <c r="BE14" s="63" t="s">
        <v>2907</v>
      </c>
      <c r="BF14" s="63" t="s">
        <v>59</v>
      </c>
      <c r="BG14" s="63" t="s">
        <v>203</v>
      </c>
      <c r="BH14" s="63" t="s">
        <v>1799</v>
      </c>
      <c r="BI14">
        <v>1</v>
      </c>
      <c r="BJ14">
        <v>60</v>
      </c>
      <c r="BK14"/>
      <c r="BS14"/>
      <c r="BT14"/>
      <c r="BU14"/>
      <c r="BX14">
        <v>201</v>
      </c>
      <c r="BY14" s="63" t="s">
        <v>2309</v>
      </c>
      <c r="BZ14" s="63" t="s">
        <v>59</v>
      </c>
      <c r="CA14" s="63" t="s">
        <v>184</v>
      </c>
      <c r="CB14" s="63" t="s">
        <v>925</v>
      </c>
      <c r="CC14">
        <v>1</v>
      </c>
      <c r="CD14">
        <v>60</v>
      </c>
      <c r="CE14"/>
      <c r="CH14">
        <v>207</v>
      </c>
      <c r="CI14" s="63" t="s">
        <v>406</v>
      </c>
      <c r="CJ14" s="63" t="s">
        <v>59</v>
      </c>
      <c r="CK14" s="63" t="s">
        <v>184</v>
      </c>
      <c r="CL14" s="63" t="s">
        <v>1253</v>
      </c>
      <c r="CM14">
        <v>1</v>
      </c>
      <c r="CN14">
        <v>60</v>
      </c>
      <c r="CR14">
        <v>9199</v>
      </c>
      <c r="CS14" s="63" t="s">
        <v>1602</v>
      </c>
      <c r="CT14" s="63" t="s">
        <v>59</v>
      </c>
      <c r="CU14" s="63" t="s">
        <v>177</v>
      </c>
      <c r="CV14" s="63" t="s">
        <v>1934</v>
      </c>
      <c r="CW14">
        <v>1</v>
      </c>
      <c r="CX14">
        <v>48</v>
      </c>
    </row>
    <row r="15" spans="1:113">
      <c r="A15" s="50">
        <v>5803</v>
      </c>
      <c r="B15"/>
      <c r="C15"/>
      <c r="F15">
        <v>3300</v>
      </c>
      <c r="G15" s="63" t="s">
        <v>2500</v>
      </c>
      <c r="H15" s="63" t="s">
        <v>59</v>
      </c>
      <c r="I15" s="63" t="s">
        <v>175</v>
      </c>
      <c r="J15" s="63" t="s">
        <v>1271</v>
      </c>
      <c r="K15">
        <v>1</v>
      </c>
      <c r="L15">
        <v>40</v>
      </c>
      <c r="U15"/>
      <c r="V15"/>
      <c r="W15"/>
      <c r="AE15"/>
      <c r="AF15"/>
      <c r="AG15"/>
      <c r="AJ15">
        <v>4560</v>
      </c>
      <c r="AK15" s="63" t="s">
        <v>373</v>
      </c>
      <c r="AL15" s="63" t="s">
        <v>59</v>
      </c>
      <c r="AM15" s="63" t="s">
        <v>174</v>
      </c>
      <c r="AN15" s="63" t="s">
        <v>2038</v>
      </c>
      <c r="AO15">
        <v>1</v>
      </c>
      <c r="AP15">
        <v>60</v>
      </c>
      <c r="AQ15"/>
      <c r="AY15"/>
      <c r="AZ15"/>
      <c r="BA15"/>
      <c r="BD15">
        <v>2999</v>
      </c>
      <c r="BE15" s="63" t="s">
        <v>1664</v>
      </c>
      <c r="BF15" s="63" t="s">
        <v>59</v>
      </c>
      <c r="BG15" s="63" t="s">
        <v>175</v>
      </c>
      <c r="BH15" s="63" t="s">
        <v>940</v>
      </c>
      <c r="BI15">
        <v>1</v>
      </c>
      <c r="BJ15">
        <v>60</v>
      </c>
      <c r="BK15"/>
      <c r="BS15"/>
      <c r="BT15"/>
      <c r="BU15"/>
      <c r="BX15">
        <v>201</v>
      </c>
      <c r="BY15" s="63" t="s">
        <v>2309</v>
      </c>
      <c r="BZ15" s="63" t="s">
        <v>59</v>
      </c>
      <c r="CA15" s="63" t="s">
        <v>184</v>
      </c>
      <c r="CB15" s="63" t="s">
        <v>1133</v>
      </c>
      <c r="CC15">
        <v>1</v>
      </c>
      <c r="CD15">
        <v>60</v>
      </c>
      <c r="CE15"/>
      <c r="CH15">
        <v>207</v>
      </c>
      <c r="CI15" s="63" t="s">
        <v>406</v>
      </c>
      <c r="CJ15" s="63" t="s">
        <v>59</v>
      </c>
      <c r="CK15" s="63" t="s">
        <v>184</v>
      </c>
      <c r="CL15" s="63" t="s">
        <v>1802</v>
      </c>
      <c r="CM15">
        <v>1</v>
      </c>
      <c r="CN15">
        <v>60</v>
      </c>
      <c r="CR15" s="130">
        <v>9199</v>
      </c>
      <c r="CS15" s="130" t="s">
        <v>2310</v>
      </c>
      <c r="CT15" s="130" t="s">
        <v>59</v>
      </c>
      <c r="CU15" s="130" t="s">
        <v>177</v>
      </c>
      <c r="CV15" s="130" t="s">
        <v>2711</v>
      </c>
      <c r="CW15" s="130">
        <v>1</v>
      </c>
      <c r="CX15" s="130">
        <v>13</v>
      </c>
    </row>
    <row r="16" spans="1:113">
      <c r="A16" s="50">
        <v>5290</v>
      </c>
      <c r="B16"/>
      <c r="C16"/>
      <c r="F16">
        <v>3300</v>
      </c>
      <c r="G16" s="63" t="s">
        <v>2500</v>
      </c>
      <c r="H16" s="63" t="s">
        <v>59</v>
      </c>
      <c r="I16" s="63" t="s">
        <v>175</v>
      </c>
      <c r="J16" s="63" t="s">
        <v>1604</v>
      </c>
      <c r="K16">
        <v>1</v>
      </c>
      <c r="L16">
        <v>20</v>
      </c>
      <c r="U16"/>
      <c r="V16"/>
      <c r="W16"/>
      <c r="AE16"/>
      <c r="AF16"/>
      <c r="AG16"/>
      <c r="AJ16">
        <v>4571</v>
      </c>
      <c r="AK16" s="63" t="s">
        <v>2571</v>
      </c>
      <c r="AL16" s="63" t="s">
        <v>59</v>
      </c>
      <c r="AM16" s="63" t="s">
        <v>203</v>
      </c>
      <c r="AN16" s="63" t="s">
        <v>1965</v>
      </c>
      <c r="AO16">
        <v>1</v>
      </c>
      <c r="AP16">
        <v>34</v>
      </c>
      <c r="AQ16"/>
      <c r="AY16"/>
      <c r="AZ16"/>
      <c r="BA16"/>
      <c r="BD16">
        <v>2999</v>
      </c>
      <c r="BE16" s="63" t="s">
        <v>2908</v>
      </c>
      <c r="BF16" s="63" t="s">
        <v>59</v>
      </c>
      <c r="BG16" s="63" t="s">
        <v>175</v>
      </c>
      <c r="BH16" s="63" t="s">
        <v>1720</v>
      </c>
      <c r="BI16">
        <v>1</v>
      </c>
      <c r="BJ16">
        <v>60</v>
      </c>
      <c r="BK16"/>
      <c r="BS16"/>
      <c r="BT16"/>
      <c r="BU16"/>
      <c r="BX16">
        <v>201</v>
      </c>
      <c r="BY16" s="63" t="s">
        <v>2309</v>
      </c>
      <c r="BZ16" s="63" t="s">
        <v>59</v>
      </c>
      <c r="CA16" s="63" t="s">
        <v>184</v>
      </c>
      <c r="CB16" s="63" t="s">
        <v>939</v>
      </c>
      <c r="CC16">
        <v>1</v>
      </c>
      <c r="CD16">
        <v>60</v>
      </c>
      <c r="CE16"/>
      <c r="CH16">
        <v>207</v>
      </c>
      <c r="CI16" s="63" t="s">
        <v>1043</v>
      </c>
      <c r="CJ16" s="63" t="s">
        <v>59</v>
      </c>
      <c r="CK16" s="63" t="s">
        <v>174</v>
      </c>
      <c r="CL16" s="63" t="s">
        <v>1530</v>
      </c>
      <c r="CM16">
        <v>1</v>
      </c>
      <c r="CN16">
        <v>60</v>
      </c>
      <c r="CR16">
        <v>9199</v>
      </c>
      <c r="CS16" s="63" t="s">
        <v>430</v>
      </c>
      <c r="CT16" s="63" t="s">
        <v>59</v>
      </c>
      <c r="CU16" s="63" t="s">
        <v>254</v>
      </c>
      <c r="CV16" s="63" t="s">
        <v>1365</v>
      </c>
      <c r="CW16">
        <v>1</v>
      </c>
      <c r="CX16">
        <v>37</v>
      </c>
    </row>
    <row r="17" spans="1:113">
      <c r="A17" s="49" t="s">
        <v>136</v>
      </c>
      <c r="B17"/>
      <c r="C17"/>
      <c r="F17">
        <v>3300</v>
      </c>
      <c r="G17" s="63" t="s">
        <v>2500</v>
      </c>
      <c r="H17" s="63" t="s">
        <v>59</v>
      </c>
      <c r="I17" s="63" t="s">
        <v>175</v>
      </c>
      <c r="J17" s="63" t="s">
        <v>1828</v>
      </c>
      <c r="K17">
        <v>1</v>
      </c>
      <c r="L17">
        <v>38</v>
      </c>
      <c r="U17"/>
      <c r="V17"/>
      <c r="W17"/>
      <c r="AE17"/>
      <c r="AF17"/>
      <c r="AG17"/>
      <c r="AJ17">
        <v>4571</v>
      </c>
      <c r="AK17" s="63" t="s">
        <v>1725</v>
      </c>
      <c r="AL17" s="63" t="s">
        <v>59</v>
      </c>
      <c r="AM17" s="63" t="s">
        <v>203</v>
      </c>
      <c r="AN17" s="63" t="s">
        <v>1459</v>
      </c>
      <c r="AO17">
        <v>1</v>
      </c>
      <c r="AP17">
        <v>59</v>
      </c>
      <c r="AQ17"/>
      <c r="AY17"/>
      <c r="AZ17"/>
      <c r="BA17"/>
      <c r="BD17">
        <v>2999</v>
      </c>
      <c r="BE17" s="63" t="s">
        <v>2910</v>
      </c>
      <c r="BF17" s="63" t="s">
        <v>59</v>
      </c>
      <c r="BG17" s="63" t="s">
        <v>172</v>
      </c>
      <c r="BH17" s="63" t="s">
        <v>1519</v>
      </c>
      <c r="BI17">
        <v>1</v>
      </c>
      <c r="BJ17">
        <v>60</v>
      </c>
      <c r="BK17"/>
      <c r="BS17"/>
      <c r="BT17"/>
      <c r="BU17"/>
      <c r="BX17">
        <v>201</v>
      </c>
      <c r="BY17" s="63" t="s">
        <v>350</v>
      </c>
      <c r="BZ17" s="63" t="s">
        <v>59</v>
      </c>
      <c r="CA17" s="63" t="s">
        <v>172</v>
      </c>
      <c r="CB17" s="63" t="s">
        <v>1295</v>
      </c>
      <c r="CC17">
        <v>1</v>
      </c>
      <c r="CD17">
        <v>60</v>
      </c>
      <c r="CE17"/>
      <c r="CH17">
        <v>207</v>
      </c>
      <c r="CI17" s="63" t="s">
        <v>1043</v>
      </c>
      <c r="CJ17" s="63" t="s">
        <v>59</v>
      </c>
      <c r="CK17" s="63" t="s">
        <v>175</v>
      </c>
      <c r="CL17" s="63" t="s">
        <v>551</v>
      </c>
      <c r="CM17">
        <v>1</v>
      </c>
      <c r="CN17">
        <v>60</v>
      </c>
      <c r="CR17" s="130">
        <v>9199</v>
      </c>
      <c r="CS17" s="130" t="s">
        <v>430</v>
      </c>
      <c r="CT17" s="130" t="s">
        <v>59</v>
      </c>
      <c r="CU17" s="130" t="s">
        <v>177</v>
      </c>
      <c r="CV17" s="130" t="s">
        <v>2712</v>
      </c>
      <c r="CW17" s="130">
        <v>1</v>
      </c>
      <c r="CX17" s="130">
        <v>12</v>
      </c>
    </row>
    <row r="18" spans="1:113">
      <c r="A18" s="49" t="s">
        <v>137</v>
      </c>
      <c r="B18"/>
      <c r="C18"/>
      <c r="F18">
        <v>4300</v>
      </c>
      <c r="G18" s="63" t="s">
        <v>350</v>
      </c>
      <c r="H18" s="63" t="s">
        <v>59</v>
      </c>
      <c r="I18" s="63" t="s">
        <v>173</v>
      </c>
      <c r="J18" s="63" t="s">
        <v>458</v>
      </c>
      <c r="K18">
        <v>1</v>
      </c>
      <c r="L18">
        <v>52</v>
      </c>
      <c r="U18"/>
      <c r="V18"/>
      <c r="W18"/>
      <c r="AE18"/>
      <c r="AF18"/>
      <c r="AG18"/>
      <c r="AJ18">
        <v>4571</v>
      </c>
      <c r="AK18" s="63" t="s">
        <v>1725</v>
      </c>
      <c r="AL18" s="63" t="s">
        <v>59</v>
      </c>
      <c r="AM18" s="63" t="s">
        <v>184</v>
      </c>
      <c r="AN18" s="63" t="s">
        <v>654</v>
      </c>
      <c r="AO18">
        <v>1</v>
      </c>
      <c r="AP18">
        <v>60</v>
      </c>
      <c r="AQ18"/>
      <c r="AY18"/>
      <c r="AZ18"/>
      <c r="BA18"/>
      <c r="BD18">
        <v>2999</v>
      </c>
      <c r="BE18" s="63" t="s">
        <v>2911</v>
      </c>
      <c r="BF18" s="63" t="s">
        <v>59</v>
      </c>
      <c r="BG18" s="63" t="s">
        <v>172</v>
      </c>
      <c r="BH18" s="63" t="s">
        <v>1092</v>
      </c>
      <c r="BI18">
        <v>1</v>
      </c>
      <c r="BJ18">
        <v>60</v>
      </c>
      <c r="BK18"/>
      <c r="BS18"/>
      <c r="BT18"/>
      <c r="BU18"/>
      <c r="BX18">
        <v>201</v>
      </c>
      <c r="BY18" s="63" t="s">
        <v>350</v>
      </c>
      <c r="BZ18" s="63" t="s">
        <v>59</v>
      </c>
      <c r="CA18" s="63" t="s">
        <v>172</v>
      </c>
      <c r="CB18" s="63" t="s">
        <v>435</v>
      </c>
      <c r="CC18">
        <v>1</v>
      </c>
      <c r="CD18">
        <v>60</v>
      </c>
      <c r="CE18"/>
      <c r="CH18" s="130">
        <v>207</v>
      </c>
      <c r="CI18" s="130" t="s">
        <v>1043</v>
      </c>
      <c r="CJ18" s="130" t="s">
        <v>59</v>
      </c>
      <c r="CK18" s="130" t="s">
        <v>184</v>
      </c>
      <c r="CL18" s="130" t="s">
        <v>665</v>
      </c>
      <c r="CM18" s="130">
        <v>1</v>
      </c>
      <c r="CN18" s="130">
        <v>9</v>
      </c>
      <c r="CR18">
        <v>9199</v>
      </c>
      <c r="CS18" s="63" t="s">
        <v>927</v>
      </c>
      <c r="CT18" s="63" t="s">
        <v>59</v>
      </c>
      <c r="CU18" s="63" t="s">
        <v>177</v>
      </c>
      <c r="CV18" s="63" t="s">
        <v>2713</v>
      </c>
      <c r="CW18">
        <v>1</v>
      </c>
      <c r="CX18">
        <v>54</v>
      </c>
    </row>
    <row r="19" spans="1:113">
      <c r="A19" s="49" t="s">
        <v>132</v>
      </c>
      <c r="B19"/>
      <c r="C19"/>
      <c r="F19">
        <v>4300</v>
      </c>
      <c r="G19" s="63" t="s">
        <v>373</v>
      </c>
      <c r="H19" s="63" t="s">
        <v>59</v>
      </c>
      <c r="I19" s="63" t="s">
        <v>173</v>
      </c>
      <c r="J19" s="63" t="s">
        <v>2566</v>
      </c>
      <c r="K19">
        <v>1</v>
      </c>
      <c r="L19">
        <v>36</v>
      </c>
      <c r="U19"/>
      <c r="V19"/>
      <c r="W19"/>
      <c r="AE19"/>
      <c r="AF19"/>
      <c r="AG19"/>
      <c r="AJ19">
        <v>4571</v>
      </c>
      <c r="AK19" s="63" t="s">
        <v>1725</v>
      </c>
      <c r="AL19" s="63" t="s">
        <v>59</v>
      </c>
      <c r="AM19" s="63" t="s">
        <v>184</v>
      </c>
      <c r="AN19" s="63" t="s">
        <v>997</v>
      </c>
      <c r="AO19">
        <v>1</v>
      </c>
      <c r="AP19">
        <v>60</v>
      </c>
      <c r="AQ19"/>
      <c r="AY19"/>
      <c r="AZ19"/>
      <c r="BA19"/>
      <c r="BD19">
        <v>2999</v>
      </c>
      <c r="BE19" s="63" t="s">
        <v>2909</v>
      </c>
      <c r="BF19" s="63" t="s">
        <v>59</v>
      </c>
      <c r="BG19" s="63" t="s">
        <v>175</v>
      </c>
      <c r="BH19" s="63" t="s">
        <v>1958</v>
      </c>
      <c r="BI19">
        <v>1</v>
      </c>
      <c r="BJ19">
        <v>60</v>
      </c>
      <c r="BK19"/>
      <c r="BS19"/>
      <c r="BT19"/>
      <c r="BU19"/>
      <c r="BX19">
        <v>201</v>
      </c>
      <c r="BY19" s="63" t="s">
        <v>874</v>
      </c>
      <c r="BZ19" s="63" t="s">
        <v>59</v>
      </c>
      <c r="CA19" s="63" t="s">
        <v>184</v>
      </c>
      <c r="CB19" s="63" t="s">
        <v>1541</v>
      </c>
      <c r="CC19">
        <v>1</v>
      </c>
      <c r="CD19">
        <v>60</v>
      </c>
      <c r="CE19"/>
      <c r="CH19" s="130">
        <v>211</v>
      </c>
      <c r="CI19" s="130" t="s">
        <v>401</v>
      </c>
      <c r="CJ19" s="130" t="s">
        <v>59</v>
      </c>
      <c r="CK19" s="130" t="s">
        <v>184</v>
      </c>
      <c r="CL19" s="130" t="s">
        <v>1350</v>
      </c>
      <c r="CM19" s="130">
        <v>1</v>
      </c>
      <c r="CN19" s="130">
        <v>6</v>
      </c>
      <c r="CR19">
        <v>9199</v>
      </c>
      <c r="CS19" s="63" t="s">
        <v>928</v>
      </c>
      <c r="CT19" s="63" t="s">
        <v>59</v>
      </c>
      <c r="CU19" s="63" t="s">
        <v>177</v>
      </c>
      <c r="CV19" s="63" t="s">
        <v>2714</v>
      </c>
      <c r="CW19">
        <v>1</v>
      </c>
      <c r="CX19">
        <v>31</v>
      </c>
    </row>
    <row r="20" spans="1:113">
      <c r="A20" s="49" t="s">
        <v>139</v>
      </c>
      <c r="B20"/>
      <c r="C20"/>
      <c r="F20">
        <v>4300</v>
      </c>
      <c r="G20" s="63" t="s">
        <v>373</v>
      </c>
      <c r="H20" s="63" t="s">
        <v>59</v>
      </c>
      <c r="I20" s="63" t="s">
        <v>173</v>
      </c>
      <c r="J20" s="63" t="s">
        <v>2567</v>
      </c>
      <c r="K20">
        <v>1</v>
      </c>
      <c r="L20">
        <v>20</v>
      </c>
      <c r="U20"/>
      <c r="V20"/>
      <c r="W20"/>
      <c r="AE20"/>
      <c r="AF20"/>
      <c r="AG20"/>
      <c r="AJ20">
        <v>4571</v>
      </c>
      <c r="AK20" s="63" t="s">
        <v>1725</v>
      </c>
      <c r="AL20" s="63" t="s">
        <v>59</v>
      </c>
      <c r="AM20" s="63" t="s">
        <v>184</v>
      </c>
      <c r="AN20" s="63" t="s">
        <v>549</v>
      </c>
      <c r="AO20">
        <v>1</v>
      </c>
      <c r="AP20">
        <v>59</v>
      </c>
      <c r="AQ20"/>
      <c r="AY20"/>
      <c r="AZ20"/>
      <c r="BA20"/>
      <c r="BD20">
        <v>2999</v>
      </c>
      <c r="BE20" s="63" t="s">
        <v>2912</v>
      </c>
      <c r="BF20" s="63" t="s">
        <v>59</v>
      </c>
      <c r="BG20" s="63" t="s">
        <v>172</v>
      </c>
      <c r="BH20" s="63" t="s">
        <v>1252</v>
      </c>
      <c r="BI20">
        <v>1</v>
      </c>
      <c r="BJ20">
        <v>60</v>
      </c>
      <c r="BK20"/>
      <c r="BS20"/>
      <c r="BT20"/>
      <c r="BU20"/>
      <c r="BX20">
        <v>201</v>
      </c>
      <c r="BY20" s="63" t="s">
        <v>811</v>
      </c>
      <c r="BZ20" s="63" t="s">
        <v>59</v>
      </c>
      <c r="CA20" s="63" t="s">
        <v>184</v>
      </c>
      <c r="CB20" s="63" t="s">
        <v>2106</v>
      </c>
      <c r="CC20">
        <v>1</v>
      </c>
      <c r="CD20">
        <v>46</v>
      </c>
      <c r="CE20"/>
      <c r="CH20">
        <v>232</v>
      </c>
      <c r="CI20" s="63" t="s">
        <v>406</v>
      </c>
      <c r="CJ20" s="63" t="s">
        <v>59</v>
      </c>
      <c r="CK20" s="63" t="s">
        <v>255</v>
      </c>
      <c r="CL20" s="63" t="s">
        <v>2375</v>
      </c>
      <c r="CM20">
        <v>1</v>
      </c>
      <c r="CN20">
        <v>60</v>
      </c>
      <c r="CR20" s="130">
        <v>9199</v>
      </c>
      <c r="CS20" s="130" t="s">
        <v>928</v>
      </c>
      <c r="CT20" s="130" t="s">
        <v>59</v>
      </c>
      <c r="CU20" s="130" t="s">
        <v>177</v>
      </c>
      <c r="CV20" s="130" t="s">
        <v>2715</v>
      </c>
      <c r="CW20" s="130">
        <v>1</v>
      </c>
      <c r="CX20" s="130">
        <v>19</v>
      </c>
    </row>
    <row r="21" spans="1:113">
      <c r="A21" s="49" t="s">
        <v>140</v>
      </c>
      <c r="B21"/>
      <c r="C21"/>
      <c r="F21">
        <v>4300</v>
      </c>
      <c r="G21" s="63" t="s">
        <v>373</v>
      </c>
      <c r="H21" s="63" t="s">
        <v>59</v>
      </c>
      <c r="I21" s="63" t="s">
        <v>173</v>
      </c>
      <c r="J21" s="63" t="s">
        <v>1668</v>
      </c>
      <c r="K21">
        <v>1</v>
      </c>
      <c r="L21">
        <v>53</v>
      </c>
      <c r="U21"/>
      <c r="V21"/>
      <c r="W21"/>
      <c r="AE21"/>
      <c r="AF21"/>
      <c r="AG21"/>
      <c r="AJ21" s="130">
        <v>4571</v>
      </c>
      <c r="AK21" s="130" t="s">
        <v>1071</v>
      </c>
      <c r="AL21" s="130" t="s">
        <v>59</v>
      </c>
      <c r="AM21" s="130" t="s">
        <v>203</v>
      </c>
      <c r="AN21" s="130" t="s">
        <v>1399</v>
      </c>
      <c r="AO21" s="130">
        <v>1</v>
      </c>
      <c r="AP21" s="130">
        <v>6</v>
      </c>
      <c r="AQ21"/>
      <c r="AY21"/>
      <c r="AZ21"/>
      <c r="BA21"/>
      <c r="BD21">
        <v>2999</v>
      </c>
      <c r="BE21" s="63" t="s">
        <v>358</v>
      </c>
      <c r="BF21" s="63" t="s">
        <v>59</v>
      </c>
      <c r="BG21" s="63" t="s">
        <v>185</v>
      </c>
      <c r="BH21" s="63" t="s">
        <v>1523</v>
      </c>
      <c r="BI21">
        <v>1</v>
      </c>
      <c r="BJ21">
        <v>21</v>
      </c>
      <c r="BK21"/>
      <c r="BS21"/>
      <c r="BT21"/>
      <c r="BU21"/>
      <c r="BX21">
        <v>201</v>
      </c>
      <c r="BY21" s="63" t="s">
        <v>2310</v>
      </c>
      <c r="BZ21" s="63" t="s">
        <v>59</v>
      </c>
      <c r="CA21" s="63" t="s">
        <v>203</v>
      </c>
      <c r="CB21" s="63" t="s">
        <v>954</v>
      </c>
      <c r="CC21">
        <v>1</v>
      </c>
      <c r="CD21">
        <v>60</v>
      </c>
      <c r="CE21"/>
      <c r="CH21">
        <v>232</v>
      </c>
      <c r="CI21" s="63" t="s">
        <v>406</v>
      </c>
      <c r="CJ21" s="63" t="s">
        <v>59</v>
      </c>
      <c r="CK21" s="63" t="s">
        <v>255</v>
      </c>
      <c r="CL21" s="63" t="s">
        <v>1244</v>
      </c>
      <c r="CM21">
        <v>1</v>
      </c>
      <c r="CN21">
        <v>60</v>
      </c>
      <c r="CR21">
        <v>9199</v>
      </c>
      <c r="CS21" s="63" t="s">
        <v>2317</v>
      </c>
      <c r="CT21" s="63" t="s">
        <v>59</v>
      </c>
      <c r="CU21" s="63" t="s">
        <v>177</v>
      </c>
      <c r="CV21" s="63" t="s">
        <v>1481</v>
      </c>
      <c r="CW21">
        <v>1</v>
      </c>
      <c r="CX21">
        <v>25</v>
      </c>
    </row>
    <row r="22" spans="1:113">
      <c r="A22" s="49" t="s">
        <v>141</v>
      </c>
      <c r="B22"/>
      <c r="C22"/>
      <c r="F22" s="130">
        <v>4300</v>
      </c>
      <c r="G22" s="130" t="s">
        <v>1725</v>
      </c>
      <c r="H22" s="130" t="s">
        <v>59</v>
      </c>
      <c r="I22" s="130" t="s">
        <v>173</v>
      </c>
      <c r="J22" s="130" t="s">
        <v>1187</v>
      </c>
      <c r="K22" s="130">
        <v>1</v>
      </c>
      <c r="L22" s="130">
        <v>6</v>
      </c>
      <c r="U22"/>
      <c r="V22"/>
      <c r="W22"/>
      <c r="AE22"/>
      <c r="AF22"/>
      <c r="AG22"/>
      <c r="AJ22">
        <v>4571</v>
      </c>
      <c r="AK22" s="63" t="s">
        <v>1071</v>
      </c>
      <c r="AL22" s="63" t="s">
        <v>59</v>
      </c>
      <c r="AM22" s="63" t="s">
        <v>184</v>
      </c>
      <c r="AN22" s="63" t="s">
        <v>1241</v>
      </c>
      <c r="AO22">
        <v>1</v>
      </c>
      <c r="AP22">
        <v>60</v>
      </c>
      <c r="AQ22"/>
      <c r="AY22"/>
      <c r="AZ22"/>
      <c r="BA22"/>
      <c r="BD22" s="130">
        <v>2999</v>
      </c>
      <c r="BE22" s="130" t="s">
        <v>358</v>
      </c>
      <c r="BF22" s="130" t="s">
        <v>59</v>
      </c>
      <c r="BG22" s="130" t="s">
        <v>172</v>
      </c>
      <c r="BH22" s="130" t="s">
        <v>2075</v>
      </c>
      <c r="BI22" s="130">
        <v>1</v>
      </c>
      <c r="BJ22" s="130">
        <v>12</v>
      </c>
      <c r="BK22"/>
      <c r="BS22"/>
      <c r="BT22"/>
      <c r="BU22"/>
      <c r="BX22">
        <v>201</v>
      </c>
      <c r="BY22" s="63" t="s">
        <v>2310</v>
      </c>
      <c r="BZ22" s="63" t="s">
        <v>59</v>
      </c>
      <c r="CA22" s="63" t="s">
        <v>174</v>
      </c>
      <c r="CB22" s="63" t="s">
        <v>1249</v>
      </c>
      <c r="CC22">
        <v>1</v>
      </c>
      <c r="CD22">
        <v>53</v>
      </c>
      <c r="CE22"/>
      <c r="CH22">
        <v>232</v>
      </c>
      <c r="CI22" s="63" t="s">
        <v>406</v>
      </c>
      <c r="CJ22" s="63" t="s">
        <v>59</v>
      </c>
      <c r="CK22" s="63" t="s">
        <v>255</v>
      </c>
      <c r="CL22" s="63" t="s">
        <v>2376</v>
      </c>
      <c r="CM22">
        <v>1</v>
      </c>
      <c r="CN22">
        <v>60</v>
      </c>
      <c r="CR22" s="130">
        <v>9199</v>
      </c>
      <c r="CS22" s="130" t="s">
        <v>1787</v>
      </c>
      <c r="CT22" s="130" t="s">
        <v>305</v>
      </c>
      <c r="CU22" s="130" t="s">
        <v>177</v>
      </c>
      <c r="CV22" s="130" t="s">
        <v>2716</v>
      </c>
      <c r="CW22" s="130">
        <v>1</v>
      </c>
      <c r="CX22" s="130">
        <v>8</v>
      </c>
    </row>
    <row r="23" spans="1:113">
      <c r="A23" s="49" t="s">
        <v>142</v>
      </c>
      <c r="B23"/>
      <c r="C23"/>
      <c r="F23">
        <v>7300</v>
      </c>
      <c r="G23" s="63" t="s">
        <v>373</v>
      </c>
      <c r="H23" s="63" t="s">
        <v>59</v>
      </c>
      <c r="I23" s="63" t="s">
        <v>175</v>
      </c>
      <c r="J23" s="63" t="s">
        <v>1502</v>
      </c>
      <c r="K23">
        <v>1</v>
      </c>
      <c r="L23">
        <v>57</v>
      </c>
      <c r="U23"/>
      <c r="V23"/>
      <c r="W23"/>
      <c r="AE23"/>
      <c r="AF23"/>
      <c r="AG23"/>
      <c r="AJ23">
        <v>4571</v>
      </c>
      <c r="AK23" s="63" t="s">
        <v>1071</v>
      </c>
      <c r="AL23" s="63" t="s">
        <v>59</v>
      </c>
      <c r="AM23" s="63" t="s">
        <v>184</v>
      </c>
      <c r="AN23" s="63" t="s">
        <v>1235</v>
      </c>
      <c r="AO23">
        <v>1</v>
      </c>
      <c r="AP23">
        <v>57</v>
      </c>
      <c r="AQ23"/>
      <c r="AY23"/>
      <c r="AZ23"/>
      <c r="BA23"/>
      <c r="BD23">
        <v>2999</v>
      </c>
      <c r="BE23" s="63" t="s">
        <v>2913</v>
      </c>
      <c r="BF23" s="63" t="s">
        <v>59</v>
      </c>
      <c r="BG23" s="63" t="s">
        <v>175</v>
      </c>
      <c r="BH23" s="63" t="s">
        <v>1325</v>
      </c>
      <c r="BI23">
        <v>1</v>
      </c>
      <c r="BJ23">
        <v>60</v>
      </c>
      <c r="BK23"/>
      <c r="BS23"/>
      <c r="BT23"/>
      <c r="BU23"/>
      <c r="BX23">
        <v>201</v>
      </c>
      <c r="BY23" s="63" t="s">
        <v>2310</v>
      </c>
      <c r="BZ23" s="63" t="s">
        <v>59</v>
      </c>
      <c r="CA23" s="63" t="s">
        <v>175</v>
      </c>
      <c r="CB23" s="63" t="s">
        <v>2129</v>
      </c>
      <c r="CC23">
        <v>1</v>
      </c>
      <c r="CD23">
        <v>60</v>
      </c>
      <c r="CE23"/>
      <c r="CH23" s="130">
        <v>233</v>
      </c>
      <c r="CI23" s="130" t="s">
        <v>1043</v>
      </c>
      <c r="CJ23" s="130" t="s">
        <v>405</v>
      </c>
      <c r="CK23" s="130" t="s">
        <v>172</v>
      </c>
      <c r="CL23" s="130" t="s">
        <v>849</v>
      </c>
      <c r="CM23" s="130">
        <v>1</v>
      </c>
      <c r="CN23" s="130">
        <v>7</v>
      </c>
      <c r="CR23">
        <v>9199</v>
      </c>
      <c r="CS23" s="63" t="s">
        <v>1787</v>
      </c>
      <c r="CT23" s="63" t="s">
        <v>59</v>
      </c>
      <c r="CU23" s="63" t="s">
        <v>311</v>
      </c>
      <c r="CV23" s="63" t="s">
        <v>2717</v>
      </c>
      <c r="CW23">
        <v>1</v>
      </c>
      <c r="CX23">
        <v>39</v>
      </c>
    </row>
    <row r="24" spans="1:113" s="63" customFormat="1">
      <c r="A24" s="91"/>
      <c r="B24"/>
      <c r="C24"/>
      <c r="D24"/>
      <c r="F24">
        <v>7300</v>
      </c>
      <c r="G24" s="63" t="s">
        <v>373</v>
      </c>
      <c r="H24" s="63" t="s">
        <v>59</v>
      </c>
      <c r="I24" s="63" t="s">
        <v>184</v>
      </c>
      <c r="J24" s="63" t="s">
        <v>898</v>
      </c>
      <c r="K24">
        <v>1</v>
      </c>
      <c r="L24">
        <v>59</v>
      </c>
      <c r="M24"/>
      <c r="N24"/>
      <c r="O24"/>
      <c r="P24"/>
      <c r="Q24"/>
      <c r="R24"/>
      <c r="S24"/>
      <c r="T24"/>
      <c r="U24"/>
      <c r="V24"/>
      <c r="W24"/>
      <c r="X24"/>
      <c r="Y24"/>
      <c r="Z24"/>
      <c r="AA24"/>
      <c r="AB24"/>
      <c r="AC24"/>
      <c r="AD24"/>
      <c r="AE24"/>
      <c r="AF24"/>
      <c r="AG24"/>
      <c r="AH24"/>
      <c r="AI24"/>
      <c r="AJ24">
        <v>4581</v>
      </c>
      <c r="AK24" s="63" t="s">
        <v>2571</v>
      </c>
      <c r="AL24" s="63" t="s">
        <v>59</v>
      </c>
      <c r="AM24" s="63" t="s">
        <v>203</v>
      </c>
      <c r="AN24" s="63" t="s">
        <v>2577</v>
      </c>
      <c r="AO24">
        <v>1</v>
      </c>
      <c r="AP24">
        <v>60</v>
      </c>
      <c r="AQ24"/>
      <c r="AR24"/>
      <c r="AS24"/>
      <c r="AT24"/>
      <c r="AU24"/>
      <c r="AV24"/>
      <c r="AW24"/>
      <c r="AX24"/>
      <c r="AY24"/>
      <c r="AZ24"/>
      <c r="BA24"/>
      <c r="BB24"/>
      <c r="BC24"/>
      <c r="BD24" s="130">
        <v>2999</v>
      </c>
      <c r="BE24" s="130" t="s">
        <v>1369</v>
      </c>
      <c r="BF24" s="130" t="s">
        <v>59</v>
      </c>
      <c r="BG24" s="130" t="s">
        <v>173</v>
      </c>
      <c r="BH24" s="130" t="s">
        <v>1240</v>
      </c>
      <c r="BI24" s="130">
        <v>1</v>
      </c>
      <c r="BJ24" s="130">
        <v>1</v>
      </c>
      <c r="BK24"/>
      <c r="BL24"/>
      <c r="BM24"/>
      <c r="BN24"/>
      <c r="BO24"/>
      <c r="BP24"/>
      <c r="BQ24"/>
      <c r="BR24"/>
      <c r="BS24"/>
      <c r="BT24"/>
      <c r="BU24"/>
      <c r="BV24"/>
      <c r="BW24"/>
      <c r="BX24">
        <v>201</v>
      </c>
      <c r="BY24" s="63" t="s">
        <v>2310</v>
      </c>
      <c r="BZ24" s="63" t="s">
        <v>59</v>
      </c>
      <c r="CA24" s="63" t="s">
        <v>175</v>
      </c>
      <c r="CB24" s="63" t="s">
        <v>2311</v>
      </c>
      <c r="CC24">
        <v>1</v>
      </c>
      <c r="CD24">
        <v>60</v>
      </c>
      <c r="CE24"/>
      <c r="CF24"/>
      <c r="CG24"/>
      <c r="CH24"/>
      <c r="CI24"/>
      <c r="CJ24"/>
      <c r="CK24"/>
      <c r="CL24"/>
      <c r="CM24"/>
      <c r="CN24"/>
      <c r="CO24"/>
      <c r="CP24"/>
      <c r="CQ24"/>
      <c r="CR24">
        <v>9199</v>
      </c>
      <c r="CS24" s="63" t="s">
        <v>1787</v>
      </c>
      <c r="CT24" s="63" t="s">
        <v>59</v>
      </c>
      <c r="CU24" s="63" t="s">
        <v>177</v>
      </c>
      <c r="CV24" s="63" t="s">
        <v>1760</v>
      </c>
      <c r="CW24">
        <v>1</v>
      </c>
      <c r="CX24">
        <v>36</v>
      </c>
      <c r="CY24"/>
      <c r="CZ24"/>
      <c r="DA24"/>
      <c r="DB24"/>
      <c r="DC24"/>
      <c r="DD24"/>
      <c r="DE24"/>
      <c r="DF24"/>
      <c r="DG24"/>
      <c r="DH24"/>
      <c r="DI24"/>
    </row>
    <row r="25" spans="1:113">
      <c r="A25" s="92"/>
      <c r="B25"/>
      <c r="C25"/>
      <c r="F25">
        <v>7300</v>
      </c>
      <c r="G25" s="63" t="s">
        <v>873</v>
      </c>
      <c r="H25" s="63" t="s">
        <v>59</v>
      </c>
      <c r="I25" s="63" t="s">
        <v>175</v>
      </c>
      <c r="J25" s="63" t="s">
        <v>367</v>
      </c>
      <c r="K25">
        <v>1</v>
      </c>
      <c r="L25">
        <v>59</v>
      </c>
      <c r="U25"/>
      <c r="V25"/>
      <c r="W25"/>
      <c r="AE25"/>
      <c r="AF25"/>
      <c r="AG25"/>
      <c r="AJ25">
        <v>4581</v>
      </c>
      <c r="AK25" s="63" t="s">
        <v>2571</v>
      </c>
      <c r="AL25" s="63" t="s">
        <v>59</v>
      </c>
      <c r="AM25" s="63" t="s">
        <v>203</v>
      </c>
      <c r="AN25" s="63" t="s">
        <v>2025</v>
      </c>
      <c r="AO25">
        <v>1</v>
      </c>
      <c r="AP25">
        <v>60</v>
      </c>
      <c r="AQ25"/>
      <c r="AY25"/>
      <c r="AZ25"/>
      <c r="BA25"/>
      <c r="BD25">
        <v>2999</v>
      </c>
      <c r="BE25" s="63" t="s">
        <v>2500</v>
      </c>
      <c r="BF25" s="63" t="s">
        <v>59</v>
      </c>
      <c r="BG25" s="63" t="s">
        <v>175</v>
      </c>
      <c r="BH25" s="63" t="s">
        <v>1296</v>
      </c>
      <c r="BI25">
        <v>1</v>
      </c>
      <c r="BJ25">
        <v>60</v>
      </c>
      <c r="BK25"/>
      <c r="BS25"/>
      <c r="BT25"/>
      <c r="BU25"/>
      <c r="BX25">
        <v>201</v>
      </c>
      <c r="BY25" s="63" t="s">
        <v>2310</v>
      </c>
      <c r="BZ25" s="63" t="s">
        <v>59</v>
      </c>
      <c r="CA25" s="63" t="s">
        <v>175</v>
      </c>
      <c r="CB25" s="63" t="s">
        <v>449</v>
      </c>
      <c r="CC25">
        <v>1</v>
      </c>
      <c r="CD25">
        <v>60</v>
      </c>
      <c r="CE25"/>
      <c r="CR25" s="130">
        <v>9199</v>
      </c>
      <c r="CS25" s="130" t="s">
        <v>1787</v>
      </c>
      <c r="CT25" s="130" t="s">
        <v>59</v>
      </c>
      <c r="CU25" s="130" t="s">
        <v>177</v>
      </c>
      <c r="CV25" s="130" t="s">
        <v>2718</v>
      </c>
      <c r="CW25" s="130">
        <v>1</v>
      </c>
      <c r="CX25" s="130">
        <v>12</v>
      </c>
    </row>
    <row r="26" spans="1:113">
      <c r="A26" s="50" t="s">
        <v>131</v>
      </c>
      <c r="B26"/>
      <c r="C26"/>
      <c r="F26">
        <v>7300</v>
      </c>
      <c r="G26" s="63" t="s">
        <v>873</v>
      </c>
      <c r="H26" s="63" t="s">
        <v>59</v>
      </c>
      <c r="I26" s="63" t="s">
        <v>175</v>
      </c>
      <c r="J26" s="63" t="s">
        <v>1037</v>
      </c>
      <c r="K26">
        <v>1</v>
      </c>
      <c r="L26">
        <v>28</v>
      </c>
      <c r="U26"/>
      <c r="V26"/>
      <c r="W26"/>
      <c r="AE26"/>
      <c r="AF26"/>
      <c r="AG26"/>
      <c r="AJ26">
        <v>4581</v>
      </c>
      <c r="AK26" s="63" t="s">
        <v>1071</v>
      </c>
      <c r="AL26" s="63" t="s">
        <v>59</v>
      </c>
      <c r="AM26" s="63" t="s">
        <v>203</v>
      </c>
      <c r="AN26" s="63" t="s">
        <v>1939</v>
      </c>
      <c r="AO26">
        <v>1</v>
      </c>
      <c r="AP26">
        <v>60</v>
      </c>
      <c r="AQ26"/>
      <c r="AY26"/>
      <c r="AZ26"/>
      <c r="BA26"/>
      <c r="BD26">
        <v>2999</v>
      </c>
      <c r="BE26" s="63" t="s">
        <v>2914</v>
      </c>
      <c r="BF26" s="63" t="s">
        <v>59</v>
      </c>
      <c r="BG26" s="63" t="s">
        <v>184</v>
      </c>
      <c r="BH26" s="63" t="s">
        <v>1515</v>
      </c>
      <c r="BI26">
        <v>1</v>
      </c>
      <c r="BJ26">
        <v>35</v>
      </c>
      <c r="BK26"/>
      <c r="BS26"/>
      <c r="BT26"/>
      <c r="BU26"/>
      <c r="BX26">
        <v>201</v>
      </c>
      <c r="BY26" s="63" t="s">
        <v>2310</v>
      </c>
      <c r="BZ26" s="63" t="s">
        <v>59</v>
      </c>
      <c r="CA26" s="63" t="s">
        <v>175</v>
      </c>
      <c r="CB26" s="63" t="s">
        <v>2312</v>
      </c>
      <c r="CC26">
        <v>1</v>
      </c>
      <c r="CD26">
        <v>60</v>
      </c>
      <c r="CE26"/>
      <c r="CR26" s="130">
        <v>9199</v>
      </c>
      <c r="CS26" s="130" t="s">
        <v>2719</v>
      </c>
      <c r="CT26" s="130" t="s">
        <v>59</v>
      </c>
      <c r="CU26" s="130" t="s">
        <v>177</v>
      </c>
      <c r="CV26" s="130" t="s">
        <v>2720</v>
      </c>
      <c r="CW26" s="130">
        <v>1</v>
      </c>
      <c r="CX26" s="130">
        <v>7</v>
      </c>
    </row>
    <row r="27" spans="1:113">
      <c r="A27" s="49" t="s">
        <v>90</v>
      </c>
      <c r="B27"/>
      <c r="C27"/>
      <c r="F27">
        <v>7300</v>
      </c>
      <c r="G27" s="63" t="s">
        <v>874</v>
      </c>
      <c r="H27" s="63" t="s">
        <v>59</v>
      </c>
      <c r="I27" s="63" t="s">
        <v>175</v>
      </c>
      <c r="J27" s="63" t="s">
        <v>1461</v>
      </c>
      <c r="K27">
        <v>1</v>
      </c>
      <c r="L27">
        <v>47</v>
      </c>
      <c r="U27"/>
      <c r="V27"/>
      <c r="W27"/>
      <c r="AE27"/>
      <c r="AF27"/>
      <c r="AG27"/>
      <c r="AJ27">
        <v>4581</v>
      </c>
      <c r="AK27" s="63" t="s">
        <v>1071</v>
      </c>
      <c r="AL27" s="63" t="s">
        <v>59</v>
      </c>
      <c r="AM27" s="63" t="s">
        <v>203</v>
      </c>
      <c r="AN27" s="63" t="s">
        <v>1201</v>
      </c>
      <c r="AO27">
        <v>1</v>
      </c>
      <c r="AP27">
        <v>60</v>
      </c>
      <c r="AQ27"/>
      <c r="AY27"/>
      <c r="AZ27"/>
      <c r="BA27"/>
      <c r="BD27" s="130">
        <v>2999</v>
      </c>
      <c r="BE27" s="130" t="s">
        <v>1725</v>
      </c>
      <c r="BF27" s="130" t="s">
        <v>59</v>
      </c>
      <c r="BG27" s="130" t="s">
        <v>184</v>
      </c>
      <c r="BH27" s="130" t="s">
        <v>521</v>
      </c>
      <c r="BI27" s="130">
        <v>1</v>
      </c>
      <c r="BJ27" s="130">
        <v>1</v>
      </c>
      <c r="BK27"/>
      <c r="BS27"/>
      <c r="BT27"/>
      <c r="BU27"/>
      <c r="BX27">
        <v>201</v>
      </c>
      <c r="BY27" s="63" t="s">
        <v>2310</v>
      </c>
      <c r="BZ27" s="63" t="s">
        <v>59</v>
      </c>
      <c r="CA27" s="63" t="s">
        <v>175</v>
      </c>
      <c r="CB27" s="63" t="s">
        <v>1848</v>
      </c>
      <c r="CC27">
        <v>1</v>
      </c>
      <c r="CD27">
        <v>60</v>
      </c>
      <c r="CE27"/>
      <c r="CR27">
        <v>9199</v>
      </c>
      <c r="CS27" s="63" t="s">
        <v>1815</v>
      </c>
      <c r="CT27" s="63" t="s">
        <v>59</v>
      </c>
      <c r="CU27" s="63" t="s">
        <v>459</v>
      </c>
      <c r="CV27" s="63" t="s">
        <v>1858</v>
      </c>
      <c r="CW27">
        <v>1</v>
      </c>
      <c r="CX27">
        <v>26</v>
      </c>
    </row>
    <row r="28" spans="1:113">
      <c r="A28" s="49" t="s">
        <v>91</v>
      </c>
      <c r="B28"/>
      <c r="C28"/>
      <c r="F28" s="130">
        <v>7300</v>
      </c>
      <c r="G28" s="130" t="s">
        <v>874</v>
      </c>
      <c r="H28" s="130" t="s">
        <v>59</v>
      </c>
      <c r="I28" s="130" t="s">
        <v>175</v>
      </c>
      <c r="J28" s="130" t="s">
        <v>1396</v>
      </c>
      <c r="K28" s="130">
        <v>1</v>
      </c>
      <c r="L28" s="130">
        <v>7</v>
      </c>
      <c r="U28"/>
      <c r="V28"/>
      <c r="W28"/>
      <c r="AE28"/>
      <c r="AF28"/>
      <c r="AG28"/>
      <c r="AJ28">
        <v>4581</v>
      </c>
      <c r="AK28" s="63" t="s">
        <v>1071</v>
      </c>
      <c r="AL28" s="63" t="s">
        <v>59</v>
      </c>
      <c r="AM28" s="63" t="s">
        <v>203</v>
      </c>
      <c r="AN28" s="63" t="s">
        <v>1160</v>
      </c>
      <c r="AO28">
        <v>1</v>
      </c>
      <c r="AP28">
        <v>60</v>
      </c>
      <c r="AQ28"/>
      <c r="AY28"/>
      <c r="AZ28"/>
      <c r="BA28"/>
      <c r="BD28" s="130">
        <v>4599</v>
      </c>
      <c r="BE28" s="130" t="s">
        <v>2571</v>
      </c>
      <c r="BF28" s="130" t="s">
        <v>59</v>
      </c>
      <c r="BG28" s="130" t="s">
        <v>184</v>
      </c>
      <c r="BH28" s="130" t="s">
        <v>1525</v>
      </c>
      <c r="BI28" s="130">
        <v>1</v>
      </c>
      <c r="BJ28" s="130">
        <v>2</v>
      </c>
      <c r="BK28"/>
      <c r="BS28"/>
      <c r="BT28"/>
      <c r="BU28"/>
      <c r="BX28">
        <v>201</v>
      </c>
      <c r="BY28" s="63" t="s">
        <v>2310</v>
      </c>
      <c r="BZ28" s="63" t="s">
        <v>59</v>
      </c>
      <c r="CA28" s="63" t="s">
        <v>175</v>
      </c>
      <c r="CB28" s="63" t="s">
        <v>1359</v>
      </c>
      <c r="CC28">
        <v>1</v>
      </c>
      <c r="CD28">
        <v>25</v>
      </c>
      <c r="CE28"/>
      <c r="CR28">
        <v>9199</v>
      </c>
      <c r="CS28" s="63" t="s">
        <v>1665</v>
      </c>
      <c r="CT28" s="63" t="s">
        <v>59</v>
      </c>
      <c r="CU28" s="63" t="s">
        <v>177</v>
      </c>
      <c r="CV28" s="63" t="s">
        <v>2721</v>
      </c>
      <c r="CW28">
        <v>1</v>
      </c>
      <c r="CX28">
        <v>27</v>
      </c>
    </row>
    <row r="29" spans="1:113">
      <c r="A29" s="50">
        <v>5900</v>
      </c>
      <c r="B29"/>
      <c r="C29"/>
      <c r="F29">
        <v>7300</v>
      </c>
      <c r="G29" s="63" t="s">
        <v>395</v>
      </c>
      <c r="H29" s="63" t="s">
        <v>59</v>
      </c>
      <c r="I29" s="63" t="s">
        <v>175</v>
      </c>
      <c r="J29" s="63" t="s">
        <v>1345</v>
      </c>
      <c r="K29">
        <v>1</v>
      </c>
      <c r="L29">
        <v>46</v>
      </c>
      <c r="U29"/>
      <c r="V29"/>
      <c r="W29"/>
      <c r="AE29"/>
      <c r="AF29"/>
      <c r="AG29"/>
      <c r="AJ29">
        <v>4581</v>
      </c>
      <c r="AK29" s="63" t="s">
        <v>1071</v>
      </c>
      <c r="AL29" s="63" t="s">
        <v>59</v>
      </c>
      <c r="AM29" s="63" t="s">
        <v>203</v>
      </c>
      <c r="AN29" s="63" t="s">
        <v>1501</v>
      </c>
      <c r="AO29">
        <v>1</v>
      </c>
      <c r="AP29">
        <v>41</v>
      </c>
      <c r="AQ29"/>
      <c r="AY29"/>
      <c r="AZ29"/>
      <c r="BA29"/>
      <c r="BD29" s="130">
        <v>4599</v>
      </c>
      <c r="BE29" s="130" t="s">
        <v>1725</v>
      </c>
      <c r="BF29" s="130" t="s">
        <v>59</v>
      </c>
      <c r="BG29" s="130" t="s">
        <v>203</v>
      </c>
      <c r="BH29" s="130" t="s">
        <v>1263</v>
      </c>
      <c r="BI29" s="130">
        <v>1</v>
      </c>
      <c r="BJ29" s="130">
        <v>1</v>
      </c>
      <c r="BK29"/>
      <c r="BS29"/>
      <c r="BT29"/>
      <c r="BU29"/>
      <c r="BX29">
        <v>201</v>
      </c>
      <c r="BY29" s="63" t="s">
        <v>2310</v>
      </c>
      <c r="BZ29" s="63" t="s">
        <v>59</v>
      </c>
      <c r="CA29" s="63" t="s">
        <v>175</v>
      </c>
      <c r="CB29" s="63" t="s">
        <v>1464</v>
      </c>
      <c r="CC29">
        <v>1</v>
      </c>
      <c r="CD29">
        <v>43</v>
      </c>
      <c r="CE29"/>
      <c r="CR29" s="130">
        <v>9199</v>
      </c>
      <c r="CS29" s="130" t="s">
        <v>958</v>
      </c>
      <c r="CT29" s="130" t="s">
        <v>301</v>
      </c>
      <c r="CU29" s="130" t="s">
        <v>177</v>
      </c>
      <c r="CV29" s="130" t="s">
        <v>1482</v>
      </c>
      <c r="CW29" s="130">
        <v>1</v>
      </c>
      <c r="CX29" s="130">
        <v>2</v>
      </c>
    </row>
    <row r="30" spans="1:113">
      <c r="A30" s="50">
        <v>5901</v>
      </c>
      <c r="B30"/>
      <c r="C30"/>
      <c r="F30">
        <v>7300</v>
      </c>
      <c r="G30" s="63" t="s">
        <v>2571</v>
      </c>
      <c r="H30" s="63" t="s">
        <v>59</v>
      </c>
      <c r="I30" s="63" t="s">
        <v>184</v>
      </c>
      <c r="J30" s="63" t="s">
        <v>1737</v>
      </c>
      <c r="K30">
        <v>1</v>
      </c>
      <c r="L30">
        <v>29</v>
      </c>
      <c r="U30"/>
      <c r="V30"/>
      <c r="W30"/>
      <c r="AE30"/>
      <c r="AF30"/>
      <c r="AG30"/>
      <c r="AJ30">
        <v>4588</v>
      </c>
      <c r="AK30" s="63" t="s">
        <v>2542</v>
      </c>
      <c r="AL30" s="63" t="s">
        <v>59</v>
      </c>
      <c r="AM30" s="63" t="s">
        <v>203</v>
      </c>
      <c r="AN30" s="63" t="s">
        <v>2578</v>
      </c>
      <c r="AO30">
        <v>1</v>
      </c>
      <c r="AP30">
        <v>59</v>
      </c>
      <c r="AQ30"/>
      <c r="AY30"/>
      <c r="AZ30"/>
      <c r="BA30"/>
      <c r="BD30" s="130">
        <v>4599</v>
      </c>
      <c r="BE30" s="130" t="s">
        <v>1071</v>
      </c>
      <c r="BF30" s="130" t="s">
        <v>59</v>
      </c>
      <c r="BG30" s="130" t="s">
        <v>203</v>
      </c>
      <c r="BH30" s="130" t="s">
        <v>483</v>
      </c>
      <c r="BI30" s="130">
        <v>1</v>
      </c>
      <c r="BJ30" s="130">
        <v>1</v>
      </c>
      <c r="BK30"/>
      <c r="BS30"/>
      <c r="BT30"/>
      <c r="BU30"/>
      <c r="BX30">
        <v>201</v>
      </c>
      <c r="BY30" s="63" t="s">
        <v>2310</v>
      </c>
      <c r="BZ30" s="63" t="s">
        <v>59</v>
      </c>
      <c r="CA30" s="63" t="s">
        <v>175</v>
      </c>
      <c r="CB30" s="63" t="s">
        <v>950</v>
      </c>
      <c r="CC30">
        <v>1</v>
      </c>
      <c r="CD30">
        <v>60</v>
      </c>
      <c r="CE30"/>
      <c r="CR30" s="130">
        <v>9199</v>
      </c>
      <c r="CS30" s="130" t="s">
        <v>304</v>
      </c>
      <c r="CT30" s="130" t="s">
        <v>59</v>
      </c>
      <c r="CU30" s="130" t="s">
        <v>311</v>
      </c>
      <c r="CV30" s="130" t="s">
        <v>2722</v>
      </c>
      <c r="CW30" s="130">
        <v>1</v>
      </c>
      <c r="CX30" s="130">
        <v>16</v>
      </c>
    </row>
    <row r="31" spans="1:113">
      <c r="A31" s="50">
        <v>5902</v>
      </c>
      <c r="B31"/>
      <c r="C31"/>
      <c r="F31" s="130">
        <v>7300</v>
      </c>
      <c r="G31" s="130" t="s">
        <v>1807</v>
      </c>
      <c r="H31" s="130" t="s">
        <v>59</v>
      </c>
      <c r="I31" s="130" t="s">
        <v>175</v>
      </c>
      <c r="J31" s="130" t="s">
        <v>1415</v>
      </c>
      <c r="K31" s="130">
        <v>1</v>
      </c>
      <c r="L31" s="130">
        <v>10</v>
      </c>
      <c r="U31"/>
      <c r="V31"/>
      <c r="W31"/>
      <c r="AE31"/>
      <c r="AF31"/>
      <c r="AG31"/>
      <c r="AJ31" s="130">
        <v>7560</v>
      </c>
      <c r="AK31" s="130" t="s">
        <v>874</v>
      </c>
      <c r="AL31" s="130" t="s">
        <v>59</v>
      </c>
      <c r="AM31" s="130" t="s">
        <v>184</v>
      </c>
      <c r="AN31" s="130" t="s">
        <v>1272</v>
      </c>
      <c r="AO31" s="130">
        <v>1</v>
      </c>
      <c r="AP31" s="130">
        <v>11</v>
      </c>
      <c r="AQ31"/>
      <c r="AY31"/>
      <c r="AZ31"/>
      <c r="BA31"/>
      <c r="BD31" s="130">
        <v>4599</v>
      </c>
      <c r="BE31" s="130" t="s">
        <v>1071</v>
      </c>
      <c r="BF31" s="130" t="s">
        <v>59</v>
      </c>
      <c r="BG31" s="130" t="s">
        <v>184</v>
      </c>
      <c r="BH31" s="130" t="s">
        <v>523</v>
      </c>
      <c r="BI31" s="130">
        <v>1</v>
      </c>
      <c r="BJ31" s="130">
        <v>1</v>
      </c>
      <c r="BK31"/>
      <c r="BS31"/>
      <c r="BT31"/>
      <c r="BU31"/>
      <c r="BX31">
        <v>201</v>
      </c>
      <c r="BY31" s="63" t="s">
        <v>2310</v>
      </c>
      <c r="BZ31" s="63" t="s">
        <v>59</v>
      </c>
      <c r="CA31" s="63" t="s">
        <v>175</v>
      </c>
      <c r="CB31" s="63" t="s">
        <v>2313</v>
      </c>
      <c r="CC31">
        <v>1</v>
      </c>
      <c r="CD31">
        <v>60</v>
      </c>
      <c r="CE31"/>
      <c r="CR31" s="130">
        <v>9199</v>
      </c>
      <c r="CS31" s="130" t="s">
        <v>420</v>
      </c>
      <c r="CT31" s="130" t="s">
        <v>59</v>
      </c>
      <c r="CU31" s="130" t="s">
        <v>177</v>
      </c>
      <c r="CV31" s="130" t="s">
        <v>1203</v>
      </c>
      <c r="CW31" s="130">
        <v>1</v>
      </c>
      <c r="CX31" s="130">
        <v>19</v>
      </c>
    </row>
    <row r="32" spans="1:113">
      <c r="A32" s="50">
        <v>2900</v>
      </c>
      <c r="B32"/>
      <c r="C32"/>
      <c r="F32">
        <v>7300</v>
      </c>
      <c r="G32" s="63" t="s">
        <v>1725</v>
      </c>
      <c r="H32" s="63" t="s">
        <v>59</v>
      </c>
      <c r="I32" s="63" t="s">
        <v>184</v>
      </c>
      <c r="J32" s="63" t="s">
        <v>553</v>
      </c>
      <c r="K32">
        <v>1</v>
      </c>
      <c r="L32">
        <v>59</v>
      </c>
      <c r="U32"/>
      <c r="V32"/>
      <c r="W32"/>
      <c r="AE32"/>
      <c r="AF32"/>
      <c r="AG32"/>
      <c r="AJ32">
        <v>7570</v>
      </c>
      <c r="AK32" s="63" t="s">
        <v>1837</v>
      </c>
      <c r="AL32" s="63" t="s">
        <v>59</v>
      </c>
      <c r="AM32" s="63" t="s">
        <v>184</v>
      </c>
      <c r="AN32" s="63" t="s">
        <v>1102</v>
      </c>
      <c r="AO32">
        <v>1</v>
      </c>
      <c r="AP32">
        <v>60</v>
      </c>
      <c r="AQ32"/>
      <c r="AY32"/>
      <c r="AZ32"/>
      <c r="BA32"/>
      <c r="BD32" s="130">
        <v>4599</v>
      </c>
      <c r="BE32" s="130" t="s">
        <v>1071</v>
      </c>
      <c r="BF32" s="130" t="s">
        <v>59</v>
      </c>
      <c r="BG32" s="130" t="s">
        <v>184</v>
      </c>
      <c r="BH32" s="130" t="s">
        <v>770</v>
      </c>
      <c r="BI32" s="130">
        <v>1</v>
      </c>
      <c r="BJ32" s="130">
        <v>3</v>
      </c>
      <c r="BK32"/>
      <c r="BS32"/>
      <c r="BT32"/>
      <c r="BU32"/>
      <c r="BX32">
        <v>201</v>
      </c>
      <c r="BY32" s="63" t="s">
        <v>2310</v>
      </c>
      <c r="BZ32" s="63" t="s">
        <v>59</v>
      </c>
      <c r="CA32" s="63" t="s">
        <v>175</v>
      </c>
      <c r="CB32" s="63" t="s">
        <v>1847</v>
      </c>
      <c r="CC32">
        <v>1</v>
      </c>
      <c r="CD32">
        <v>60</v>
      </c>
      <c r="CE32"/>
      <c r="CR32">
        <v>9199</v>
      </c>
      <c r="CS32" s="63" t="s">
        <v>2724</v>
      </c>
      <c r="CT32" s="63" t="s">
        <v>59</v>
      </c>
      <c r="CU32" s="63" t="s">
        <v>177</v>
      </c>
      <c r="CV32" s="63" t="s">
        <v>1551</v>
      </c>
      <c r="CW32">
        <v>1</v>
      </c>
      <c r="CX32">
        <v>45</v>
      </c>
    </row>
    <row r="33" spans="1:113">
      <c r="A33" s="50">
        <v>2901</v>
      </c>
      <c r="B33"/>
      <c r="C33"/>
      <c r="F33" s="130">
        <v>8300</v>
      </c>
      <c r="G33" s="130" t="s">
        <v>378</v>
      </c>
      <c r="H33" s="130" t="s">
        <v>59</v>
      </c>
      <c r="I33" s="130" t="s">
        <v>175</v>
      </c>
      <c r="J33" s="130" t="s">
        <v>1407</v>
      </c>
      <c r="K33" s="130">
        <v>1</v>
      </c>
      <c r="L33" s="130">
        <v>17</v>
      </c>
      <c r="U33"/>
      <c r="V33"/>
      <c r="W33"/>
      <c r="AE33"/>
      <c r="AF33"/>
      <c r="AG33"/>
      <c r="AJ33">
        <v>7570</v>
      </c>
      <c r="AK33" s="63" t="s">
        <v>2309</v>
      </c>
      <c r="AL33" s="63" t="s">
        <v>59</v>
      </c>
      <c r="AM33" s="63" t="s">
        <v>184</v>
      </c>
      <c r="AN33" s="63" t="s">
        <v>1952</v>
      </c>
      <c r="AO33">
        <v>1</v>
      </c>
      <c r="AP33">
        <v>60</v>
      </c>
      <c r="AQ33"/>
      <c r="AY33"/>
      <c r="AZ33"/>
      <c r="BA33"/>
      <c r="BD33" s="130">
        <v>5996</v>
      </c>
      <c r="BE33" s="130" t="s">
        <v>1790</v>
      </c>
      <c r="BF33" s="130" t="s">
        <v>59</v>
      </c>
      <c r="BG33" s="130" t="s">
        <v>184</v>
      </c>
      <c r="BH33" s="130" t="s">
        <v>1979</v>
      </c>
      <c r="BI33" s="130">
        <v>1</v>
      </c>
      <c r="BJ33" s="130">
        <v>18</v>
      </c>
      <c r="BK33"/>
      <c r="BS33"/>
      <c r="BT33"/>
      <c r="BU33"/>
      <c r="BX33">
        <v>201</v>
      </c>
      <c r="BY33" s="63" t="s">
        <v>2310</v>
      </c>
      <c r="BZ33" s="63" t="s">
        <v>59</v>
      </c>
      <c r="CA33" s="63" t="s">
        <v>175</v>
      </c>
      <c r="CB33" s="63" t="s">
        <v>2314</v>
      </c>
      <c r="CC33">
        <v>1</v>
      </c>
      <c r="CD33">
        <v>60</v>
      </c>
      <c r="CE33"/>
      <c r="CR33" s="130">
        <v>9199</v>
      </c>
      <c r="CS33" s="130" t="s">
        <v>491</v>
      </c>
      <c r="CT33" s="130" t="s">
        <v>59</v>
      </c>
      <c r="CU33" s="130" t="s">
        <v>177</v>
      </c>
      <c r="CV33" s="130" t="s">
        <v>2725</v>
      </c>
      <c r="CW33" s="130">
        <v>1</v>
      </c>
      <c r="CX33" s="130">
        <v>6</v>
      </c>
    </row>
    <row r="34" spans="1:113">
      <c r="A34" s="50">
        <v>2902</v>
      </c>
      <c r="B34"/>
      <c r="C34"/>
      <c r="F34">
        <v>8300</v>
      </c>
      <c r="G34" s="63" t="s">
        <v>2571</v>
      </c>
      <c r="H34" s="63" t="s">
        <v>59</v>
      </c>
      <c r="I34" s="63" t="s">
        <v>203</v>
      </c>
      <c r="J34" s="63" t="s">
        <v>1531</v>
      </c>
      <c r="K34">
        <v>1</v>
      </c>
      <c r="L34">
        <v>42</v>
      </c>
      <c r="U34"/>
      <c r="V34"/>
      <c r="W34"/>
      <c r="AE34"/>
      <c r="AF34"/>
      <c r="AG34"/>
      <c r="AJ34">
        <v>7570</v>
      </c>
      <c r="AK34" s="63" t="s">
        <v>2309</v>
      </c>
      <c r="AL34" s="63" t="s">
        <v>59</v>
      </c>
      <c r="AM34" s="63" t="s">
        <v>184</v>
      </c>
      <c r="AN34" s="63" t="s">
        <v>880</v>
      </c>
      <c r="AO34">
        <v>1</v>
      </c>
      <c r="AP34">
        <v>60</v>
      </c>
      <c r="AQ34"/>
      <c r="AY34"/>
      <c r="AZ34"/>
      <c r="BA34"/>
      <c r="BD34">
        <v>5998</v>
      </c>
      <c r="BE34" s="63" t="s">
        <v>2915</v>
      </c>
      <c r="BF34" s="63" t="s">
        <v>59</v>
      </c>
      <c r="BG34" s="63" t="s">
        <v>203</v>
      </c>
      <c r="BH34" s="63" t="s">
        <v>926</v>
      </c>
      <c r="BI34">
        <v>1</v>
      </c>
      <c r="BJ34">
        <v>57</v>
      </c>
      <c r="BK34"/>
      <c r="BS34"/>
      <c r="BT34"/>
      <c r="BU34"/>
      <c r="BX34">
        <v>201</v>
      </c>
      <c r="BY34" s="63" t="s">
        <v>2310</v>
      </c>
      <c r="BZ34" s="63" t="s">
        <v>59</v>
      </c>
      <c r="CA34" s="63" t="s">
        <v>175</v>
      </c>
      <c r="CB34" s="63" t="s">
        <v>2315</v>
      </c>
      <c r="CC34">
        <v>1</v>
      </c>
      <c r="CD34">
        <v>60</v>
      </c>
      <c r="CE34"/>
      <c r="CR34">
        <v>9199</v>
      </c>
      <c r="CS34" s="63" t="s">
        <v>2726</v>
      </c>
      <c r="CT34" s="63" t="s">
        <v>59</v>
      </c>
      <c r="CU34" s="63" t="s">
        <v>177</v>
      </c>
      <c r="CV34" s="63" t="s">
        <v>1205</v>
      </c>
      <c r="CW34">
        <v>1</v>
      </c>
      <c r="CX34">
        <v>20</v>
      </c>
    </row>
    <row r="35" spans="1:113">
      <c r="A35" s="50">
        <v>2903</v>
      </c>
      <c r="B35"/>
      <c r="C35"/>
      <c r="F35" s="130">
        <v>8300</v>
      </c>
      <c r="G35" s="130" t="s">
        <v>2573</v>
      </c>
      <c r="H35" s="130" t="s">
        <v>59</v>
      </c>
      <c r="I35" s="130" t="s">
        <v>203</v>
      </c>
      <c r="J35" s="130" t="s">
        <v>1993</v>
      </c>
      <c r="K35" s="130">
        <v>1</v>
      </c>
      <c r="L35" s="130">
        <v>18</v>
      </c>
      <c r="U35"/>
      <c r="V35"/>
      <c r="W35"/>
      <c r="AE35"/>
      <c r="AF35"/>
      <c r="AG35"/>
      <c r="AJ35">
        <v>7570</v>
      </c>
      <c r="AK35" s="63" t="s">
        <v>874</v>
      </c>
      <c r="AL35" s="63" t="s">
        <v>59</v>
      </c>
      <c r="AM35" s="63" t="s">
        <v>184</v>
      </c>
      <c r="AN35" s="63" t="s">
        <v>2146</v>
      </c>
      <c r="AO35">
        <v>1</v>
      </c>
      <c r="AP35">
        <v>60</v>
      </c>
      <c r="AQ35"/>
      <c r="AY35"/>
      <c r="AZ35"/>
      <c r="BA35"/>
      <c r="BD35" s="130">
        <v>5998</v>
      </c>
      <c r="BE35" s="130" t="s">
        <v>2571</v>
      </c>
      <c r="BF35" s="130" t="s">
        <v>59</v>
      </c>
      <c r="BG35" s="130" t="s">
        <v>203</v>
      </c>
      <c r="BH35" s="130" t="s">
        <v>1124</v>
      </c>
      <c r="BI35" s="130">
        <v>1</v>
      </c>
      <c r="BJ35" s="130">
        <v>3</v>
      </c>
      <c r="BK35"/>
      <c r="BS35"/>
      <c r="BT35"/>
      <c r="BU35"/>
      <c r="BX35">
        <v>201</v>
      </c>
      <c r="BY35" s="63" t="s">
        <v>2310</v>
      </c>
      <c r="BZ35" s="63" t="s">
        <v>59</v>
      </c>
      <c r="CA35" s="63" t="s">
        <v>175</v>
      </c>
      <c r="CB35" s="63" t="s">
        <v>1280</v>
      </c>
      <c r="CC35">
        <v>1</v>
      </c>
      <c r="CD35">
        <v>60</v>
      </c>
      <c r="CE35"/>
      <c r="CR35">
        <v>9199</v>
      </c>
      <c r="CS35" s="63" t="s">
        <v>387</v>
      </c>
      <c r="CT35" s="63" t="s">
        <v>59</v>
      </c>
      <c r="CU35" s="63" t="s">
        <v>311</v>
      </c>
      <c r="CV35" s="63" t="s">
        <v>1300</v>
      </c>
      <c r="CW35">
        <v>1</v>
      </c>
      <c r="CX35">
        <v>54</v>
      </c>
    </row>
    <row r="36" spans="1:113" s="63" customFormat="1">
      <c r="A36" s="90"/>
      <c r="B36"/>
      <c r="C36"/>
      <c r="D36"/>
      <c r="F36">
        <v>8300</v>
      </c>
      <c r="G36" s="63" t="s">
        <v>1725</v>
      </c>
      <c r="H36" s="63" t="s">
        <v>59</v>
      </c>
      <c r="I36" s="63" t="s">
        <v>174</v>
      </c>
      <c r="J36" s="63" t="s">
        <v>1310</v>
      </c>
      <c r="K36">
        <v>1</v>
      </c>
      <c r="L36">
        <v>38</v>
      </c>
      <c r="M36"/>
      <c r="N36"/>
      <c r="O36"/>
      <c r="P36"/>
      <c r="Q36"/>
      <c r="R36"/>
      <c r="S36"/>
      <c r="T36"/>
      <c r="U36"/>
      <c r="V36"/>
      <c r="W36"/>
      <c r="X36"/>
      <c r="Y36"/>
      <c r="Z36"/>
      <c r="AA36"/>
      <c r="AB36"/>
      <c r="AC36"/>
      <c r="AD36"/>
      <c r="AE36"/>
      <c r="AF36"/>
      <c r="AG36"/>
      <c r="AH36"/>
      <c r="AI36"/>
      <c r="AJ36">
        <v>7570</v>
      </c>
      <c r="AK36" s="63" t="s">
        <v>874</v>
      </c>
      <c r="AL36" s="63" t="s">
        <v>59</v>
      </c>
      <c r="AM36" s="63" t="s">
        <v>184</v>
      </c>
      <c r="AN36" s="63" t="s">
        <v>1091</v>
      </c>
      <c r="AO36">
        <v>1</v>
      </c>
      <c r="AP36">
        <v>60</v>
      </c>
      <c r="AQ36"/>
      <c r="AR36"/>
      <c r="AS36"/>
      <c r="AT36"/>
      <c r="AU36"/>
      <c r="AV36"/>
      <c r="AW36"/>
      <c r="AX36"/>
      <c r="AY36"/>
      <c r="AZ36"/>
      <c r="BA36"/>
      <c r="BB36"/>
      <c r="BC36"/>
      <c r="BD36">
        <v>5998</v>
      </c>
      <c r="BE36" s="63" t="s">
        <v>2916</v>
      </c>
      <c r="BF36" s="63" t="s">
        <v>59</v>
      </c>
      <c r="BG36" s="63" t="s">
        <v>203</v>
      </c>
      <c r="BH36" s="63" t="s">
        <v>1395</v>
      </c>
      <c r="BI36">
        <v>1</v>
      </c>
      <c r="BJ36">
        <v>20</v>
      </c>
      <c r="BK36"/>
      <c r="BL36"/>
      <c r="BM36"/>
      <c r="BN36"/>
      <c r="BO36"/>
      <c r="BP36"/>
      <c r="BQ36"/>
      <c r="BR36"/>
      <c r="BS36"/>
      <c r="BT36"/>
      <c r="BU36"/>
      <c r="BV36"/>
      <c r="BW36"/>
      <c r="BX36">
        <v>201</v>
      </c>
      <c r="BY36" s="63" t="s">
        <v>2310</v>
      </c>
      <c r="BZ36" s="63" t="s">
        <v>59</v>
      </c>
      <c r="CA36" s="63" t="s">
        <v>184</v>
      </c>
      <c r="CB36" s="63" t="s">
        <v>813</v>
      </c>
      <c r="CC36">
        <v>1</v>
      </c>
      <c r="CD36">
        <v>60</v>
      </c>
      <c r="CE36"/>
      <c r="CF36"/>
      <c r="CG36"/>
      <c r="CH36"/>
      <c r="CI36"/>
      <c r="CJ36"/>
      <c r="CK36"/>
      <c r="CL36"/>
      <c r="CM36"/>
      <c r="CN36"/>
      <c r="CO36"/>
      <c r="CP36"/>
      <c r="CQ36"/>
      <c r="CR36">
        <v>9199</v>
      </c>
      <c r="CS36" s="63" t="s">
        <v>1892</v>
      </c>
      <c r="CT36" s="63" t="s">
        <v>59</v>
      </c>
      <c r="CU36" s="63" t="s">
        <v>311</v>
      </c>
      <c r="CV36" s="63" t="s">
        <v>1549</v>
      </c>
      <c r="CW36">
        <v>1</v>
      </c>
      <c r="CX36">
        <v>33</v>
      </c>
      <c r="CY36"/>
      <c r="CZ36"/>
      <c r="DA36"/>
      <c r="DB36"/>
      <c r="DC36"/>
      <c r="DD36"/>
      <c r="DE36"/>
      <c r="DF36"/>
      <c r="DG36"/>
      <c r="DH36"/>
      <c r="DI36"/>
    </row>
    <row r="37" spans="1:113" s="63" customFormat="1">
      <c r="A37" s="90"/>
      <c r="B37"/>
      <c r="C37"/>
      <c r="D37"/>
      <c r="F37">
        <v>8300</v>
      </c>
      <c r="G37" s="63" t="s">
        <v>1725</v>
      </c>
      <c r="H37" s="63" t="s">
        <v>59</v>
      </c>
      <c r="I37" s="63" t="s">
        <v>175</v>
      </c>
      <c r="J37" s="63" t="s">
        <v>748</v>
      </c>
      <c r="K37">
        <v>1</v>
      </c>
      <c r="L37">
        <v>59</v>
      </c>
      <c r="M37"/>
      <c r="N37"/>
      <c r="O37"/>
      <c r="P37"/>
      <c r="Q37"/>
      <c r="R37"/>
      <c r="S37"/>
      <c r="T37"/>
      <c r="U37"/>
      <c r="V37"/>
      <c r="W37"/>
      <c r="X37"/>
      <c r="Y37"/>
      <c r="Z37"/>
      <c r="AA37"/>
      <c r="AB37"/>
      <c r="AC37"/>
      <c r="AD37"/>
      <c r="AE37"/>
      <c r="AF37"/>
      <c r="AG37"/>
      <c r="AH37"/>
      <c r="AI37"/>
      <c r="AJ37">
        <v>7570</v>
      </c>
      <c r="AK37" s="63" t="s">
        <v>874</v>
      </c>
      <c r="AL37" s="63" t="s">
        <v>59</v>
      </c>
      <c r="AM37" s="63" t="s">
        <v>184</v>
      </c>
      <c r="AN37" s="63" t="s">
        <v>2109</v>
      </c>
      <c r="AO37">
        <v>1</v>
      </c>
      <c r="AP37">
        <v>60</v>
      </c>
      <c r="AQ37"/>
      <c r="AR37"/>
      <c r="AS37"/>
      <c r="AT37"/>
      <c r="AU37"/>
      <c r="AV37"/>
      <c r="AW37"/>
      <c r="AX37"/>
      <c r="AY37"/>
      <c r="AZ37"/>
      <c r="BA37"/>
      <c r="BB37"/>
      <c r="BC37"/>
      <c r="BD37">
        <v>5998</v>
      </c>
      <c r="BE37" s="63" t="s">
        <v>2916</v>
      </c>
      <c r="BF37" s="63" t="s">
        <v>59</v>
      </c>
      <c r="BG37" s="63" t="s">
        <v>175</v>
      </c>
      <c r="BH37" s="63" t="s">
        <v>1839</v>
      </c>
      <c r="BI37">
        <v>1</v>
      </c>
      <c r="BJ37">
        <v>21</v>
      </c>
      <c r="BK37"/>
      <c r="BL37"/>
      <c r="BM37"/>
      <c r="BN37"/>
      <c r="BO37"/>
      <c r="BP37"/>
      <c r="BQ37"/>
      <c r="BR37"/>
      <c r="BS37"/>
      <c r="BT37"/>
      <c r="BU37"/>
      <c r="BV37"/>
      <c r="BW37"/>
      <c r="BX37">
        <v>201</v>
      </c>
      <c r="BY37" s="63" t="s">
        <v>2310</v>
      </c>
      <c r="BZ37" s="63" t="s">
        <v>59</v>
      </c>
      <c r="CA37" s="63" t="s">
        <v>184</v>
      </c>
      <c r="CB37" s="63" t="s">
        <v>1467</v>
      </c>
      <c r="CC37">
        <v>1</v>
      </c>
      <c r="CD37">
        <v>60</v>
      </c>
      <c r="CE37"/>
      <c r="CF37"/>
      <c r="CG37"/>
      <c r="CH37"/>
      <c r="CI37"/>
      <c r="CJ37"/>
      <c r="CK37"/>
      <c r="CL37"/>
      <c r="CM37"/>
      <c r="CN37"/>
      <c r="CO37"/>
      <c r="CP37"/>
      <c r="CQ37"/>
      <c r="CR37">
        <v>9199</v>
      </c>
      <c r="CS37" s="63" t="s">
        <v>2576</v>
      </c>
      <c r="CT37" s="63" t="s">
        <v>59</v>
      </c>
      <c r="CU37" s="63" t="s">
        <v>177</v>
      </c>
      <c r="CV37" s="63" t="s">
        <v>2727</v>
      </c>
      <c r="CW37">
        <v>1</v>
      </c>
      <c r="CX37">
        <v>22</v>
      </c>
      <c r="CY37"/>
      <c r="CZ37"/>
      <c r="DA37"/>
      <c r="DB37"/>
      <c r="DC37"/>
      <c r="DD37"/>
      <c r="DE37"/>
      <c r="DF37"/>
      <c r="DG37"/>
      <c r="DH37"/>
      <c r="DI37"/>
    </row>
    <row r="38" spans="1:113">
      <c r="A38" s="50" t="s">
        <v>121</v>
      </c>
      <c r="B38"/>
      <c r="C38"/>
      <c r="F38">
        <v>8300</v>
      </c>
      <c r="G38" s="63" t="s">
        <v>1725</v>
      </c>
      <c r="H38" s="63" t="s">
        <v>59</v>
      </c>
      <c r="I38" s="63" t="s">
        <v>184</v>
      </c>
      <c r="J38" s="63" t="s">
        <v>1111</v>
      </c>
      <c r="K38">
        <v>1</v>
      </c>
      <c r="L38">
        <v>40</v>
      </c>
      <c r="U38"/>
      <c r="V38"/>
      <c r="W38"/>
      <c r="AE38"/>
      <c r="AF38"/>
      <c r="AG38"/>
      <c r="AJ38">
        <v>7570</v>
      </c>
      <c r="AK38" s="63" t="s">
        <v>874</v>
      </c>
      <c r="AL38" s="63" t="s">
        <v>59</v>
      </c>
      <c r="AM38" s="63" t="s">
        <v>184</v>
      </c>
      <c r="AN38" s="63" t="s">
        <v>1480</v>
      </c>
      <c r="AO38">
        <v>1</v>
      </c>
      <c r="AP38">
        <v>60</v>
      </c>
      <c r="AQ38"/>
      <c r="AY38"/>
      <c r="AZ38"/>
      <c r="BA38"/>
      <c r="BD38" s="130">
        <v>5998</v>
      </c>
      <c r="BE38" s="130" t="s">
        <v>2509</v>
      </c>
      <c r="BF38" s="130" t="s">
        <v>285</v>
      </c>
      <c r="BG38" s="130" t="s">
        <v>173</v>
      </c>
      <c r="BH38" s="130" t="s">
        <v>548</v>
      </c>
      <c r="BI38" s="130">
        <v>1</v>
      </c>
      <c r="BJ38" s="130">
        <v>6</v>
      </c>
      <c r="BK38"/>
      <c r="BS38"/>
      <c r="BT38"/>
      <c r="BU38"/>
      <c r="BX38">
        <v>201</v>
      </c>
      <c r="BY38" s="63" t="s">
        <v>2310</v>
      </c>
      <c r="BZ38" s="63" t="s">
        <v>59</v>
      </c>
      <c r="CA38" s="63" t="s">
        <v>184</v>
      </c>
      <c r="CB38" s="63" t="s">
        <v>1329</v>
      </c>
      <c r="CC38">
        <v>1</v>
      </c>
      <c r="CD38">
        <v>60</v>
      </c>
      <c r="CE38"/>
      <c r="CR38">
        <v>9199</v>
      </c>
      <c r="CS38" s="63" t="s">
        <v>2576</v>
      </c>
      <c r="CT38" s="63" t="s">
        <v>59</v>
      </c>
      <c r="CU38" s="63" t="s">
        <v>177</v>
      </c>
      <c r="CV38" s="63" t="s">
        <v>1202</v>
      </c>
      <c r="CW38">
        <v>1</v>
      </c>
      <c r="CX38">
        <v>28</v>
      </c>
    </row>
    <row r="39" spans="1:113">
      <c r="A39" s="50">
        <v>2996</v>
      </c>
      <c r="B39"/>
      <c r="C39"/>
      <c r="F39">
        <v>8300</v>
      </c>
      <c r="G39" s="63" t="s">
        <v>1071</v>
      </c>
      <c r="H39" s="63" t="s">
        <v>59</v>
      </c>
      <c r="I39" s="63" t="s">
        <v>203</v>
      </c>
      <c r="J39" s="63" t="s">
        <v>2006</v>
      </c>
      <c r="K39">
        <v>1</v>
      </c>
      <c r="L39">
        <v>53</v>
      </c>
      <c r="U39"/>
      <c r="V39"/>
      <c r="W39"/>
      <c r="AE39"/>
      <c r="AF39"/>
      <c r="AG39"/>
      <c r="AJ39">
        <v>7570</v>
      </c>
      <c r="AK39" s="63" t="s">
        <v>874</v>
      </c>
      <c r="AL39" s="63" t="s">
        <v>59</v>
      </c>
      <c r="AM39" s="63" t="s">
        <v>184</v>
      </c>
      <c r="AN39" s="63" t="s">
        <v>2693</v>
      </c>
      <c r="AO39">
        <v>1</v>
      </c>
      <c r="AP39">
        <v>60</v>
      </c>
      <c r="AQ39"/>
      <c r="AY39"/>
      <c r="AZ39"/>
      <c r="BA39"/>
      <c r="BD39" s="130">
        <v>5999</v>
      </c>
      <c r="BE39" s="130" t="s">
        <v>2668</v>
      </c>
      <c r="BF39" s="130" t="s">
        <v>59</v>
      </c>
      <c r="BG39" s="130" t="s">
        <v>184</v>
      </c>
      <c r="BH39" s="130" t="s">
        <v>2669</v>
      </c>
      <c r="BI39" s="130">
        <v>1</v>
      </c>
      <c r="BJ39" s="130">
        <v>2</v>
      </c>
      <c r="BK39"/>
      <c r="BS39"/>
      <c r="BT39"/>
      <c r="BU39"/>
      <c r="BX39">
        <v>201</v>
      </c>
      <c r="BY39" s="63" t="s">
        <v>2310</v>
      </c>
      <c r="BZ39" s="63" t="s">
        <v>59</v>
      </c>
      <c r="CA39" s="63" t="s">
        <v>184</v>
      </c>
      <c r="CB39" s="63" t="s">
        <v>1536</v>
      </c>
      <c r="CC39">
        <v>1</v>
      </c>
      <c r="CD39">
        <v>60</v>
      </c>
      <c r="CE39"/>
      <c r="CR39" s="130">
        <v>9199</v>
      </c>
      <c r="CS39" s="130" t="s">
        <v>357</v>
      </c>
      <c r="CT39" s="130" t="s">
        <v>59</v>
      </c>
      <c r="CU39" s="130" t="s">
        <v>177</v>
      </c>
      <c r="CV39" s="130" t="s">
        <v>2728</v>
      </c>
      <c r="CW39" s="130">
        <v>1</v>
      </c>
      <c r="CX39" s="130">
        <v>1</v>
      </c>
    </row>
    <row r="40" spans="1:113">
      <c r="A40" s="50">
        <v>2999</v>
      </c>
      <c r="B40"/>
      <c r="C40"/>
      <c r="F40">
        <v>8300</v>
      </c>
      <c r="G40" s="63" t="s">
        <v>1071</v>
      </c>
      <c r="H40" s="63" t="s">
        <v>59</v>
      </c>
      <c r="I40" s="63" t="s">
        <v>203</v>
      </c>
      <c r="J40" s="63" t="s">
        <v>681</v>
      </c>
      <c r="K40">
        <v>1</v>
      </c>
      <c r="L40">
        <v>57</v>
      </c>
      <c r="U40"/>
      <c r="V40"/>
      <c r="W40"/>
      <c r="AE40"/>
      <c r="AF40"/>
      <c r="AG40"/>
      <c r="AJ40" s="130">
        <v>7570</v>
      </c>
      <c r="AK40" s="130" t="s">
        <v>1888</v>
      </c>
      <c r="AL40" s="130" t="s">
        <v>59</v>
      </c>
      <c r="AM40" s="130" t="s">
        <v>184</v>
      </c>
      <c r="AN40" s="130" t="s">
        <v>1810</v>
      </c>
      <c r="AO40" s="130">
        <v>1</v>
      </c>
      <c r="AP40" s="130">
        <v>10</v>
      </c>
      <c r="AQ40"/>
      <c r="AY40"/>
      <c r="AZ40"/>
      <c r="BA40"/>
      <c r="BI40"/>
      <c r="BJ40"/>
      <c r="BK40"/>
      <c r="BS40"/>
      <c r="BT40"/>
      <c r="BU40"/>
      <c r="BX40">
        <v>201</v>
      </c>
      <c r="BY40" s="63" t="s">
        <v>2310</v>
      </c>
      <c r="BZ40" s="63" t="s">
        <v>59</v>
      </c>
      <c r="CA40" s="63" t="s">
        <v>184</v>
      </c>
      <c r="CB40" s="63" t="s">
        <v>2007</v>
      </c>
      <c r="CC40">
        <v>1</v>
      </c>
      <c r="CD40">
        <v>60</v>
      </c>
      <c r="CE40"/>
      <c r="CR40" s="130">
        <v>9199</v>
      </c>
      <c r="CS40" s="130" t="s">
        <v>2729</v>
      </c>
      <c r="CT40" s="130" t="s">
        <v>59</v>
      </c>
      <c r="CU40" s="130" t="s">
        <v>177</v>
      </c>
      <c r="CV40" s="130" t="s">
        <v>1569</v>
      </c>
      <c r="CW40" s="130">
        <v>1</v>
      </c>
      <c r="CX40" s="130">
        <v>14</v>
      </c>
    </row>
    <row r="41" spans="1:113">
      <c r="A41" s="50">
        <v>5996</v>
      </c>
      <c r="B41"/>
      <c r="C41"/>
      <c r="F41">
        <v>8300</v>
      </c>
      <c r="G41" s="63" t="s">
        <v>1071</v>
      </c>
      <c r="H41" s="63" t="s">
        <v>59</v>
      </c>
      <c r="I41" s="63" t="s">
        <v>203</v>
      </c>
      <c r="J41" s="63" t="s">
        <v>495</v>
      </c>
      <c r="K41">
        <v>1</v>
      </c>
      <c r="L41">
        <v>46</v>
      </c>
      <c r="U41"/>
      <c r="V41"/>
      <c r="W41"/>
      <c r="AE41"/>
      <c r="AF41"/>
      <c r="AG41"/>
      <c r="AJ41">
        <v>7590</v>
      </c>
      <c r="AK41" s="63" t="s">
        <v>358</v>
      </c>
      <c r="AL41" s="63" t="s">
        <v>59</v>
      </c>
      <c r="AM41" s="63" t="s">
        <v>176</v>
      </c>
      <c r="AN41" s="63" t="s">
        <v>1933</v>
      </c>
      <c r="AO41">
        <v>1</v>
      </c>
      <c r="AP41">
        <v>60</v>
      </c>
      <c r="AQ41"/>
      <c r="AY41"/>
      <c r="AZ41"/>
      <c r="BA41"/>
      <c r="BI41"/>
      <c r="BJ41"/>
      <c r="BK41"/>
      <c r="BS41"/>
      <c r="BT41"/>
      <c r="BU41"/>
      <c r="BX41">
        <v>201</v>
      </c>
      <c r="BY41" s="63" t="s">
        <v>2310</v>
      </c>
      <c r="BZ41" s="63" t="s">
        <v>59</v>
      </c>
      <c r="CA41" s="63" t="s">
        <v>184</v>
      </c>
      <c r="CB41" s="63" t="s">
        <v>768</v>
      </c>
      <c r="CC41">
        <v>1</v>
      </c>
      <c r="CD41">
        <v>60</v>
      </c>
      <c r="CE41"/>
      <c r="CR41">
        <v>9199</v>
      </c>
      <c r="CS41" s="63" t="s">
        <v>1824</v>
      </c>
      <c r="CT41" s="63" t="s">
        <v>59</v>
      </c>
      <c r="CU41" s="63" t="s">
        <v>311</v>
      </c>
      <c r="CV41" s="63" t="s">
        <v>2730</v>
      </c>
      <c r="CW41">
        <v>1</v>
      </c>
      <c r="CX41">
        <v>25</v>
      </c>
    </row>
    <row r="42" spans="1:113">
      <c r="A42" s="50">
        <v>5998</v>
      </c>
      <c r="B42"/>
      <c r="C42"/>
      <c r="H42"/>
      <c r="I42"/>
      <c r="J42"/>
      <c r="U42"/>
      <c r="V42"/>
      <c r="W42"/>
      <c r="AE42"/>
      <c r="AF42"/>
      <c r="AG42"/>
      <c r="AJ42">
        <v>7590</v>
      </c>
      <c r="AK42" s="63" t="s">
        <v>358</v>
      </c>
      <c r="AL42" s="63" t="s">
        <v>59</v>
      </c>
      <c r="AM42" s="63" t="s">
        <v>177</v>
      </c>
      <c r="AN42" s="63" t="s">
        <v>2695</v>
      </c>
      <c r="AO42">
        <v>1</v>
      </c>
      <c r="AP42">
        <v>35</v>
      </c>
      <c r="AQ42"/>
      <c r="AY42"/>
      <c r="AZ42"/>
      <c r="BA42"/>
      <c r="BI42"/>
      <c r="BJ42"/>
      <c r="BK42"/>
      <c r="BS42"/>
      <c r="BT42"/>
      <c r="BU42"/>
      <c r="BX42">
        <v>201</v>
      </c>
      <c r="BY42" s="63" t="s">
        <v>2310</v>
      </c>
      <c r="BZ42" s="63" t="s">
        <v>59</v>
      </c>
      <c r="CA42" s="63" t="s">
        <v>184</v>
      </c>
      <c r="CB42" s="63" t="s">
        <v>991</v>
      </c>
      <c r="CC42">
        <v>1</v>
      </c>
      <c r="CD42">
        <v>60</v>
      </c>
      <c r="CE42"/>
      <c r="CR42">
        <v>9199</v>
      </c>
      <c r="CS42" s="63" t="s">
        <v>2324</v>
      </c>
      <c r="CT42" s="63" t="s">
        <v>59</v>
      </c>
      <c r="CU42" s="63" t="s">
        <v>177</v>
      </c>
      <c r="CV42" s="63" t="s">
        <v>2731</v>
      </c>
      <c r="CW42">
        <v>1</v>
      </c>
      <c r="CX42">
        <v>30</v>
      </c>
    </row>
    <row r="43" spans="1:113">
      <c r="A43" s="50">
        <v>5999</v>
      </c>
      <c r="B43"/>
      <c r="C43"/>
      <c r="H43"/>
      <c r="I43"/>
      <c r="J43"/>
      <c r="U43"/>
      <c r="V43"/>
      <c r="W43"/>
      <c r="AE43"/>
      <c r="AF43"/>
      <c r="AG43"/>
      <c r="AJ43" s="63" t="s">
        <v>2144</v>
      </c>
      <c r="AK43" s="63" t="s">
        <v>373</v>
      </c>
      <c r="AL43" s="63" t="s">
        <v>59</v>
      </c>
      <c r="AM43" s="63" t="s">
        <v>184</v>
      </c>
      <c r="AN43" s="63" t="s">
        <v>1532</v>
      </c>
      <c r="AO43">
        <v>1</v>
      </c>
      <c r="AP43">
        <v>60</v>
      </c>
      <c r="AQ43"/>
      <c r="AY43"/>
      <c r="AZ43"/>
      <c r="BA43"/>
      <c r="BI43"/>
      <c r="BJ43"/>
      <c r="BK43"/>
      <c r="BS43"/>
      <c r="BT43"/>
      <c r="BU43"/>
      <c r="BX43" s="130">
        <v>201</v>
      </c>
      <c r="BY43" s="130" t="s">
        <v>430</v>
      </c>
      <c r="BZ43" s="130" t="s">
        <v>59</v>
      </c>
      <c r="CA43" s="130" t="s">
        <v>174</v>
      </c>
      <c r="CB43" s="130" t="s">
        <v>1947</v>
      </c>
      <c r="CC43" s="130">
        <v>1</v>
      </c>
      <c r="CD43" s="130">
        <v>11</v>
      </c>
      <c r="CE43"/>
      <c r="CR43" s="130">
        <v>9199</v>
      </c>
      <c r="CS43" s="130" t="s">
        <v>2324</v>
      </c>
      <c r="CT43" s="130" t="s">
        <v>59</v>
      </c>
      <c r="CU43" s="130" t="s">
        <v>177</v>
      </c>
      <c r="CV43" s="130" t="s">
        <v>617</v>
      </c>
      <c r="CW43" s="130">
        <v>1</v>
      </c>
      <c r="CX43" s="130">
        <v>10</v>
      </c>
    </row>
    <row r="44" spans="1:113">
      <c r="A44" s="50">
        <v>9507</v>
      </c>
      <c r="B44"/>
      <c r="C44"/>
      <c r="H44"/>
      <c r="I44"/>
      <c r="J44"/>
      <c r="U44"/>
      <c r="V44"/>
      <c r="W44"/>
      <c r="AE44"/>
      <c r="AF44"/>
      <c r="AG44"/>
      <c r="AJ44">
        <v>9570</v>
      </c>
      <c r="AK44" s="63" t="s">
        <v>2536</v>
      </c>
      <c r="AL44" s="63" t="s">
        <v>59</v>
      </c>
      <c r="AM44" s="63" t="s">
        <v>175</v>
      </c>
      <c r="AN44" s="63" t="s">
        <v>1148</v>
      </c>
      <c r="AO44">
        <v>1</v>
      </c>
      <c r="AP44">
        <v>50</v>
      </c>
      <c r="AQ44"/>
      <c r="AY44"/>
      <c r="AZ44"/>
      <c r="BA44"/>
      <c r="BI44"/>
      <c r="BJ44"/>
      <c r="BK44"/>
      <c r="BS44"/>
      <c r="BT44"/>
      <c r="BU44"/>
      <c r="BX44">
        <v>201</v>
      </c>
      <c r="BY44" s="63" t="s">
        <v>927</v>
      </c>
      <c r="BZ44" s="63" t="s">
        <v>59</v>
      </c>
      <c r="CA44" s="63" t="s">
        <v>203</v>
      </c>
      <c r="CB44" s="63" t="s">
        <v>1256</v>
      </c>
      <c r="CC44">
        <v>1</v>
      </c>
      <c r="CD44">
        <v>60</v>
      </c>
      <c r="CE44"/>
      <c r="CR44">
        <v>9199</v>
      </c>
      <c r="CS44" s="63" t="s">
        <v>2324</v>
      </c>
      <c r="CT44" s="63" t="s">
        <v>59</v>
      </c>
      <c r="CU44" s="63" t="s">
        <v>177</v>
      </c>
      <c r="CV44" s="63" t="s">
        <v>1877</v>
      </c>
      <c r="CW44">
        <v>1</v>
      </c>
      <c r="CX44">
        <v>50</v>
      </c>
    </row>
    <row r="45" spans="1:113">
      <c r="A45" s="50">
        <v>9509</v>
      </c>
      <c r="B45"/>
      <c r="C45"/>
      <c r="H45"/>
      <c r="I45"/>
      <c r="J45"/>
      <c r="U45"/>
      <c r="V45"/>
      <c r="W45"/>
      <c r="AE45"/>
      <c r="AF45"/>
      <c r="AG45"/>
      <c r="AJ45">
        <v>9570</v>
      </c>
      <c r="AK45" s="63" t="s">
        <v>2536</v>
      </c>
      <c r="AL45" s="63" t="s">
        <v>59</v>
      </c>
      <c r="AM45" s="63" t="s">
        <v>184</v>
      </c>
      <c r="AN45" s="63" t="s">
        <v>2785</v>
      </c>
      <c r="AO45">
        <v>1</v>
      </c>
      <c r="AP45">
        <v>30</v>
      </c>
      <c r="AQ45"/>
      <c r="AY45"/>
      <c r="AZ45"/>
      <c r="BA45"/>
      <c r="BI45"/>
      <c r="BJ45"/>
      <c r="BK45"/>
      <c r="BS45"/>
      <c r="BT45"/>
      <c r="BU45"/>
      <c r="BX45">
        <v>201</v>
      </c>
      <c r="BY45" s="63" t="s">
        <v>927</v>
      </c>
      <c r="BZ45" s="63" t="s">
        <v>59</v>
      </c>
      <c r="CA45" s="63" t="s">
        <v>203</v>
      </c>
      <c r="CB45" s="63" t="s">
        <v>1223</v>
      </c>
      <c r="CC45">
        <v>1</v>
      </c>
      <c r="CD45">
        <v>60</v>
      </c>
      <c r="CE45"/>
      <c r="CR45">
        <v>9199</v>
      </c>
      <c r="CS45" s="63" t="s">
        <v>2324</v>
      </c>
      <c r="CT45" s="63" t="s">
        <v>59</v>
      </c>
      <c r="CU45" s="63" t="s">
        <v>177</v>
      </c>
      <c r="CV45" s="63" t="s">
        <v>1093</v>
      </c>
      <c r="CW45">
        <v>1</v>
      </c>
      <c r="CX45">
        <v>52</v>
      </c>
    </row>
    <row r="46" spans="1:113">
      <c r="A46" s="50">
        <v>9199</v>
      </c>
      <c r="B46"/>
      <c r="C46"/>
      <c r="H46"/>
      <c r="I46"/>
      <c r="J46"/>
      <c r="U46"/>
      <c r="V46"/>
      <c r="W46"/>
      <c r="AE46"/>
      <c r="AF46"/>
      <c r="AG46"/>
      <c r="AJ46">
        <v>9571</v>
      </c>
      <c r="AK46" s="63" t="s">
        <v>2668</v>
      </c>
      <c r="AL46" s="63" t="s">
        <v>59</v>
      </c>
      <c r="AM46" s="63" t="s">
        <v>175</v>
      </c>
      <c r="AN46" s="63" t="s">
        <v>956</v>
      </c>
      <c r="AO46">
        <v>1</v>
      </c>
      <c r="AP46">
        <v>20</v>
      </c>
      <c r="AQ46"/>
      <c r="AY46"/>
      <c r="AZ46"/>
      <c r="BA46"/>
      <c r="BI46"/>
      <c r="BJ46"/>
      <c r="BK46"/>
      <c r="BS46"/>
      <c r="BT46"/>
      <c r="BU46"/>
      <c r="BX46">
        <v>201</v>
      </c>
      <c r="BY46" s="63" t="s">
        <v>927</v>
      </c>
      <c r="BZ46" s="63" t="s">
        <v>59</v>
      </c>
      <c r="CA46" s="63" t="s">
        <v>173</v>
      </c>
      <c r="CB46" s="63" t="s">
        <v>1999</v>
      </c>
      <c r="CC46">
        <v>1</v>
      </c>
      <c r="CD46">
        <v>60</v>
      </c>
      <c r="CE46"/>
      <c r="CR46" s="130">
        <v>9199</v>
      </c>
      <c r="CS46" s="130" t="s">
        <v>670</v>
      </c>
      <c r="CT46" s="130" t="s">
        <v>59</v>
      </c>
      <c r="CU46" s="130" t="s">
        <v>177</v>
      </c>
      <c r="CV46" s="130" t="s">
        <v>1894</v>
      </c>
      <c r="CW46" s="130">
        <v>1</v>
      </c>
      <c r="CX46" s="130">
        <v>18</v>
      </c>
    </row>
    <row r="47" spans="1:113">
      <c r="A47" s="90"/>
      <c r="B47"/>
      <c r="C47"/>
      <c r="H47"/>
      <c r="I47"/>
      <c r="J47"/>
      <c r="U47"/>
      <c r="V47"/>
      <c r="W47"/>
      <c r="AE47"/>
      <c r="AF47"/>
      <c r="AG47"/>
      <c r="AO47"/>
      <c r="AP47"/>
      <c r="AQ47"/>
      <c r="AY47"/>
      <c r="AZ47"/>
      <c r="BA47"/>
      <c r="BI47"/>
      <c r="BJ47"/>
      <c r="BK47"/>
      <c r="BS47"/>
      <c r="BT47"/>
      <c r="BU47"/>
      <c r="BX47">
        <v>201</v>
      </c>
      <c r="BY47" s="63" t="s">
        <v>927</v>
      </c>
      <c r="BZ47" s="63" t="s">
        <v>59</v>
      </c>
      <c r="CA47" s="63" t="s">
        <v>173</v>
      </c>
      <c r="CB47" s="63" t="s">
        <v>349</v>
      </c>
      <c r="CC47">
        <v>1</v>
      </c>
      <c r="CD47">
        <v>60</v>
      </c>
      <c r="CE47"/>
      <c r="CR47">
        <v>9199</v>
      </c>
      <c r="CS47" s="63" t="s">
        <v>670</v>
      </c>
      <c r="CT47" s="63" t="s">
        <v>59</v>
      </c>
      <c r="CU47" s="63" t="s">
        <v>177</v>
      </c>
      <c r="CV47" s="63" t="s">
        <v>2732</v>
      </c>
      <c r="CW47">
        <v>1</v>
      </c>
      <c r="CX47">
        <v>28</v>
      </c>
    </row>
    <row r="48" spans="1:113">
      <c r="A48" s="29"/>
      <c r="B48"/>
      <c r="C48"/>
      <c r="H48"/>
      <c r="I48"/>
      <c r="J48"/>
      <c r="U48"/>
      <c r="V48"/>
      <c r="W48"/>
      <c r="AE48"/>
      <c r="AF48"/>
      <c r="AG48"/>
      <c r="AO48"/>
      <c r="AP48"/>
      <c r="AQ48"/>
      <c r="AY48"/>
      <c r="AZ48"/>
      <c r="BA48"/>
      <c r="BI48"/>
      <c r="BJ48"/>
      <c r="BK48"/>
      <c r="BS48"/>
      <c r="BT48"/>
      <c r="BU48"/>
      <c r="BX48">
        <v>201</v>
      </c>
      <c r="BY48" s="63" t="s">
        <v>927</v>
      </c>
      <c r="BZ48" s="63" t="s">
        <v>59</v>
      </c>
      <c r="CA48" s="63" t="s">
        <v>174</v>
      </c>
      <c r="CB48" s="63" t="s">
        <v>2114</v>
      </c>
      <c r="CC48">
        <v>1</v>
      </c>
      <c r="CD48">
        <v>60</v>
      </c>
      <c r="CE48"/>
      <c r="CR48">
        <v>9199</v>
      </c>
      <c r="CS48" s="63" t="s">
        <v>670</v>
      </c>
      <c r="CT48" s="63" t="s">
        <v>59</v>
      </c>
      <c r="CU48" s="63" t="s">
        <v>177</v>
      </c>
      <c r="CV48" s="63" t="s">
        <v>1864</v>
      </c>
      <c r="CW48">
        <v>1</v>
      </c>
      <c r="CX48">
        <v>21</v>
      </c>
    </row>
    <row r="49" spans="1:113">
      <c r="A49" s="49" t="s">
        <v>79</v>
      </c>
      <c r="B49"/>
      <c r="C49"/>
      <c r="H49"/>
      <c r="I49"/>
      <c r="J49"/>
      <c r="U49"/>
      <c r="V49"/>
      <c r="W49"/>
      <c r="AE49"/>
      <c r="AF49"/>
      <c r="AG49"/>
      <c r="AO49"/>
      <c r="AP49"/>
      <c r="AQ49"/>
      <c r="AY49"/>
      <c r="AZ49"/>
      <c r="BA49"/>
      <c r="BI49"/>
      <c r="BJ49"/>
      <c r="BK49"/>
      <c r="BS49"/>
      <c r="BT49"/>
      <c r="BU49"/>
      <c r="BX49">
        <v>201</v>
      </c>
      <c r="BY49" s="63" t="s">
        <v>927</v>
      </c>
      <c r="BZ49" s="63" t="s">
        <v>59</v>
      </c>
      <c r="CA49" s="63" t="s">
        <v>175</v>
      </c>
      <c r="CB49" s="63" t="s">
        <v>1009</v>
      </c>
      <c r="CC49">
        <v>1</v>
      </c>
      <c r="CD49">
        <v>60</v>
      </c>
      <c r="CE49"/>
      <c r="CR49" s="130">
        <v>9199</v>
      </c>
      <c r="CS49" s="130" t="s">
        <v>670</v>
      </c>
      <c r="CT49" s="130" t="s">
        <v>59</v>
      </c>
      <c r="CU49" s="130" t="s">
        <v>177</v>
      </c>
      <c r="CV49" s="130" t="s">
        <v>2207</v>
      </c>
      <c r="CW49" s="130">
        <v>1</v>
      </c>
      <c r="CX49" s="130">
        <v>1</v>
      </c>
    </row>
    <row r="50" spans="1:113">
      <c r="A50" s="50" t="s">
        <v>124</v>
      </c>
      <c r="B50"/>
      <c r="C50"/>
      <c r="H50"/>
      <c r="I50"/>
      <c r="J50"/>
      <c r="U50"/>
      <c r="V50"/>
      <c r="W50"/>
      <c r="AE50"/>
      <c r="AF50"/>
      <c r="AG50"/>
      <c r="AO50"/>
      <c r="AP50"/>
      <c r="AQ50"/>
      <c r="AY50"/>
      <c r="AZ50"/>
      <c r="BA50"/>
      <c r="BI50"/>
      <c r="BJ50"/>
      <c r="BK50"/>
      <c r="BS50"/>
      <c r="BT50"/>
      <c r="BU50"/>
      <c r="BX50">
        <v>201</v>
      </c>
      <c r="BY50" s="63" t="s">
        <v>927</v>
      </c>
      <c r="BZ50" s="63" t="s">
        <v>59</v>
      </c>
      <c r="CA50" s="63" t="s">
        <v>175</v>
      </c>
      <c r="CB50" s="63" t="s">
        <v>854</v>
      </c>
      <c r="CC50">
        <v>1</v>
      </c>
      <c r="CD50">
        <v>60</v>
      </c>
      <c r="CE50"/>
      <c r="CR50" s="130">
        <v>9199</v>
      </c>
      <c r="CS50" s="130" t="s">
        <v>2734</v>
      </c>
      <c r="CT50" s="130" t="s">
        <v>301</v>
      </c>
      <c r="CU50" s="130" t="s">
        <v>177</v>
      </c>
      <c r="CV50" s="130" t="s">
        <v>2735</v>
      </c>
      <c r="CW50" s="130">
        <v>1</v>
      </c>
      <c r="CX50" s="130">
        <v>18</v>
      </c>
    </row>
    <row r="51" spans="1:113">
      <c r="A51" s="50" t="s">
        <v>125</v>
      </c>
      <c r="B51"/>
      <c r="C51"/>
      <c r="H51"/>
      <c r="I51"/>
      <c r="J51"/>
      <c r="U51"/>
      <c r="V51"/>
      <c r="W51"/>
      <c r="AE51"/>
      <c r="AF51"/>
      <c r="AG51"/>
      <c r="AO51"/>
      <c r="AP51"/>
      <c r="AQ51"/>
      <c r="AY51"/>
      <c r="AZ51"/>
      <c r="BA51"/>
      <c r="BI51"/>
      <c r="BJ51"/>
      <c r="BK51"/>
      <c r="BS51"/>
      <c r="BT51"/>
      <c r="BU51"/>
      <c r="BX51">
        <v>201</v>
      </c>
      <c r="BY51" s="63" t="s">
        <v>927</v>
      </c>
      <c r="BZ51" s="63" t="s">
        <v>59</v>
      </c>
      <c r="CA51" s="63" t="s">
        <v>175</v>
      </c>
      <c r="CB51" s="63" t="s">
        <v>1083</v>
      </c>
      <c r="CC51">
        <v>1</v>
      </c>
      <c r="CD51">
        <v>60</v>
      </c>
      <c r="CE51"/>
      <c r="CR51">
        <v>9199</v>
      </c>
      <c r="CS51" s="63" t="s">
        <v>2736</v>
      </c>
      <c r="CT51" s="63" t="s">
        <v>59</v>
      </c>
      <c r="CU51" s="63" t="s">
        <v>177</v>
      </c>
      <c r="CV51" s="63" t="s">
        <v>2737</v>
      </c>
      <c r="CW51">
        <v>1</v>
      </c>
      <c r="CX51">
        <v>48</v>
      </c>
    </row>
    <row r="52" spans="1:113">
      <c r="A52" s="50" t="s">
        <v>126</v>
      </c>
      <c r="B52"/>
      <c r="C52"/>
      <c r="H52"/>
      <c r="I52"/>
      <c r="J52"/>
      <c r="U52"/>
      <c r="V52"/>
      <c r="W52"/>
      <c r="AE52"/>
      <c r="AF52"/>
      <c r="AG52"/>
      <c r="AO52"/>
      <c r="AP52"/>
      <c r="AQ52"/>
      <c r="AY52"/>
      <c r="AZ52"/>
      <c r="BA52"/>
      <c r="BI52"/>
      <c r="BJ52"/>
      <c r="BK52"/>
      <c r="BS52"/>
      <c r="BT52"/>
      <c r="BU52"/>
      <c r="BX52">
        <v>201</v>
      </c>
      <c r="BY52" s="63" t="s">
        <v>927</v>
      </c>
      <c r="BZ52" s="63" t="s">
        <v>59</v>
      </c>
      <c r="CA52" s="63" t="s">
        <v>175</v>
      </c>
      <c r="CB52" s="63" t="s">
        <v>876</v>
      </c>
      <c r="CC52">
        <v>1</v>
      </c>
      <c r="CD52">
        <v>60</v>
      </c>
      <c r="CE52"/>
      <c r="CR52">
        <v>9199</v>
      </c>
      <c r="CS52" s="63" t="s">
        <v>450</v>
      </c>
      <c r="CT52" s="63" t="s">
        <v>59</v>
      </c>
      <c r="CU52" s="63" t="s">
        <v>177</v>
      </c>
      <c r="CV52" s="63" t="s">
        <v>2738</v>
      </c>
      <c r="CW52">
        <v>1</v>
      </c>
      <c r="CX52">
        <v>40</v>
      </c>
    </row>
    <row r="53" spans="1:113">
      <c r="A53" s="50" t="s">
        <v>127</v>
      </c>
      <c r="B53"/>
      <c r="C53"/>
      <c r="H53"/>
      <c r="I53"/>
      <c r="J53"/>
      <c r="U53"/>
      <c r="V53"/>
      <c r="W53"/>
      <c r="AE53"/>
      <c r="AF53"/>
      <c r="AG53"/>
      <c r="AO53"/>
      <c r="AP53"/>
      <c r="AQ53"/>
      <c r="AY53"/>
      <c r="AZ53"/>
      <c r="BA53"/>
      <c r="BI53"/>
      <c r="BJ53"/>
      <c r="BK53"/>
      <c r="BS53"/>
      <c r="BT53"/>
      <c r="BU53"/>
      <c r="BX53">
        <v>201</v>
      </c>
      <c r="BY53" s="63" t="s">
        <v>927</v>
      </c>
      <c r="BZ53" s="63" t="s">
        <v>59</v>
      </c>
      <c r="CA53" s="63" t="s">
        <v>184</v>
      </c>
      <c r="CB53" s="63" t="s">
        <v>1469</v>
      </c>
      <c r="CC53">
        <v>1</v>
      </c>
      <c r="CD53">
        <v>35</v>
      </c>
      <c r="CE53"/>
      <c r="CR53" s="130">
        <v>9199</v>
      </c>
      <c r="CS53" s="130" t="s">
        <v>1888</v>
      </c>
      <c r="CT53" s="130" t="s">
        <v>59</v>
      </c>
      <c r="CU53" s="130" t="s">
        <v>177</v>
      </c>
      <c r="CV53" s="130" t="s">
        <v>2739</v>
      </c>
      <c r="CW53" s="130">
        <v>1</v>
      </c>
      <c r="CX53" s="130">
        <v>13</v>
      </c>
    </row>
    <row r="54" spans="1:113">
      <c r="A54" s="50" t="s">
        <v>128</v>
      </c>
      <c r="B54"/>
      <c r="C54"/>
      <c r="H54"/>
      <c r="I54"/>
      <c r="J54"/>
      <c r="U54"/>
      <c r="V54"/>
      <c r="W54"/>
      <c r="AE54"/>
      <c r="AF54"/>
      <c r="AG54"/>
      <c r="AO54"/>
      <c r="AP54"/>
      <c r="AQ54"/>
      <c r="AY54"/>
      <c r="AZ54"/>
      <c r="BA54"/>
      <c r="BI54"/>
      <c r="BJ54"/>
      <c r="BK54"/>
      <c r="BS54"/>
      <c r="BT54"/>
      <c r="BU54"/>
      <c r="BX54">
        <v>201</v>
      </c>
      <c r="BY54" s="63" t="s">
        <v>928</v>
      </c>
      <c r="BZ54" s="63" t="s">
        <v>59</v>
      </c>
      <c r="CA54" s="63" t="s">
        <v>173</v>
      </c>
      <c r="CB54" s="63" t="s">
        <v>1449</v>
      </c>
      <c r="CC54">
        <v>1</v>
      </c>
      <c r="CD54">
        <v>60</v>
      </c>
      <c r="CE54"/>
      <c r="CR54">
        <v>9199</v>
      </c>
      <c r="CS54" s="63" t="s">
        <v>1888</v>
      </c>
      <c r="CT54" s="63" t="s">
        <v>59</v>
      </c>
      <c r="CU54" s="63" t="s">
        <v>177</v>
      </c>
      <c r="CV54" s="63" t="s">
        <v>1929</v>
      </c>
      <c r="CW54">
        <v>1</v>
      </c>
      <c r="CX54">
        <v>20</v>
      </c>
    </row>
    <row r="55" spans="1:113">
      <c r="A55" s="50" t="s">
        <v>129</v>
      </c>
      <c r="B55"/>
      <c r="C55"/>
      <c r="H55"/>
      <c r="I55"/>
      <c r="J55"/>
      <c r="U55"/>
      <c r="V55"/>
      <c r="W55"/>
      <c r="AE55"/>
      <c r="AF55"/>
      <c r="AG55"/>
      <c r="AO55"/>
      <c r="AP55"/>
      <c r="AQ55"/>
      <c r="AY55"/>
      <c r="AZ55"/>
      <c r="BA55"/>
      <c r="BI55"/>
      <c r="BJ55"/>
      <c r="BK55"/>
      <c r="BS55"/>
      <c r="BT55"/>
      <c r="BU55"/>
      <c r="BX55">
        <v>201</v>
      </c>
      <c r="BY55" s="63" t="s">
        <v>928</v>
      </c>
      <c r="BZ55" s="63" t="s">
        <v>59</v>
      </c>
      <c r="CA55" s="63" t="s">
        <v>175</v>
      </c>
      <c r="CB55" s="63" t="s">
        <v>2316</v>
      </c>
      <c r="CC55">
        <v>1</v>
      </c>
      <c r="CD55">
        <v>60</v>
      </c>
      <c r="CE55"/>
      <c r="CR55" s="130">
        <v>9199</v>
      </c>
      <c r="CS55" s="130" t="s">
        <v>1888</v>
      </c>
      <c r="CT55" s="130" t="s">
        <v>59</v>
      </c>
      <c r="CU55" s="130" t="s">
        <v>177</v>
      </c>
      <c r="CV55" s="130" t="s">
        <v>2244</v>
      </c>
      <c r="CW55" s="130">
        <v>1</v>
      </c>
      <c r="CX55" s="130">
        <v>1</v>
      </c>
    </row>
    <row r="56" spans="1:113" s="63" customFormat="1">
      <c r="A56" s="50" t="s">
        <v>130</v>
      </c>
      <c r="B56"/>
      <c r="C56"/>
      <c r="D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v>201</v>
      </c>
      <c r="BY56" s="63" t="s">
        <v>928</v>
      </c>
      <c r="BZ56" s="63" t="s">
        <v>59</v>
      </c>
      <c r="CA56" s="63" t="s">
        <v>175</v>
      </c>
      <c r="CB56" s="63" t="s">
        <v>1237</v>
      </c>
      <c r="CC56">
        <v>1</v>
      </c>
      <c r="CD56">
        <v>60</v>
      </c>
      <c r="CE56"/>
      <c r="CF56"/>
      <c r="CG56"/>
      <c r="CH56"/>
      <c r="CI56"/>
      <c r="CJ56"/>
      <c r="CK56"/>
      <c r="CL56"/>
      <c r="CM56"/>
      <c r="CN56"/>
      <c r="CO56"/>
      <c r="CP56"/>
      <c r="CQ56"/>
      <c r="CR56" s="130">
        <v>9199</v>
      </c>
      <c r="CS56" s="130" t="s">
        <v>507</v>
      </c>
      <c r="CT56" s="130" t="s">
        <v>59</v>
      </c>
      <c r="CU56" s="130" t="s">
        <v>177</v>
      </c>
      <c r="CV56" s="130" t="s">
        <v>1367</v>
      </c>
      <c r="CW56" s="130">
        <v>1</v>
      </c>
      <c r="CX56" s="130">
        <v>17</v>
      </c>
      <c r="CY56"/>
      <c r="CZ56"/>
      <c r="DA56"/>
      <c r="DB56"/>
      <c r="DC56"/>
      <c r="DD56"/>
      <c r="DE56"/>
      <c r="DF56"/>
      <c r="DG56"/>
      <c r="DH56"/>
      <c r="DI56"/>
    </row>
    <row r="57" spans="1:113">
      <c r="A57" s="90"/>
      <c r="B57"/>
      <c r="C57"/>
      <c r="H57"/>
      <c r="I57"/>
      <c r="J57"/>
      <c r="U57"/>
      <c r="V57"/>
      <c r="W57"/>
      <c r="AE57"/>
      <c r="AF57"/>
      <c r="AG57"/>
      <c r="AO57"/>
      <c r="AP57"/>
      <c r="AQ57"/>
      <c r="AY57"/>
      <c r="AZ57"/>
      <c r="BA57"/>
      <c r="BI57"/>
      <c r="BJ57"/>
      <c r="BK57"/>
      <c r="BS57"/>
      <c r="BT57"/>
      <c r="BU57"/>
      <c r="BX57">
        <v>201</v>
      </c>
      <c r="BY57" s="63" t="s">
        <v>928</v>
      </c>
      <c r="BZ57" s="63" t="s">
        <v>59</v>
      </c>
      <c r="CA57" s="63" t="s">
        <v>175</v>
      </c>
      <c r="CB57" s="63" t="s">
        <v>1000</v>
      </c>
      <c r="CC57">
        <v>1</v>
      </c>
      <c r="CD57">
        <v>60</v>
      </c>
      <c r="CE57"/>
      <c r="CR57">
        <v>9199</v>
      </c>
      <c r="CS57" s="63" t="s">
        <v>486</v>
      </c>
      <c r="CT57" s="63" t="s">
        <v>59</v>
      </c>
      <c r="CU57" s="63" t="s">
        <v>177</v>
      </c>
      <c r="CV57" s="63" t="s">
        <v>1865</v>
      </c>
      <c r="CW57">
        <v>1</v>
      </c>
      <c r="CX57">
        <v>53</v>
      </c>
    </row>
    <row r="58" spans="1:113">
      <c r="A58" s="23"/>
      <c r="B58"/>
      <c r="C58"/>
      <c r="H58"/>
      <c r="I58"/>
      <c r="J58"/>
      <c r="U58"/>
      <c r="V58"/>
      <c r="W58"/>
      <c r="AE58"/>
      <c r="AF58"/>
      <c r="AG58"/>
      <c r="AO58"/>
      <c r="AP58"/>
      <c r="AQ58"/>
      <c r="AY58"/>
      <c r="AZ58"/>
      <c r="BA58"/>
      <c r="BI58"/>
      <c r="BJ58"/>
      <c r="BK58"/>
      <c r="BS58"/>
      <c r="BT58"/>
      <c r="BU58"/>
      <c r="BX58">
        <v>201</v>
      </c>
      <c r="BY58" s="63" t="s">
        <v>928</v>
      </c>
      <c r="BZ58" s="63" t="s">
        <v>59</v>
      </c>
      <c r="CA58" s="63" t="s">
        <v>175</v>
      </c>
      <c r="CB58" s="63" t="s">
        <v>1079</v>
      </c>
      <c r="CC58">
        <v>1</v>
      </c>
      <c r="CD58">
        <v>60</v>
      </c>
      <c r="CE58"/>
      <c r="CR58">
        <v>9199</v>
      </c>
      <c r="CS58" s="63" t="s">
        <v>869</v>
      </c>
      <c r="CT58" s="63" t="s">
        <v>59</v>
      </c>
      <c r="CU58" s="63" t="s">
        <v>311</v>
      </c>
      <c r="CV58" s="63" t="s">
        <v>964</v>
      </c>
      <c r="CW58">
        <v>1</v>
      </c>
      <c r="CX58">
        <v>56</v>
      </c>
    </row>
    <row r="59" spans="1:113">
      <c r="A59" s="64" t="s">
        <v>80</v>
      </c>
      <c r="B59"/>
      <c r="C59"/>
      <c r="H59"/>
      <c r="I59"/>
      <c r="J59"/>
      <c r="U59"/>
      <c r="V59"/>
      <c r="W59"/>
      <c r="AE59"/>
      <c r="AF59"/>
      <c r="AG59"/>
      <c r="AO59"/>
      <c r="AP59"/>
      <c r="AQ59"/>
      <c r="AY59"/>
      <c r="AZ59"/>
      <c r="BA59"/>
      <c r="BI59"/>
      <c r="BJ59"/>
      <c r="BK59"/>
      <c r="BS59"/>
      <c r="BT59"/>
      <c r="BU59"/>
      <c r="BX59">
        <v>201</v>
      </c>
      <c r="BY59" s="63" t="s">
        <v>2317</v>
      </c>
      <c r="BZ59" s="63" t="s">
        <v>59</v>
      </c>
      <c r="CA59" s="63" t="s">
        <v>175</v>
      </c>
      <c r="CB59" s="63" t="s">
        <v>1661</v>
      </c>
      <c r="CC59">
        <v>1</v>
      </c>
      <c r="CD59">
        <v>26</v>
      </c>
      <c r="CE59"/>
      <c r="CR59" s="130">
        <v>9199</v>
      </c>
      <c r="CS59" s="130" t="s">
        <v>2741</v>
      </c>
      <c r="CT59" s="130" t="s">
        <v>59</v>
      </c>
      <c r="CU59" s="130" t="s">
        <v>177</v>
      </c>
      <c r="CV59" s="130" t="s">
        <v>2742</v>
      </c>
      <c r="CW59" s="130">
        <v>1</v>
      </c>
      <c r="CX59" s="130">
        <v>9</v>
      </c>
    </row>
    <row r="60" spans="1:113">
      <c r="A60" s="50" t="s">
        <v>122</v>
      </c>
      <c r="B60"/>
      <c r="C60"/>
      <c r="H60"/>
      <c r="I60"/>
      <c r="J60"/>
      <c r="U60"/>
      <c r="V60"/>
      <c r="W60"/>
      <c r="AE60"/>
      <c r="AF60"/>
      <c r="AG60"/>
      <c r="AO60"/>
      <c r="AP60"/>
      <c r="AQ60"/>
      <c r="AY60"/>
      <c r="AZ60"/>
      <c r="BA60"/>
      <c r="BI60"/>
      <c r="BJ60"/>
      <c r="BK60"/>
      <c r="BS60"/>
      <c r="BT60"/>
      <c r="BU60"/>
      <c r="BX60">
        <v>201</v>
      </c>
      <c r="BY60" s="63" t="s">
        <v>1787</v>
      </c>
      <c r="BZ60" s="63" t="s">
        <v>59</v>
      </c>
      <c r="CA60" s="63" t="s">
        <v>172</v>
      </c>
      <c r="CB60" s="63" t="s">
        <v>2138</v>
      </c>
      <c r="CC60">
        <v>1</v>
      </c>
      <c r="CD60">
        <v>60</v>
      </c>
      <c r="CE60"/>
      <c r="CR60">
        <v>9199</v>
      </c>
      <c r="CS60" s="63" t="s">
        <v>2741</v>
      </c>
      <c r="CT60" s="63" t="s">
        <v>59</v>
      </c>
      <c r="CU60" s="63" t="s">
        <v>177</v>
      </c>
      <c r="CV60" s="63" t="s">
        <v>2743</v>
      </c>
      <c r="CW60">
        <v>1</v>
      </c>
      <c r="CX60">
        <v>41</v>
      </c>
    </row>
    <row r="61" spans="1:113">
      <c r="A61" s="50" t="s">
        <v>123</v>
      </c>
      <c r="B61"/>
      <c r="C61"/>
      <c r="D61" s="93"/>
      <c r="H61"/>
      <c r="I61"/>
      <c r="J61"/>
      <c r="U61"/>
      <c r="V61"/>
      <c r="W61"/>
      <c r="AE61"/>
      <c r="AF61"/>
      <c r="AG61"/>
      <c r="AO61"/>
      <c r="AP61"/>
      <c r="AQ61"/>
      <c r="AY61"/>
      <c r="AZ61"/>
      <c r="BA61"/>
      <c r="BI61"/>
      <c r="BJ61"/>
      <c r="BK61"/>
      <c r="BS61"/>
      <c r="BT61"/>
      <c r="BU61"/>
      <c r="BX61">
        <v>201</v>
      </c>
      <c r="BY61" s="63" t="s">
        <v>1787</v>
      </c>
      <c r="BZ61" s="63" t="s">
        <v>59</v>
      </c>
      <c r="CA61" s="63" t="s">
        <v>203</v>
      </c>
      <c r="CB61" s="63" t="s">
        <v>1844</v>
      </c>
      <c r="CC61">
        <v>1</v>
      </c>
      <c r="CD61">
        <v>60</v>
      </c>
      <c r="CE61"/>
      <c r="CR61">
        <v>9199</v>
      </c>
      <c r="CS61" s="63" t="s">
        <v>2326</v>
      </c>
      <c r="CT61" s="63" t="s">
        <v>59</v>
      </c>
      <c r="CU61" s="63" t="s">
        <v>177</v>
      </c>
      <c r="CV61" s="63" t="s">
        <v>2744</v>
      </c>
      <c r="CW61">
        <v>1</v>
      </c>
      <c r="CX61">
        <v>24</v>
      </c>
    </row>
    <row r="62" spans="1:113">
      <c r="B62"/>
      <c r="C62"/>
      <c r="H62"/>
      <c r="I62"/>
      <c r="J62"/>
      <c r="U62"/>
      <c r="V62"/>
      <c r="W62"/>
      <c r="AE62"/>
      <c r="AF62"/>
      <c r="AG62"/>
      <c r="AO62"/>
      <c r="AP62"/>
      <c r="AQ62"/>
      <c r="AY62"/>
      <c r="AZ62"/>
      <c r="BA62"/>
      <c r="BI62"/>
      <c r="BJ62"/>
      <c r="BK62"/>
      <c r="BS62"/>
      <c r="BT62"/>
      <c r="BU62"/>
      <c r="BX62">
        <v>201</v>
      </c>
      <c r="BY62" s="63" t="s">
        <v>378</v>
      </c>
      <c r="BZ62" s="63" t="s">
        <v>59</v>
      </c>
      <c r="CA62" s="63" t="s">
        <v>184</v>
      </c>
      <c r="CB62" s="63" t="s">
        <v>1804</v>
      </c>
      <c r="CC62">
        <v>1</v>
      </c>
      <c r="CD62">
        <v>20</v>
      </c>
      <c r="CE62"/>
      <c r="CR62">
        <v>9199</v>
      </c>
      <c r="CS62" s="63" t="s">
        <v>2326</v>
      </c>
      <c r="CT62" s="63" t="s">
        <v>59</v>
      </c>
      <c r="CU62" s="63" t="s">
        <v>177</v>
      </c>
      <c r="CV62" s="63" t="s">
        <v>2745</v>
      </c>
      <c r="CW62">
        <v>1</v>
      </c>
      <c r="CX62">
        <v>38</v>
      </c>
    </row>
    <row r="63" spans="1:113">
      <c r="B63"/>
      <c r="C63"/>
      <c r="H63"/>
      <c r="I63"/>
      <c r="J63"/>
      <c r="U63"/>
      <c r="V63"/>
      <c r="W63"/>
      <c r="AE63"/>
      <c r="AF63"/>
      <c r="AG63"/>
      <c r="AO63"/>
      <c r="AP63"/>
      <c r="AQ63"/>
      <c r="AY63"/>
      <c r="AZ63"/>
      <c r="BA63"/>
      <c r="BI63"/>
      <c r="BJ63"/>
      <c r="BK63"/>
      <c r="BS63"/>
      <c r="BT63"/>
      <c r="BU63"/>
      <c r="BX63">
        <v>201</v>
      </c>
      <c r="BY63" s="63" t="s">
        <v>1719</v>
      </c>
      <c r="BZ63" s="63" t="s">
        <v>59</v>
      </c>
      <c r="CA63" s="63" t="s">
        <v>184</v>
      </c>
      <c r="CB63" s="63" t="s">
        <v>2318</v>
      </c>
      <c r="CC63">
        <v>1</v>
      </c>
      <c r="CD63">
        <v>60</v>
      </c>
      <c r="CE63"/>
      <c r="CR63">
        <v>9199</v>
      </c>
      <c r="CS63" s="63" t="s">
        <v>860</v>
      </c>
      <c r="CT63" s="63" t="s">
        <v>307</v>
      </c>
      <c r="CU63" s="63" t="s">
        <v>311</v>
      </c>
      <c r="CV63" s="63" t="s">
        <v>878</v>
      </c>
      <c r="CW63">
        <v>1</v>
      </c>
      <c r="CX63">
        <v>41</v>
      </c>
    </row>
    <row r="64" spans="1:113">
      <c r="A64" s="49" t="s">
        <v>143</v>
      </c>
      <c r="B64"/>
      <c r="C64"/>
      <c r="H64"/>
      <c r="I64"/>
      <c r="J64"/>
      <c r="U64"/>
      <c r="V64"/>
      <c r="W64"/>
      <c r="AE64"/>
      <c r="AF64"/>
      <c r="AG64"/>
      <c r="AO64"/>
      <c r="AP64"/>
      <c r="AQ64"/>
      <c r="AY64"/>
      <c r="AZ64"/>
      <c r="BA64"/>
      <c r="BI64"/>
      <c r="BJ64"/>
      <c r="BK64"/>
      <c r="BS64"/>
      <c r="BT64"/>
      <c r="BU64"/>
      <c r="BX64">
        <v>201</v>
      </c>
      <c r="BY64" s="63" t="s">
        <v>1719</v>
      </c>
      <c r="BZ64" s="63" t="s">
        <v>59</v>
      </c>
      <c r="CA64" s="63" t="s">
        <v>184</v>
      </c>
      <c r="CB64" s="63" t="s">
        <v>1087</v>
      </c>
      <c r="CC64">
        <v>1</v>
      </c>
      <c r="CD64">
        <v>33</v>
      </c>
      <c r="CE64"/>
      <c r="CR64">
        <v>9199</v>
      </c>
      <c r="CS64" s="63" t="s">
        <v>860</v>
      </c>
      <c r="CT64" s="63" t="s">
        <v>59</v>
      </c>
      <c r="CU64" s="63" t="s">
        <v>177</v>
      </c>
      <c r="CV64" s="63" t="s">
        <v>2746</v>
      </c>
      <c r="CW64">
        <v>1</v>
      </c>
      <c r="CX64">
        <v>21</v>
      </c>
    </row>
    <row r="65" spans="2:102">
      <c r="B65"/>
      <c r="C65"/>
      <c r="H65"/>
      <c r="I65"/>
      <c r="J65"/>
      <c r="U65"/>
      <c r="V65"/>
      <c r="W65"/>
      <c r="AE65"/>
      <c r="AF65"/>
      <c r="AG65"/>
      <c r="AO65"/>
      <c r="AP65"/>
      <c r="AQ65"/>
      <c r="AY65"/>
      <c r="AZ65"/>
      <c r="BA65"/>
      <c r="BI65"/>
      <c r="BJ65"/>
      <c r="BK65"/>
      <c r="BS65"/>
      <c r="BT65"/>
      <c r="BU65"/>
      <c r="BX65">
        <v>201</v>
      </c>
      <c r="BY65" s="63" t="s">
        <v>2319</v>
      </c>
      <c r="BZ65" s="63" t="s">
        <v>59</v>
      </c>
      <c r="CA65" s="63" t="s">
        <v>184</v>
      </c>
      <c r="CB65" s="63" t="s">
        <v>2135</v>
      </c>
      <c r="CC65">
        <v>1</v>
      </c>
      <c r="CD65">
        <v>60</v>
      </c>
      <c r="CE65"/>
      <c r="CR65">
        <v>9199</v>
      </c>
      <c r="CS65" s="63" t="s">
        <v>1868</v>
      </c>
      <c r="CT65" s="63" t="s">
        <v>301</v>
      </c>
      <c r="CU65" s="63" t="s">
        <v>177</v>
      </c>
      <c r="CV65" s="63" t="s">
        <v>1869</v>
      </c>
      <c r="CW65">
        <v>1</v>
      </c>
      <c r="CX65">
        <v>37</v>
      </c>
    </row>
    <row r="66" spans="2:102">
      <c r="H66"/>
      <c r="I66"/>
      <c r="J66"/>
      <c r="U66"/>
      <c r="V66"/>
      <c r="W66"/>
      <c r="AE66"/>
      <c r="AF66"/>
      <c r="AG66"/>
      <c r="AO66"/>
      <c r="AP66"/>
      <c r="AQ66"/>
      <c r="AY66"/>
      <c r="AZ66"/>
      <c r="BA66"/>
      <c r="BI66"/>
      <c r="BJ66"/>
      <c r="BK66"/>
      <c r="BS66"/>
      <c r="BT66"/>
      <c r="BU66"/>
      <c r="BX66">
        <v>201</v>
      </c>
      <c r="BY66" s="63" t="s">
        <v>2319</v>
      </c>
      <c r="BZ66" s="63" t="s">
        <v>59</v>
      </c>
      <c r="CA66" s="63" t="s">
        <v>184</v>
      </c>
      <c r="CB66" s="63" t="s">
        <v>2120</v>
      </c>
      <c r="CC66">
        <v>1</v>
      </c>
      <c r="CD66">
        <v>60</v>
      </c>
      <c r="CE66"/>
      <c r="CR66">
        <v>9500</v>
      </c>
      <c r="CS66" s="63" t="s">
        <v>350</v>
      </c>
      <c r="CT66" s="63" t="s">
        <v>59</v>
      </c>
      <c r="CU66" s="63" t="s">
        <v>177</v>
      </c>
      <c r="CV66" s="63" t="s">
        <v>2747</v>
      </c>
      <c r="CW66">
        <v>1</v>
      </c>
      <c r="CX66">
        <v>24</v>
      </c>
    </row>
    <row r="67" spans="2:102">
      <c r="H67"/>
      <c r="I67"/>
      <c r="J67"/>
      <c r="U67"/>
      <c r="V67"/>
      <c r="W67"/>
      <c r="AE67"/>
      <c r="AF67"/>
      <c r="AG67"/>
      <c r="AO67"/>
      <c r="AP67"/>
      <c r="AQ67"/>
      <c r="AY67"/>
      <c r="AZ67"/>
      <c r="BA67"/>
      <c r="BI67"/>
      <c r="BJ67"/>
      <c r="BK67"/>
      <c r="BS67"/>
      <c r="BT67"/>
      <c r="BU67"/>
      <c r="BX67" s="130">
        <v>201</v>
      </c>
      <c r="BY67" s="130" t="s">
        <v>503</v>
      </c>
      <c r="BZ67" s="130" t="s">
        <v>305</v>
      </c>
      <c r="CA67" s="130" t="s">
        <v>175</v>
      </c>
      <c r="CB67" s="130" t="s">
        <v>1471</v>
      </c>
      <c r="CC67" s="130">
        <v>1</v>
      </c>
      <c r="CD67" s="130">
        <v>2</v>
      </c>
      <c r="CE67"/>
      <c r="CR67">
        <v>9500</v>
      </c>
      <c r="CS67" s="63" t="s">
        <v>2749</v>
      </c>
      <c r="CT67" s="63" t="s">
        <v>285</v>
      </c>
      <c r="CU67" s="63" t="s">
        <v>172</v>
      </c>
      <c r="CV67" s="63" t="s">
        <v>1673</v>
      </c>
      <c r="CW67">
        <v>1</v>
      </c>
      <c r="CX67">
        <v>36</v>
      </c>
    </row>
    <row r="68" spans="2:102">
      <c r="H68"/>
      <c r="I68"/>
      <c r="J68"/>
      <c r="U68"/>
      <c r="V68"/>
      <c r="W68"/>
      <c r="AE68"/>
      <c r="AF68"/>
      <c r="AG68"/>
      <c r="AO68"/>
      <c r="AP68"/>
      <c r="AQ68"/>
      <c r="AY68"/>
      <c r="AZ68"/>
      <c r="BA68"/>
      <c r="BI68"/>
      <c r="BJ68"/>
      <c r="BK68"/>
      <c r="BS68"/>
      <c r="BT68"/>
      <c r="BU68"/>
      <c r="BX68" s="130">
        <v>201</v>
      </c>
      <c r="BY68" s="130" t="s">
        <v>2321</v>
      </c>
      <c r="BZ68" s="130" t="s">
        <v>285</v>
      </c>
      <c r="CA68" s="130" t="s">
        <v>184</v>
      </c>
      <c r="CB68" s="130" t="s">
        <v>2322</v>
      </c>
      <c r="CC68" s="130">
        <v>1</v>
      </c>
      <c r="CD68" s="130">
        <v>10</v>
      </c>
      <c r="CE68"/>
      <c r="CR68" s="130">
        <v>9500</v>
      </c>
      <c r="CS68" s="130" t="s">
        <v>2750</v>
      </c>
      <c r="CT68" s="130" t="s">
        <v>285</v>
      </c>
      <c r="CU68" s="130" t="s">
        <v>254</v>
      </c>
      <c r="CV68" s="130" t="s">
        <v>1084</v>
      </c>
      <c r="CW68" s="130">
        <v>1</v>
      </c>
      <c r="CX68" s="130">
        <v>5</v>
      </c>
    </row>
    <row r="69" spans="2:102">
      <c r="H69"/>
      <c r="I69"/>
      <c r="J69"/>
      <c r="U69"/>
      <c r="V69"/>
      <c r="W69"/>
      <c r="AE69"/>
      <c r="AF69"/>
      <c r="AG69"/>
      <c r="AO69"/>
      <c r="AP69"/>
      <c r="AQ69"/>
      <c r="AY69"/>
      <c r="AZ69"/>
      <c r="BA69"/>
      <c r="BI69"/>
      <c r="BJ69"/>
      <c r="BK69"/>
      <c r="BS69"/>
      <c r="BT69"/>
      <c r="BU69"/>
      <c r="BX69" s="130">
        <v>201</v>
      </c>
      <c r="BY69" s="130" t="s">
        <v>1118</v>
      </c>
      <c r="BZ69" s="130" t="s">
        <v>269</v>
      </c>
      <c r="CA69" s="130" t="s">
        <v>184</v>
      </c>
      <c r="CB69" s="130" t="s">
        <v>2323</v>
      </c>
      <c r="CC69" s="130">
        <v>1</v>
      </c>
      <c r="CD69" s="130">
        <v>4</v>
      </c>
      <c r="CE69"/>
      <c r="CR69">
        <v>9500</v>
      </c>
      <c r="CS69" s="63" t="s">
        <v>670</v>
      </c>
      <c r="CT69" s="63" t="s">
        <v>59</v>
      </c>
      <c r="CU69" s="63" t="s">
        <v>176</v>
      </c>
      <c r="CV69" s="63" t="s">
        <v>1117</v>
      </c>
      <c r="CW69">
        <v>1</v>
      </c>
      <c r="CX69">
        <v>50</v>
      </c>
    </row>
    <row r="70" spans="2:102">
      <c r="H70"/>
      <c r="I70"/>
      <c r="J70"/>
      <c r="U70"/>
      <c r="V70"/>
      <c r="W70"/>
      <c r="AE70"/>
      <c r="AF70"/>
      <c r="AG70"/>
      <c r="AO70"/>
      <c r="AP70"/>
      <c r="AQ70"/>
      <c r="AY70"/>
      <c r="AZ70"/>
      <c r="BA70"/>
      <c r="BI70"/>
      <c r="BJ70"/>
      <c r="BK70"/>
      <c r="BS70"/>
      <c r="BT70"/>
      <c r="BU70"/>
      <c r="BX70">
        <v>201</v>
      </c>
      <c r="BY70" s="63" t="s">
        <v>420</v>
      </c>
      <c r="BZ70" s="63" t="s">
        <v>59</v>
      </c>
      <c r="CA70" s="63" t="s">
        <v>175</v>
      </c>
      <c r="CB70" s="63" t="s">
        <v>2042</v>
      </c>
      <c r="CC70">
        <v>1</v>
      </c>
      <c r="CD70">
        <v>60</v>
      </c>
      <c r="CE70"/>
      <c r="CR70">
        <v>9500</v>
      </c>
      <c r="CS70" s="63" t="s">
        <v>2752</v>
      </c>
      <c r="CT70" s="63" t="s">
        <v>285</v>
      </c>
      <c r="CU70" s="63" t="s">
        <v>172</v>
      </c>
      <c r="CV70" s="63" t="s">
        <v>2753</v>
      </c>
      <c r="CW70">
        <v>1</v>
      </c>
      <c r="CX70">
        <v>26</v>
      </c>
    </row>
    <row r="71" spans="2:102">
      <c r="H71"/>
      <c r="I71"/>
      <c r="J71"/>
      <c r="U71"/>
      <c r="V71"/>
      <c r="W71"/>
      <c r="AE71"/>
      <c r="AF71"/>
      <c r="AG71"/>
      <c r="AO71"/>
      <c r="AP71"/>
      <c r="AQ71"/>
      <c r="AY71"/>
      <c r="AZ71"/>
      <c r="BA71"/>
      <c r="BI71"/>
      <c r="BJ71"/>
      <c r="BK71"/>
      <c r="BS71"/>
      <c r="BT71"/>
      <c r="BU71"/>
      <c r="BX71">
        <v>201</v>
      </c>
      <c r="BY71" s="63" t="s">
        <v>1790</v>
      </c>
      <c r="BZ71" s="63" t="s">
        <v>59</v>
      </c>
      <c r="CA71" s="63" t="s">
        <v>184</v>
      </c>
      <c r="CB71" s="63" t="s">
        <v>1462</v>
      </c>
      <c r="CC71">
        <v>1</v>
      </c>
      <c r="CD71">
        <v>60</v>
      </c>
      <c r="CE71"/>
      <c r="CR71">
        <v>9507</v>
      </c>
      <c r="CS71" s="63" t="s">
        <v>1101</v>
      </c>
      <c r="CT71" s="63" t="s">
        <v>59</v>
      </c>
      <c r="CU71" s="63" t="s">
        <v>504</v>
      </c>
      <c r="CV71" s="63" t="s">
        <v>1064</v>
      </c>
      <c r="CW71">
        <v>1</v>
      </c>
      <c r="CX71">
        <v>53</v>
      </c>
    </row>
    <row r="72" spans="2:102">
      <c r="H72"/>
      <c r="I72"/>
      <c r="J72"/>
      <c r="U72"/>
      <c r="V72"/>
      <c r="W72"/>
      <c r="AE72"/>
      <c r="AF72"/>
      <c r="AG72"/>
      <c r="AO72"/>
      <c r="AP72"/>
      <c r="AQ72"/>
      <c r="AY72"/>
      <c r="AZ72"/>
      <c r="BA72"/>
      <c r="BI72"/>
      <c r="BJ72"/>
      <c r="BK72"/>
      <c r="BS72"/>
      <c r="BT72"/>
      <c r="BU72"/>
      <c r="BX72">
        <v>201</v>
      </c>
      <c r="BY72" s="63" t="s">
        <v>1790</v>
      </c>
      <c r="BZ72" s="63" t="s">
        <v>59</v>
      </c>
      <c r="CA72" s="63" t="s">
        <v>184</v>
      </c>
      <c r="CB72" s="63" t="s">
        <v>2020</v>
      </c>
      <c r="CC72">
        <v>1</v>
      </c>
      <c r="CD72">
        <v>26</v>
      </c>
      <c r="CE72"/>
      <c r="CR72" s="130">
        <v>9507</v>
      </c>
      <c r="CS72" s="130" t="s">
        <v>894</v>
      </c>
      <c r="CT72" s="130" t="s">
        <v>59</v>
      </c>
      <c r="CU72" s="130" t="s">
        <v>172</v>
      </c>
      <c r="CV72" s="130" t="s">
        <v>1150</v>
      </c>
      <c r="CW72" s="130">
        <v>1</v>
      </c>
      <c r="CX72" s="130">
        <v>7</v>
      </c>
    </row>
    <row r="73" spans="2:102">
      <c r="H73"/>
      <c r="I73"/>
      <c r="J73"/>
      <c r="U73"/>
      <c r="V73"/>
      <c r="W73"/>
      <c r="AE73"/>
      <c r="AF73"/>
      <c r="AG73"/>
      <c r="AO73"/>
      <c r="AP73"/>
      <c r="AQ73"/>
      <c r="AY73"/>
      <c r="AZ73"/>
      <c r="BA73"/>
      <c r="BI73"/>
      <c r="BJ73"/>
      <c r="BK73"/>
      <c r="BS73"/>
      <c r="BT73"/>
      <c r="BU73"/>
      <c r="BX73">
        <v>201</v>
      </c>
      <c r="BY73" s="63" t="s">
        <v>920</v>
      </c>
      <c r="BZ73" s="63" t="s">
        <v>59</v>
      </c>
      <c r="CA73" s="63" t="s">
        <v>175</v>
      </c>
      <c r="CB73" s="63" t="s">
        <v>399</v>
      </c>
      <c r="CC73">
        <v>1</v>
      </c>
      <c r="CD73">
        <v>25</v>
      </c>
      <c r="CE73"/>
      <c r="CR73">
        <v>9507</v>
      </c>
      <c r="CS73" s="63" t="s">
        <v>469</v>
      </c>
      <c r="CT73" s="63" t="s">
        <v>59</v>
      </c>
      <c r="CU73" s="63" t="s">
        <v>459</v>
      </c>
      <c r="CV73" s="63" t="s">
        <v>886</v>
      </c>
      <c r="CW73">
        <v>1</v>
      </c>
      <c r="CX73">
        <v>42</v>
      </c>
    </row>
    <row r="74" spans="2:102">
      <c r="H74"/>
      <c r="I74"/>
      <c r="J74"/>
      <c r="U74"/>
      <c r="V74"/>
      <c r="W74"/>
      <c r="AE74"/>
      <c r="AF74"/>
      <c r="AG74"/>
      <c r="AO74"/>
      <c r="AP74"/>
      <c r="AQ74"/>
      <c r="AY74"/>
      <c r="AZ74"/>
      <c r="BA74"/>
      <c r="BI74"/>
      <c r="BJ74"/>
      <c r="BK74"/>
      <c r="BS74"/>
      <c r="BT74"/>
      <c r="BU74"/>
      <c r="BX74" s="130">
        <v>201</v>
      </c>
      <c r="BY74" s="130" t="s">
        <v>1824</v>
      </c>
      <c r="BZ74" s="130" t="s">
        <v>59</v>
      </c>
      <c r="CA74" s="130" t="s">
        <v>174</v>
      </c>
      <c r="CB74" s="130" t="s">
        <v>1503</v>
      </c>
      <c r="CC74" s="130">
        <v>1</v>
      </c>
      <c r="CD74" s="130">
        <v>17</v>
      </c>
      <c r="CE74"/>
      <c r="CR74" s="130">
        <v>9509</v>
      </c>
      <c r="CS74" s="130" t="s">
        <v>469</v>
      </c>
      <c r="CT74" s="130" t="s">
        <v>59</v>
      </c>
      <c r="CU74" s="130" t="s">
        <v>172</v>
      </c>
      <c r="CV74" s="130" t="s">
        <v>1036</v>
      </c>
      <c r="CW74" s="130">
        <v>1</v>
      </c>
      <c r="CX74" s="130">
        <v>19</v>
      </c>
    </row>
    <row r="75" spans="2:102">
      <c r="H75"/>
      <c r="I75"/>
      <c r="J75"/>
      <c r="U75"/>
      <c r="V75"/>
      <c r="W75"/>
      <c r="AE75"/>
      <c r="AF75"/>
      <c r="AG75"/>
      <c r="AO75"/>
      <c r="AP75"/>
      <c r="AQ75"/>
      <c r="AY75"/>
      <c r="AZ75"/>
      <c r="BA75"/>
      <c r="BI75"/>
      <c r="BJ75"/>
      <c r="BK75"/>
      <c r="BS75"/>
      <c r="BT75"/>
      <c r="BU75"/>
      <c r="BX75">
        <v>201</v>
      </c>
      <c r="BY75" s="63" t="s">
        <v>2324</v>
      </c>
      <c r="BZ75" s="63" t="s">
        <v>59</v>
      </c>
      <c r="CA75" s="63" t="s">
        <v>184</v>
      </c>
      <c r="CB75" s="63" t="s">
        <v>1950</v>
      </c>
      <c r="CC75">
        <v>1</v>
      </c>
      <c r="CD75">
        <v>60</v>
      </c>
      <c r="CE75"/>
      <c r="CR75">
        <v>9509</v>
      </c>
      <c r="CS75" s="63" t="s">
        <v>501</v>
      </c>
      <c r="CT75" s="63" t="s">
        <v>307</v>
      </c>
      <c r="CU75" s="63" t="s">
        <v>174</v>
      </c>
      <c r="CV75" s="63" t="s">
        <v>1992</v>
      </c>
      <c r="CW75">
        <v>1</v>
      </c>
      <c r="CX75">
        <v>47</v>
      </c>
    </row>
    <row r="76" spans="2:102">
      <c r="H76"/>
      <c r="I76"/>
      <c r="J76"/>
      <c r="U76"/>
      <c r="V76"/>
      <c r="W76"/>
      <c r="AE76"/>
      <c r="AF76"/>
      <c r="AG76"/>
      <c r="AO76"/>
      <c r="AP76"/>
      <c r="AQ76"/>
      <c r="AY76"/>
      <c r="AZ76"/>
      <c r="BA76"/>
      <c r="BI76"/>
      <c r="BJ76"/>
      <c r="BK76"/>
      <c r="BS76"/>
      <c r="BT76"/>
      <c r="BU76"/>
      <c r="BX76">
        <v>201</v>
      </c>
      <c r="BY76" s="63" t="s">
        <v>2324</v>
      </c>
      <c r="BZ76" s="63" t="s">
        <v>59</v>
      </c>
      <c r="CA76" s="63" t="s">
        <v>184</v>
      </c>
      <c r="CB76" s="63" t="s">
        <v>1078</v>
      </c>
      <c r="CC76">
        <v>1</v>
      </c>
      <c r="CD76">
        <v>45</v>
      </c>
      <c r="CE76"/>
      <c r="CR76" s="130">
        <v>9509</v>
      </c>
      <c r="CS76" s="130" t="s">
        <v>856</v>
      </c>
      <c r="CT76" s="130" t="s">
        <v>59</v>
      </c>
      <c r="CU76" s="130" t="s">
        <v>172</v>
      </c>
      <c r="CV76" s="130" t="s">
        <v>1167</v>
      </c>
      <c r="CW76" s="130">
        <v>1</v>
      </c>
      <c r="CX76" s="130">
        <v>8</v>
      </c>
    </row>
    <row r="77" spans="2:102">
      <c r="H77"/>
      <c r="I77"/>
      <c r="J77"/>
      <c r="U77"/>
      <c r="V77"/>
      <c r="W77"/>
      <c r="AE77"/>
      <c r="AF77"/>
      <c r="AG77"/>
      <c r="AO77"/>
      <c r="AP77"/>
      <c r="AQ77"/>
      <c r="AY77"/>
      <c r="AZ77"/>
      <c r="BA77"/>
      <c r="BI77"/>
      <c r="BJ77"/>
      <c r="BK77"/>
      <c r="BS77"/>
      <c r="BT77"/>
      <c r="BU77"/>
      <c r="BX77">
        <v>201</v>
      </c>
      <c r="BY77" s="63" t="s">
        <v>2324</v>
      </c>
      <c r="BZ77" s="63" t="s">
        <v>59</v>
      </c>
      <c r="CA77" s="63" t="s">
        <v>184</v>
      </c>
      <c r="CB77" s="63" t="s">
        <v>1123</v>
      </c>
      <c r="CC77">
        <v>1</v>
      </c>
      <c r="CD77">
        <v>60</v>
      </c>
      <c r="CE77"/>
      <c r="CR77">
        <v>9509</v>
      </c>
      <c r="CS77" s="63" t="s">
        <v>387</v>
      </c>
      <c r="CT77" s="63" t="s">
        <v>59</v>
      </c>
      <c r="CU77" s="63" t="s">
        <v>172</v>
      </c>
      <c r="CV77" s="63" t="s">
        <v>1023</v>
      </c>
      <c r="CW77">
        <v>1</v>
      </c>
      <c r="CX77">
        <v>44</v>
      </c>
    </row>
    <row r="78" spans="2:102">
      <c r="H78"/>
      <c r="I78"/>
      <c r="J78"/>
      <c r="U78"/>
      <c r="V78"/>
      <c r="W78"/>
      <c r="AE78"/>
      <c r="AF78"/>
      <c r="AG78"/>
      <c r="AO78"/>
      <c r="AP78"/>
      <c r="AQ78"/>
      <c r="AY78"/>
      <c r="AZ78"/>
      <c r="BA78"/>
      <c r="BI78"/>
      <c r="BJ78"/>
      <c r="BK78"/>
      <c r="BS78"/>
      <c r="BT78"/>
      <c r="BU78"/>
      <c r="BX78">
        <v>201</v>
      </c>
      <c r="BY78" s="63" t="s">
        <v>2324</v>
      </c>
      <c r="BZ78" s="63" t="s">
        <v>59</v>
      </c>
      <c r="CA78" s="63" t="s">
        <v>184</v>
      </c>
      <c r="CB78" s="63" t="s">
        <v>1505</v>
      </c>
      <c r="CC78">
        <v>1</v>
      </c>
      <c r="CD78">
        <v>60</v>
      </c>
      <c r="CE78"/>
      <c r="CR78">
        <v>9509</v>
      </c>
      <c r="CS78" s="63" t="s">
        <v>2736</v>
      </c>
      <c r="CT78" s="63" t="s">
        <v>59</v>
      </c>
      <c r="CU78" s="63" t="s">
        <v>172</v>
      </c>
      <c r="CV78" s="63" t="s">
        <v>1341</v>
      </c>
      <c r="CW78">
        <v>1</v>
      </c>
      <c r="CX78">
        <v>51</v>
      </c>
    </row>
    <row r="79" spans="2:102">
      <c r="H79"/>
      <c r="I79"/>
      <c r="J79"/>
      <c r="U79"/>
      <c r="V79"/>
      <c r="W79"/>
      <c r="AE79"/>
      <c r="AF79"/>
      <c r="AG79"/>
      <c r="AO79"/>
      <c r="AP79"/>
      <c r="AQ79"/>
      <c r="AY79"/>
      <c r="AZ79"/>
      <c r="BA79"/>
      <c r="BI79"/>
      <c r="BJ79"/>
      <c r="BK79"/>
      <c r="BS79"/>
      <c r="BT79"/>
      <c r="BU79"/>
      <c r="BX79">
        <v>201</v>
      </c>
      <c r="BY79" s="63" t="s">
        <v>2324</v>
      </c>
      <c r="BZ79" s="63" t="s">
        <v>59</v>
      </c>
      <c r="CA79" s="63" t="s">
        <v>184</v>
      </c>
      <c r="CB79" s="63" t="s">
        <v>897</v>
      </c>
      <c r="CC79">
        <v>1</v>
      </c>
      <c r="CD79">
        <v>39</v>
      </c>
      <c r="CE79"/>
      <c r="CR79">
        <v>9509</v>
      </c>
      <c r="CS79" s="63" t="s">
        <v>2767</v>
      </c>
      <c r="CT79" s="63" t="s">
        <v>59</v>
      </c>
      <c r="CU79" s="63" t="s">
        <v>172</v>
      </c>
      <c r="CV79" s="63" t="s">
        <v>1339</v>
      </c>
      <c r="CW79">
        <v>1</v>
      </c>
      <c r="CX79">
        <v>22</v>
      </c>
    </row>
    <row r="80" spans="2:102">
      <c r="H80"/>
      <c r="I80"/>
      <c r="J80"/>
      <c r="U80"/>
      <c r="V80"/>
      <c r="W80"/>
      <c r="AE80"/>
      <c r="AF80"/>
      <c r="AG80"/>
      <c r="AO80"/>
      <c r="AP80"/>
      <c r="AQ80"/>
      <c r="AY80"/>
      <c r="AZ80"/>
      <c r="BA80"/>
      <c r="BI80"/>
      <c r="BJ80"/>
      <c r="BK80"/>
      <c r="BS80"/>
      <c r="BT80"/>
      <c r="BU80"/>
      <c r="BX80">
        <v>201</v>
      </c>
      <c r="BY80" s="63" t="s">
        <v>2324</v>
      </c>
      <c r="BZ80" s="63" t="s">
        <v>59</v>
      </c>
      <c r="CA80" s="63" t="s">
        <v>184</v>
      </c>
      <c r="CB80" s="63" t="s">
        <v>1959</v>
      </c>
      <c r="CC80">
        <v>1</v>
      </c>
      <c r="CD80">
        <v>40</v>
      </c>
      <c r="CE80"/>
      <c r="CR80">
        <v>9580</v>
      </c>
      <c r="CS80" s="63" t="s">
        <v>927</v>
      </c>
      <c r="CT80" s="63" t="s">
        <v>59</v>
      </c>
      <c r="CU80" s="63" t="s">
        <v>311</v>
      </c>
      <c r="CV80" s="63" t="s">
        <v>2056</v>
      </c>
      <c r="CW80">
        <v>1</v>
      </c>
      <c r="CX80">
        <v>56</v>
      </c>
    </row>
    <row r="81" spans="8:102">
      <c r="H81"/>
      <c r="I81"/>
      <c r="J81"/>
      <c r="U81"/>
      <c r="V81"/>
      <c r="W81"/>
      <c r="AE81"/>
      <c r="AF81"/>
      <c r="AG81"/>
      <c r="AO81"/>
      <c r="AP81"/>
      <c r="AQ81"/>
      <c r="AY81"/>
      <c r="AZ81"/>
      <c r="BA81"/>
      <c r="BI81"/>
      <c r="BJ81"/>
      <c r="BK81"/>
      <c r="BS81"/>
      <c r="BT81"/>
      <c r="BU81"/>
      <c r="BX81">
        <v>201</v>
      </c>
      <c r="BY81" s="63" t="s">
        <v>1031</v>
      </c>
      <c r="BZ81" s="63" t="s">
        <v>285</v>
      </c>
      <c r="CA81" s="63" t="s">
        <v>175</v>
      </c>
      <c r="CB81" s="63" t="s">
        <v>1981</v>
      </c>
      <c r="CC81">
        <v>1</v>
      </c>
      <c r="CD81">
        <v>24</v>
      </c>
      <c r="CE81"/>
      <c r="CR81">
        <v>9580</v>
      </c>
      <c r="CS81" s="63" t="s">
        <v>2066</v>
      </c>
      <c r="CT81" s="63" t="s">
        <v>285</v>
      </c>
      <c r="CU81" s="63" t="s">
        <v>172</v>
      </c>
      <c r="CV81" s="63" t="s">
        <v>1452</v>
      </c>
      <c r="CW81">
        <v>1</v>
      </c>
      <c r="CX81">
        <v>27</v>
      </c>
    </row>
    <row r="82" spans="8:102">
      <c r="H82"/>
      <c r="I82"/>
      <c r="J82"/>
      <c r="U82"/>
      <c r="V82"/>
      <c r="W82"/>
      <c r="AE82"/>
      <c r="AF82"/>
      <c r="AG82"/>
      <c r="AO82"/>
      <c r="AP82"/>
      <c r="AQ82"/>
      <c r="AY82"/>
      <c r="AZ82"/>
      <c r="BA82"/>
      <c r="BI82"/>
      <c r="BJ82"/>
      <c r="BK82"/>
      <c r="BS82"/>
      <c r="BT82"/>
      <c r="BU82"/>
      <c r="BX82">
        <v>201</v>
      </c>
      <c r="BY82" s="63" t="s">
        <v>670</v>
      </c>
      <c r="BZ82" s="63" t="s">
        <v>305</v>
      </c>
      <c r="CA82" s="63" t="s">
        <v>184</v>
      </c>
      <c r="CB82" s="63" t="s">
        <v>1065</v>
      </c>
      <c r="CC82">
        <v>1</v>
      </c>
      <c r="CD82">
        <v>29</v>
      </c>
      <c r="CE82"/>
      <c r="CR82" s="130">
        <v>9580</v>
      </c>
      <c r="CS82" s="130" t="s">
        <v>958</v>
      </c>
      <c r="CT82" s="130" t="s">
        <v>301</v>
      </c>
      <c r="CU82" s="130" t="s">
        <v>174</v>
      </c>
      <c r="CV82" s="130" t="s">
        <v>1818</v>
      </c>
      <c r="CW82" s="130">
        <v>1</v>
      </c>
      <c r="CX82" s="130">
        <v>5</v>
      </c>
    </row>
    <row r="83" spans="8:102">
      <c r="H83"/>
      <c r="I83"/>
      <c r="J83"/>
      <c r="U83"/>
      <c r="V83"/>
      <c r="W83"/>
      <c r="AE83"/>
      <c r="AF83"/>
      <c r="AG83"/>
      <c r="AO83"/>
      <c r="AP83"/>
      <c r="AQ83"/>
      <c r="AY83"/>
      <c r="AZ83"/>
      <c r="BA83"/>
      <c r="BI83"/>
      <c r="BJ83"/>
      <c r="BK83"/>
      <c r="BS83"/>
      <c r="BT83"/>
      <c r="BU83"/>
      <c r="BX83">
        <v>201</v>
      </c>
      <c r="BY83" s="63" t="s">
        <v>670</v>
      </c>
      <c r="BZ83" s="63" t="s">
        <v>59</v>
      </c>
      <c r="CA83" s="63" t="s">
        <v>175</v>
      </c>
      <c r="CB83" s="63" t="s">
        <v>1601</v>
      </c>
      <c r="CC83">
        <v>1</v>
      </c>
      <c r="CD83">
        <v>44</v>
      </c>
      <c r="CE83"/>
      <c r="CR83">
        <v>9580</v>
      </c>
      <c r="CS83" s="63" t="s">
        <v>437</v>
      </c>
      <c r="CT83" s="63" t="s">
        <v>285</v>
      </c>
      <c r="CU83" s="63" t="s">
        <v>203</v>
      </c>
      <c r="CV83" s="63" t="s">
        <v>1259</v>
      </c>
      <c r="CW83">
        <v>1</v>
      </c>
      <c r="CX83">
        <v>44</v>
      </c>
    </row>
    <row r="84" spans="8:102">
      <c r="H84"/>
      <c r="I84"/>
      <c r="J84"/>
      <c r="U84"/>
      <c r="V84"/>
      <c r="W84"/>
      <c r="AE84"/>
      <c r="AF84"/>
      <c r="AG84"/>
      <c r="AO84"/>
      <c r="AP84"/>
      <c r="AQ84"/>
      <c r="AY84"/>
      <c r="AZ84"/>
      <c r="BA84"/>
      <c r="BI84"/>
      <c r="BJ84"/>
      <c r="BK84"/>
      <c r="BS84"/>
      <c r="BT84"/>
      <c r="BU84"/>
      <c r="BX84">
        <v>201</v>
      </c>
      <c r="BY84" s="63" t="s">
        <v>2325</v>
      </c>
      <c r="BZ84" s="63" t="s">
        <v>59</v>
      </c>
      <c r="CA84" s="63" t="s">
        <v>174</v>
      </c>
      <c r="CB84" s="63" t="s">
        <v>2059</v>
      </c>
      <c r="CC84">
        <v>1</v>
      </c>
      <c r="CD84">
        <v>60</v>
      </c>
      <c r="CE84"/>
      <c r="CR84" s="130">
        <v>9580</v>
      </c>
      <c r="CS84" s="130" t="s">
        <v>2786</v>
      </c>
      <c r="CT84" s="130" t="s">
        <v>285</v>
      </c>
      <c r="CU84" s="130" t="s">
        <v>172</v>
      </c>
      <c r="CV84" s="130" t="s">
        <v>2117</v>
      </c>
      <c r="CW84" s="130">
        <v>1</v>
      </c>
      <c r="CX84" s="130">
        <v>9</v>
      </c>
    </row>
    <row r="85" spans="8:102">
      <c r="H85"/>
      <c r="I85"/>
      <c r="J85"/>
      <c r="U85"/>
      <c r="V85"/>
      <c r="W85"/>
      <c r="AE85"/>
      <c r="AF85"/>
      <c r="AG85"/>
      <c r="AO85"/>
      <c r="AP85"/>
      <c r="AQ85"/>
      <c r="AY85"/>
      <c r="AZ85"/>
      <c r="BA85"/>
      <c r="BI85"/>
      <c r="BJ85"/>
      <c r="BK85"/>
      <c r="BS85"/>
      <c r="BT85"/>
      <c r="BU85"/>
      <c r="BX85">
        <v>201</v>
      </c>
      <c r="BY85" s="63" t="s">
        <v>2325</v>
      </c>
      <c r="BZ85" s="63" t="s">
        <v>59</v>
      </c>
      <c r="CA85" s="63" t="s">
        <v>184</v>
      </c>
      <c r="CB85" s="63" t="s">
        <v>1789</v>
      </c>
      <c r="CC85">
        <v>1</v>
      </c>
      <c r="CD85">
        <v>51</v>
      </c>
      <c r="CE85"/>
      <c r="CR85" s="130">
        <v>9580</v>
      </c>
      <c r="CS85" s="130" t="s">
        <v>2787</v>
      </c>
      <c r="CT85" s="130" t="s">
        <v>325</v>
      </c>
      <c r="CU85" s="130" t="s">
        <v>254</v>
      </c>
      <c r="CV85" s="130" t="s">
        <v>2788</v>
      </c>
      <c r="CW85" s="130">
        <v>1</v>
      </c>
      <c r="CX85" s="130">
        <v>8</v>
      </c>
    </row>
    <row r="86" spans="8:102">
      <c r="H86"/>
      <c r="I86"/>
      <c r="J86"/>
      <c r="U86"/>
      <c r="V86"/>
      <c r="W86"/>
      <c r="AE86"/>
      <c r="AF86"/>
      <c r="AG86"/>
      <c r="AO86"/>
      <c r="AP86"/>
      <c r="AQ86"/>
      <c r="AY86"/>
      <c r="AZ86"/>
      <c r="BA86"/>
      <c r="BI86"/>
      <c r="BJ86"/>
      <c r="BK86"/>
      <c r="BS86"/>
      <c r="BT86"/>
      <c r="BU86"/>
      <c r="BX86">
        <v>201</v>
      </c>
      <c r="BY86" s="63" t="s">
        <v>1888</v>
      </c>
      <c r="BZ86" s="63" t="s">
        <v>59</v>
      </c>
      <c r="CA86" s="63" t="s">
        <v>184</v>
      </c>
      <c r="CB86" s="63" t="s">
        <v>1309</v>
      </c>
      <c r="CC86">
        <v>1</v>
      </c>
      <c r="CD86">
        <v>60</v>
      </c>
      <c r="CE86"/>
      <c r="CR86" s="130">
        <v>9580</v>
      </c>
      <c r="CS86" s="130" t="s">
        <v>1871</v>
      </c>
      <c r="CT86" s="130" t="s">
        <v>285</v>
      </c>
      <c r="CU86" s="130" t="s">
        <v>172</v>
      </c>
      <c r="CV86" s="130" t="s">
        <v>1537</v>
      </c>
      <c r="CW86" s="130">
        <v>1</v>
      </c>
      <c r="CX86" s="130">
        <v>14</v>
      </c>
    </row>
    <row r="87" spans="8:102">
      <c r="H87"/>
      <c r="I87"/>
      <c r="J87"/>
      <c r="U87"/>
      <c r="V87"/>
      <c r="W87"/>
      <c r="AE87"/>
      <c r="AF87"/>
      <c r="AG87"/>
      <c r="AO87"/>
      <c r="AP87"/>
      <c r="AQ87"/>
      <c r="AY87"/>
      <c r="AZ87"/>
      <c r="BA87"/>
      <c r="BI87"/>
      <c r="BJ87"/>
      <c r="BK87"/>
      <c r="BS87"/>
      <c r="BT87"/>
      <c r="BU87"/>
      <c r="BX87">
        <v>201</v>
      </c>
      <c r="BY87" s="63" t="s">
        <v>1888</v>
      </c>
      <c r="BZ87" s="63" t="s">
        <v>59</v>
      </c>
      <c r="CA87" s="63" t="s">
        <v>184</v>
      </c>
      <c r="CB87" s="63" t="s">
        <v>957</v>
      </c>
      <c r="CC87">
        <v>1</v>
      </c>
      <c r="CD87">
        <v>36</v>
      </c>
      <c r="CE87"/>
      <c r="CR87">
        <v>9580</v>
      </c>
      <c r="CS87" s="63" t="s">
        <v>2677</v>
      </c>
      <c r="CT87" s="63" t="s">
        <v>285</v>
      </c>
      <c r="CU87" s="63" t="s">
        <v>177</v>
      </c>
      <c r="CV87" s="63" t="s">
        <v>1366</v>
      </c>
      <c r="CW87">
        <v>1</v>
      </c>
      <c r="CX87">
        <v>30</v>
      </c>
    </row>
    <row r="88" spans="8:102">
      <c r="H88"/>
      <c r="I88"/>
      <c r="J88"/>
      <c r="U88"/>
      <c r="V88"/>
      <c r="W88"/>
      <c r="AE88"/>
      <c r="AF88"/>
      <c r="AG88"/>
      <c r="AO88"/>
      <c r="AP88"/>
      <c r="AQ88"/>
      <c r="AY88"/>
      <c r="AZ88"/>
      <c r="BA88"/>
      <c r="BI88"/>
      <c r="BJ88"/>
      <c r="BK88"/>
      <c r="BS88"/>
      <c r="BT88"/>
      <c r="BU88"/>
      <c r="BX88">
        <v>201</v>
      </c>
      <c r="BY88" s="63" t="s">
        <v>2326</v>
      </c>
      <c r="BZ88" s="63" t="s">
        <v>59</v>
      </c>
      <c r="CA88" s="63" t="s">
        <v>203</v>
      </c>
      <c r="CB88" s="63" t="s">
        <v>1624</v>
      </c>
      <c r="CC88">
        <v>1</v>
      </c>
      <c r="CD88">
        <v>24</v>
      </c>
      <c r="CE88"/>
      <c r="CR88">
        <v>9580</v>
      </c>
      <c r="CS88" s="63" t="s">
        <v>1736</v>
      </c>
      <c r="CT88" s="63" t="s">
        <v>301</v>
      </c>
      <c r="CU88" s="63" t="s">
        <v>174</v>
      </c>
      <c r="CV88" s="63" t="s">
        <v>2132</v>
      </c>
      <c r="CW88">
        <v>1</v>
      </c>
      <c r="CX88">
        <v>30</v>
      </c>
    </row>
    <row r="89" spans="8:102">
      <c r="H89"/>
      <c r="I89"/>
      <c r="J89"/>
      <c r="U89"/>
      <c r="V89"/>
      <c r="W89"/>
      <c r="AE89"/>
      <c r="AF89"/>
      <c r="AG89"/>
      <c r="AO89"/>
      <c r="AP89"/>
      <c r="AQ89"/>
      <c r="AY89"/>
      <c r="AZ89"/>
      <c r="BA89"/>
      <c r="BI89"/>
      <c r="BJ89"/>
      <c r="BK89"/>
      <c r="BS89"/>
      <c r="BT89"/>
      <c r="BU89"/>
      <c r="BX89">
        <v>211</v>
      </c>
      <c r="BY89" s="63" t="s">
        <v>314</v>
      </c>
      <c r="BZ89" s="63" t="s">
        <v>261</v>
      </c>
      <c r="CA89" s="63" t="s">
        <v>184</v>
      </c>
      <c r="CB89" s="63" t="s">
        <v>1498</v>
      </c>
      <c r="CC89">
        <v>1</v>
      </c>
      <c r="CD89">
        <v>47</v>
      </c>
      <c r="CE89"/>
      <c r="CR89">
        <v>9580</v>
      </c>
      <c r="CS89" s="63" t="s">
        <v>834</v>
      </c>
      <c r="CT89" s="63" t="s">
        <v>285</v>
      </c>
      <c r="CU89" s="63" t="s">
        <v>172</v>
      </c>
      <c r="CV89" s="63" t="s">
        <v>1400</v>
      </c>
      <c r="CW89">
        <v>1</v>
      </c>
      <c r="CX89">
        <v>20</v>
      </c>
    </row>
    <row r="90" spans="8:102">
      <c r="H90"/>
      <c r="I90"/>
      <c r="J90"/>
      <c r="U90"/>
      <c r="V90"/>
      <c r="W90"/>
      <c r="AE90"/>
      <c r="AF90"/>
      <c r="AG90"/>
      <c r="AO90"/>
      <c r="AP90"/>
      <c r="AQ90"/>
      <c r="AY90"/>
      <c r="AZ90"/>
      <c r="BA90"/>
      <c r="BI90"/>
      <c r="BJ90"/>
      <c r="BK90"/>
      <c r="BS90"/>
      <c r="BT90"/>
      <c r="BU90"/>
      <c r="BX90">
        <v>211</v>
      </c>
      <c r="BY90" s="63" t="s">
        <v>1614</v>
      </c>
      <c r="BZ90" s="63" t="s">
        <v>261</v>
      </c>
      <c r="CA90" s="63" t="s">
        <v>184</v>
      </c>
      <c r="CB90" s="63" t="s">
        <v>2345</v>
      </c>
      <c r="CC90">
        <v>1</v>
      </c>
      <c r="CD90">
        <v>60</v>
      </c>
      <c r="CE90"/>
      <c r="CR90">
        <v>9580</v>
      </c>
      <c r="CS90" s="63" t="s">
        <v>2736</v>
      </c>
      <c r="CT90" s="63" t="s">
        <v>59</v>
      </c>
      <c r="CU90" s="63" t="s">
        <v>203</v>
      </c>
      <c r="CV90" s="63" t="s">
        <v>463</v>
      </c>
      <c r="CW90">
        <v>1</v>
      </c>
      <c r="CX90">
        <v>29</v>
      </c>
    </row>
    <row r="91" spans="8:102">
      <c r="H91"/>
      <c r="I91"/>
      <c r="J91"/>
      <c r="U91"/>
      <c r="V91"/>
      <c r="W91"/>
      <c r="AE91"/>
      <c r="AF91"/>
      <c r="AG91"/>
      <c r="AO91"/>
      <c r="AP91"/>
      <c r="AQ91"/>
      <c r="AY91"/>
      <c r="AZ91"/>
      <c r="BA91"/>
      <c r="BI91"/>
      <c r="BJ91"/>
      <c r="BK91"/>
      <c r="BS91"/>
      <c r="BT91"/>
      <c r="BU91"/>
      <c r="BX91">
        <v>211</v>
      </c>
      <c r="BY91" s="63" t="s">
        <v>2347</v>
      </c>
      <c r="BZ91" s="63" t="s">
        <v>261</v>
      </c>
      <c r="CA91" s="63" t="s">
        <v>172</v>
      </c>
      <c r="CB91" s="63" t="s">
        <v>2348</v>
      </c>
      <c r="CC91">
        <v>1</v>
      </c>
      <c r="CD91">
        <v>60</v>
      </c>
      <c r="CE91"/>
      <c r="CR91" s="130">
        <v>9580</v>
      </c>
      <c r="CS91" s="130" t="s">
        <v>1823</v>
      </c>
      <c r="CT91" s="130" t="s">
        <v>285</v>
      </c>
      <c r="CU91" s="130" t="s">
        <v>203</v>
      </c>
      <c r="CV91" s="130" t="s">
        <v>379</v>
      </c>
      <c r="CW91" s="130">
        <v>1</v>
      </c>
      <c r="CX91" s="130">
        <v>9</v>
      </c>
    </row>
    <row r="92" spans="8:102">
      <c r="H92"/>
      <c r="I92"/>
      <c r="J92"/>
      <c r="U92"/>
      <c r="V92"/>
      <c r="W92"/>
      <c r="AE92"/>
      <c r="AF92"/>
      <c r="AG92"/>
      <c r="AO92"/>
      <c r="AP92"/>
      <c r="AQ92"/>
      <c r="AY92"/>
      <c r="AZ92"/>
      <c r="BA92"/>
      <c r="BI92"/>
      <c r="BJ92"/>
      <c r="BK92"/>
      <c r="BS92"/>
      <c r="BT92"/>
      <c r="BU92"/>
      <c r="BX92">
        <v>211</v>
      </c>
      <c r="BY92" s="63" t="s">
        <v>2347</v>
      </c>
      <c r="BZ92" s="63" t="s">
        <v>261</v>
      </c>
      <c r="CA92" s="63" t="s">
        <v>174</v>
      </c>
      <c r="CB92" s="63" t="s">
        <v>2002</v>
      </c>
      <c r="CC92">
        <v>1</v>
      </c>
      <c r="CD92">
        <v>43</v>
      </c>
      <c r="CE92"/>
    </row>
    <row r="93" spans="8:102">
      <c r="H93"/>
      <c r="I93"/>
      <c r="J93"/>
      <c r="U93"/>
      <c r="V93"/>
      <c r="W93"/>
      <c r="AE93"/>
      <c r="AF93"/>
      <c r="AG93"/>
      <c r="AO93"/>
      <c r="AP93"/>
      <c r="AQ93"/>
      <c r="AY93"/>
      <c r="AZ93"/>
      <c r="BA93"/>
      <c r="BI93"/>
      <c r="BJ93"/>
      <c r="BK93"/>
      <c r="BS93"/>
      <c r="BT93"/>
      <c r="BU93"/>
      <c r="BX93">
        <v>211</v>
      </c>
      <c r="BY93" s="63" t="s">
        <v>2347</v>
      </c>
      <c r="BZ93" s="63" t="s">
        <v>261</v>
      </c>
      <c r="CA93" s="63" t="s">
        <v>175</v>
      </c>
      <c r="CB93" s="63" t="s">
        <v>2079</v>
      </c>
      <c r="CC93">
        <v>1</v>
      </c>
      <c r="CD93">
        <v>60</v>
      </c>
      <c r="CE93"/>
    </row>
    <row r="94" spans="8:102">
      <c r="H94"/>
      <c r="I94"/>
      <c r="J94"/>
      <c r="U94"/>
      <c r="V94"/>
      <c r="W94"/>
      <c r="AE94"/>
      <c r="AF94"/>
      <c r="AG94"/>
      <c r="AO94"/>
      <c r="AP94"/>
      <c r="AQ94"/>
      <c r="AY94"/>
      <c r="AZ94"/>
      <c r="BA94"/>
      <c r="BI94"/>
      <c r="BJ94"/>
      <c r="BK94"/>
      <c r="BS94"/>
      <c r="BT94"/>
      <c r="BU94"/>
      <c r="BX94">
        <v>211</v>
      </c>
      <c r="BY94" s="63" t="s">
        <v>2347</v>
      </c>
      <c r="BZ94" s="63" t="s">
        <v>261</v>
      </c>
      <c r="CA94" s="63" t="s">
        <v>175</v>
      </c>
      <c r="CB94" s="63" t="s">
        <v>1454</v>
      </c>
      <c r="CC94">
        <v>1</v>
      </c>
      <c r="CD94">
        <v>45</v>
      </c>
      <c r="CE94"/>
    </row>
    <row r="95" spans="8:102">
      <c r="H95"/>
      <c r="I95"/>
      <c r="J95"/>
      <c r="U95"/>
      <c r="V95"/>
      <c r="W95"/>
      <c r="AE95"/>
      <c r="AF95"/>
      <c r="AG95"/>
      <c r="AO95"/>
      <c r="AP95"/>
      <c r="AQ95"/>
      <c r="AY95"/>
      <c r="AZ95"/>
      <c r="BA95"/>
      <c r="BI95"/>
      <c r="BJ95"/>
      <c r="BK95"/>
      <c r="BS95"/>
      <c r="BT95"/>
      <c r="BU95"/>
      <c r="BX95">
        <v>211</v>
      </c>
      <c r="BY95" s="63" t="s">
        <v>896</v>
      </c>
      <c r="BZ95" s="63" t="s">
        <v>261</v>
      </c>
      <c r="CA95" s="63" t="s">
        <v>184</v>
      </c>
      <c r="CB95" s="63" t="s">
        <v>2349</v>
      </c>
      <c r="CC95">
        <v>1</v>
      </c>
      <c r="CD95">
        <v>40</v>
      </c>
      <c r="CE95"/>
    </row>
    <row r="96" spans="8:102">
      <c r="H96"/>
      <c r="I96"/>
      <c r="J96"/>
      <c r="U96"/>
      <c r="V96"/>
      <c r="W96"/>
      <c r="AE96"/>
      <c r="AF96"/>
      <c r="AG96"/>
      <c r="AO96"/>
      <c r="AP96"/>
      <c r="AQ96"/>
      <c r="AY96"/>
      <c r="AZ96"/>
      <c r="BA96"/>
      <c r="BI96"/>
      <c r="BJ96"/>
      <c r="BK96"/>
      <c r="BS96"/>
      <c r="BT96"/>
      <c r="BU96"/>
      <c r="BX96">
        <v>211</v>
      </c>
      <c r="BY96" s="63" t="s">
        <v>336</v>
      </c>
      <c r="BZ96" s="63" t="s">
        <v>261</v>
      </c>
      <c r="CA96" s="63" t="s">
        <v>174</v>
      </c>
      <c r="CB96" s="63" t="s">
        <v>1286</v>
      </c>
      <c r="CC96">
        <v>1</v>
      </c>
      <c r="CD96">
        <v>34</v>
      </c>
      <c r="CE96"/>
    </row>
    <row r="97" spans="8:83">
      <c r="H97"/>
      <c r="I97"/>
      <c r="J97"/>
      <c r="U97"/>
      <c r="V97"/>
      <c r="W97"/>
      <c r="AE97"/>
      <c r="AF97"/>
      <c r="AG97"/>
      <c r="AO97"/>
      <c r="AP97"/>
      <c r="AQ97"/>
      <c r="AY97"/>
      <c r="AZ97"/>
      <c r="BA97"/>
      <c r="BI97"/>
      <c r="BJ97"/>
      <c r="BK97"/>
      <c r="BS97"/>
      <c r="BT97"/>
      <c r="BU97"/>
      <c r="BX97">
        <v>211</v>
      </c>
      <c r="BY97" s="63" t="s">
        <v>316</v>
      </c>
      <c r="BZ97" s="63" t="s">
        <v>261</v>
      </c>
      <c r="CA97" s="63" t="s">
        <v>173</v>
      </c>
      <c r="CB97" s="63" t="s">
        <v>1030</v>
      </c>
      <c r="CC97">
        <v>1</v>
      </c>
      <c r="CD97">
        <v>60</v>
      </c>
      <c r="CE97"/>
    </row>
    <row r="98" spans="8:83">
      <c r="H98"/>
      <c r="I98"/>
      <c r="J98"/>
      <c r="U98"/>
      <c r="V98"/>
      <c r="W98"/>
      <c r="AE98"/>
      <c r="AF98"/>
      <c r="AG98"/>
      <c r="AO98"/>
      <c r="AP98"/>
      <c r="AQ98"/>
      <c r="AY98"/>
      <c r="AZ98"/>
      <c r="BA98"/>
      <c r="BI98"/>
      <c r="BJ98"/>
      <c r="BK98"/>
      <c r="BS98"/>
      <c r="BT98"/>
      <c r="BU98"/>
      <c r="BX98">
        <v>211</v>
      </c>
      <c r="BY98" s="63" t="s">
        <v>316</v>
      </c>
      <c r="BZ98" s="63" t="s">
        <v>261</v>
      </c>
      <c r="CA98" s="63" t="s">
        <v>173</v>
      </c>
      <c r="CB98" s="63" t="s">
        <v>629</v>
      </c>
      <c r="CC98">
        <v>1</v>
      </c>
      <c r="CD98">
        <v>60</v>
      </c>
      <c r="CE98"/>
    </row>
    <row r="99" spans="8:83">
      <c r="H99"/>
      <c r="I99"/>
      <c r="J99"/>
      <c r="U99"/>
      <c r="V99"/>
      <c r="W99"/>
      <c r="AE99"/>
      <c r="AF99"/>
      <c r="AG99"/>
      <c r="AO99"/>
      <c r="AP99"/>
      <c r="AQ99"/>
      <c r="AY99"/>
      <c r="AZ99"/>
      <c r="BA99"/>
      <c r="BI99"/>
      <c r="BJ99"/>
      <c r="BK99"/>
      <c r="BS99"/>
      <c r="BT99"/>
      <c r="BU99"/>
      <c r="BX99">
        <v>211</v>
      </c>
      <c r="BY99" s="63" t="s">
        <v>316</v>
      </c>
      <c r="BZ99" s="63" t="s">
        <v>261</v>
      </c>
      <c r="CA99" s="63" t="s">
        <v>173</v>
      </c>
      <c r="CB99" s="63" t="s">
        <v>760</v>
      </c>
      <c r="CC99">
        <v>1</v>
      </c>
      <c r="CD99">
        <v>60</v>
      </c>
      <c r="CE99"/>
    </row>
    <row r="100" spans="8:83">
      <c r="H100"/>
      <c r="I100"/>
      <c r="J100"/>
      <c r="U100"/>
      <c r="V100"/>
      <c r="W100"/>
      <c r="AE100"/>
      <c r="AF100"/>
      <c r="AG100"/>
      <c r="AO100"/>
      <c r="AP100"/>
      <c r="AQ100"/>
      <c r="AY100"/>
      <c r="AZ100"/>
      <c r="BA100"/>
      <c r="BI100"/>
      <c r="BJ100"/>
      <c r="BK100"/>
      <c r="BS100"/>
      <c r="BT100"/>
      <c r="BU100"/>
      <c r="BX100">
        <v>211</v>
      </c>
      <c r="BY100" s="63" t="s">
        <v>316</v>
      </c>
      <c r="BZ100" s="63" t="s">
        <v>261</v>
      </c>
      <c r="CA100" s="63" t="s">
        <v>173</v>
      </c>
      <c r="CB100" s="63" t="s">
        <v>1718</v>
      </c>
      <c r="CC100">
        <v>1</v>
      </c>
      <c r="CD100">
        <v>60</v>
      </c>
      <c r="CE100"/>
    </row>
    <row r="101" spans="8:83">
      <c r="H101"/>
      <c r="I101"/>
      <c r="J101"/>
      <c r="U101"/>
      <c r="V101"/>
      <c r="W101"/>
      <c r="AE101"/>
      <c r="AF101"/>
      <c r="AG101"/>
      <c r="AO101"/>
      <c r="AP101"/>
      <c r="AQ101"/>
      <c r="AY101"/>
      <c r="AZ101"/>
      <c r="BA101"/>
      <c r="BI101"/>
      <c r="BJ101"/>
      <c r="BK101"/>
      <c r="BS101"/>
      <c r="BT101"/>
      <c r="BU101"/>
      <c r="BX101">
        <v>211</v>
      </c>
      <c r="BY101" s="63" t="s">
        <v>316</v>
      </c>
      <c r="BZ101" s="63" t="s">
        <v>261</v>
      </c>
      <c r="CA101" s="63" t="s">
        <v>174</v>
      </c>
      <c r="CB101" s="63" t="s">
        <v>2097</v>
      </c>
      <c r="CC101">
        <v>1</v>
      </c>
      <c r="CD101">
        <v>60</v>
      </c>
      <c r="CE101"/>
    </row>
    <row r="102" spans="8:83">
      <c r="H102"/>
      <c r="I102"/>
      <c r="J102"/>
      <c r="U102"/>
      <c r="V102"/>
      <c r="W102"/>
      <c r="AE102"/>
      <c r="AF102"/>
      <c r="AG102"/>
      <c r="AO102"/>
      <c r="AP102"/>
      <c r="AQ102"/>
      <c r="AY102"/>
      <c r="AZ102"/>
      <c r="BA102"/>
      <c r="BI102"/>
      <c r="BJ102"/>
      <c r="BK102"/>
      <c r="BS102"/>
      <c r="BT102"/>
      <c r="BU102"/>
      <c r="BX102">
        <v>211</v>
      </c>
      <c r="BY102" s="63" t="s">
        <v>316</v>
      </c>
      <c r="BZ102" s="63" t="s">
        <v>261</v>
      </c>
      <c r="CA102" s="63" t="s">
        <v>175</v>
      </c>
      <c r="CB102" s="63" t="s">
        <v>1542</v>
      </c>
      <c r="CC102">
        <v>1</v>
      </c>
      <c r="CD102">
        <v>33</v>
      </c>
      <c r="CE102"/>
    </row>
    <row r="103" spans="8:83">
      <c r="H103"/>
      <c r="I103"/>
      <c r="J103"/>
      <c r="U103"/>
      <c r="V103"/>
      <c r="W103"/>
      <c r="AE103"/>
      <c r="AF103"/>
      <c r="AG103"/>
      <c r="AO103"/>
      <c r="AP103"/>
      <c r="AQ103"/>
      <c r="AY103"/>
      <c r="AZ103"/>
      <c r="BA103"/>
      <c r="BI103"/>
      <c r="BJ103"/>
      <c r="BK103"/>
      <c r="BS103"/>
      <c r="BT103"/>
      <c r="BU103"/>
      <c r="BX103">
        <v>211</v>
      </c>
      <c r="BY103" s="63" t="s">
        <v>316</v>
      </c>
      <c r="BZ103" s="63" t="s">
        <v>261</v>
      </c>
      <c r="CA103" s="63" t="s">
        <v>184</v>
      </c>
      <c r="CB103" s="63" t="s">
        <v>2022</v>
      </c>
      <c r="CC103">
        <v>1</v>
      </c>
      <c r="CD103">
        <v>34</v>
      </c>
      <c r="CE103"/>
    </row>
    <row r="104" spans="8:83">
      <c r="H104"/>
      <c r="I104"/>
      <c r="J104"/>
      <c r="U104"/>
      <c r="V104"/>
      <c r="W104"/>
      <c r="AE104"/>
      <c r="AF104"/>
      <c r="AG104"/>
      <c r="AO104"/>
      <c r="AP104"/>
      <c r="AQ104"/>
      <c r="AY104"/>
      <c r="AZ104"/>
      <c r="BA104"/>
      <c r="BI104"/>
      <c r="BJ104"/>
      <c r="BK104"/>
      <c r="BS104"/>
      <c r="BT104"/>
      <c r="BU104"/>
      <c r="BX104">
        <v>221</v>
      </c>
      <c r="BY104" s="63" t="s">
        <v>1069</v>
      </c>
      <c r="BZ104" s="63" t="s">
        <v>261</v>
      </c>
      <c r="CA104" s="63" t="s">
        <v>184</v>
      </c>
      <c r="CB104" s="63" t="s">
        <v>1328</v>
      </c>
      <c r="CC104">
        <v>1</v>
      </c>
      <c r="CD104">
        <v>56</v>
      </c>
      <c r="CE104"/>
    </row>
    <row r="105" spans="8:83">
      <c r="H105"/>
      <c r="I105"/>
      <c r="J105"/>
      <c r="U105"/>
      <c r="V105"/>
      <c r="W105"/>
      <c r="AE105"/>
      <c r="AF105"/>
      <c r="AG105"/>
      <c r="AO105"/>
      <c r="AP105"/>
      <c r="AQ105"/>
      <c r="AY105"/>
      <c r="AZ105"/>
      <c r="BA105"/>
      <c r="BI105"/>
      <c r="BJ105"/>
      <c r="BK105"/>
      <c r="BS105"/>
      <c r="BT105"/>
      <c r="BU105"/>
      <c r="BX105">
        <v>221</v>
      </c>
      <c r="BY105" s="63" t="s">
        <v>938</v>
      </c>
      <c r="BZ105" s="63" t="s">
        <v>261</v>
      </c>
      <c r="CA105" s="63" t="s">
        <v>175</v>
      </c>
      <c r="CB105" s="63" t="s">
        <v>1431</v>
      </c>
      <c r="CC105">
        <v>1</v>
      </c>
      <c r="CD105">
        <v>55</v>
      </c>
      <c r="CE105"/>
    </row>
    <row r="106" spans="8:83">
      <c r="H106"/>
      <c r="I106"/>
      <c r="J106"/>
      <c r="U106"/>
      <c r="V106"/>
      <c r="W106"/>
      <c r="AE106"/>
      <c r="AF106"/>
      <c r="AG106"/>
      <c r="AO106"/>
      <c r="AP106"/>
      <c r="AQ106"/>
      <c r="AY106"/>
      <c r="AZ106"/>
      <c r="BA106"/>
      <c r="BI106"/>
      <c r="BJ106"/>
      <c r="BK106"/>
      <c r="BS106"/>
      <c r="BT106"/>
      <c r="BU106"/>
      <c r="BX106">
        <v>221</v>
      </c>
      <c r="BY106" s="63" t="s">
        <v>938</v>
      </c>
      <c r="BZ106" s="63" t="s">
        <v>261</v>
      </c>
      <c r="CA106" s="63" t="s">
        <v>184</v>
      </c>
      <c r="CB106" s="63" t="s">
        <v>1714</v>
      </c>
      <c r="CC106">
        <v>1</v>
      </c>
      <c r="CD106">
        <v>47</v>
      </c>
      <c r="CE106"/>
    </row>
    <row r="107" spans="8:83">
      <c r="H107"/>
      <c r="I107"/>
      <c r="J107"/>
      <c r="U107"/>
      <c r="V107"/>
      <c r="W107"/>
      <c r="AE107"/>
      <c r="AF107"/>
      <c r="AG107"/>
      <c r="AO107"/>
      <c r="AP107"/>
      <c r="AQ107"/>
      <c r="AY107"/>
      <c r="AZ107"/>
      <c r="BA107"/>
      <c r="BI107"/>
      <c r="BJ107"/>
      <c r="BK107"/>
      <c r="BS107"/>
      <c r="BT107"/>
      <c r="BU107"/>
      <c r="BX107" s="130">
        <v>221</v>
      </c>
      <c r="BY107" s="130" t="s">
        <v>762</v>
      </c>
      <c r="BZ107" s="130" t="s">
        <v>261</v>
      </c>
      <c r="CA107" s="130" t="s">
        <v>175</v>
      </c>
      <c r="CB107" s="130" t="s">
        <v>1243</v>
      </c>
      <c r="CC107" s="130">
        <v>1</v>
      </c>
      <c r="CD107" s="130">
        <v>5</v>
      </c>
      <c r="CE107"/>
    </row>
    <row r="108" spans="8:83">
      <c r="H108"/>
      <c r="I108"/>
      <c r="J108"/>
      <c r="U108"/>
      <c r="V108"/>
      <c r="W108"/>
      <c r="AE108"/>
      <c r="AF108"/>
      <c r="AG108"/>
      <c r="AO108"/>
      <c r="AP108"/>
      <c r="AQ108"/>
      <c r="AY108"/>
      <c r="AZ108"/>
      <c r="BA108"/>
      <c r="BI108"/>
      <c r="BJ108"/>
      <c r="BK108"/>
      <c r="BS108"/>
      <c r="BT108"/>
      <c r="BU108"/>
      <c r="BX108">
        <v>221</v>
      </c>
      <c r="BY108" s="63" t="s">
        <v>977</v>
      </c>
      <c r="BZ108" s="63" t="s">
        <v>261</v>
      </c>
      <c r="CA108" s="63" t="s">
        <v>175</v>
      </c>
      <c r="CB108" s="63" t="s">
        <v>1245</v>
      </c>
      <c r="CC108">
        <v>1</v>
      </c>
      <c r="CD108">
        <v>25</v>
      </c>
      <c r="CE108"/>
    </row>
    <row r="109" spans="8:83">
      <c r="H109"/>
      <c r="I109"/>
      <c r="J109"/>
      <c r="U109"/>
      <c r="V109"/>
      <c r="W109"/>
      <c r="AE109"/>
      <c r="AF109"/>
      <c r="AG109"/>
      <c r="AO109"/>
      <c r="AP109"/>
      <c r="AQ109"/>
      <c r="AY109"/>
      <c r="AZ109"/>
      <c r="BA109"/>
      <c r="BI109"/>
      <c r="BJ109"/>
      <c r="BK109"/>
      <c r="BS109"/>
      <c r="BT109"/>
      <c r="BU109"/>
      <c r="BX109">
        <v>221</v>
      </c>
      <c r="BY109" s="63" t="s">
        <v>977</v>
      </c>
      <c r="BZ109" s="63" t="s">
        <v>261</v>
      </c>
      <c r="CA109" s="63" t="s">
        <v>184</v>
      </c>
      <c r="CB109" s="63" t="s">
        <v>981</v>
      </c>
      <c r="CC109">
        <v>1</v>
      </c>
      <c r="CD109">
        <v>44</v>
      </c>
      <c r="CE109"/>
    </row>
    <row r="110" spans="8:83">
      <c r="H110"/>
      <c r="I110"/>
      <c r="J110"/>
      <c r="U110"/>
      <c r="V110"/>
      <c r="W110"/>
      <c r="AE110"/>
      <c r="AF110"/>
      <c r="AG110"/>
      <c r="AO110"/>
      <c r="AP110"/>
      <c r="AQ110"/>
      <c r="AY110"/>
      <c r="AZ110"/>
      <c r="BA110"/>
      <c r="BI110"/>
      <c r="BJ110"/>
      <c r="BK110"/>
      <c r="BS110"/>
      <c r="BT110"/>
      <c r="BU110"/>
      <c r="BX110" s="130">
        <v>221</v>
      </c>
      <c r="BY110" s="130" t="s">
        <v>1317</v>
      </c>
      <c r="BZ110" s="130" t="s">
        <v>261</v>
      </c>
      <c r="CA110" s="130" t="s">
        <v>174</v>
      </c>
      <c r="CB110" s="130" t="s">
        <v>970</v>
      </c>
      <c r="CC110" s="130">
        <v>1</v>
      </c>
      <c r="CD110" s="130">
        <v>5</v>
      </c>
      <c r="CE110"/>
    </row>
    <row r="111" spans="8:83">
      <c r="H111"/>
      <c r="I111"/>
      <c r="J111"/>
      <c r="U111"/>
      <c r="V111"/>
      <c r="W111"/>
      <c r="AE111"/>
      <c r="AF111"/>
      <c r="AG111"/>
      <c r="AO111"/>
      <c r="AP111"/>
      <c r="AQ111"/>
      <c r="AY111"/>
      <c r="AZ111"/>
      <c r="BA111"/>
      <c r="BI111"/>
      <c r="BJ111"/>
      <c r="BK111"/>
      <c r="BS111"/>
      <c r="BT111"/>
      <c r="BU111"/>
      <c r="BX111">
        <v>221</v>
      </c>
      <c r="BY111" s="63" t="s">
        <v>1317</v>
      </c>
      <c r="BZ111" s="63" t="s">
        <v>261</v>
      </c>
      <c r="CA111" s="63" t="s">
        <v>184</v>
      </c>
      <c r="CB111" s="63" t="s">
        <v>2028</v>
      </c>
      <c r="CC111">
        <v>1</v>
      </c>
      <c r="CD111">
        <v>59</v>
      </c>
      <c r="CE111"/>
    </row>
    <row r="112" spans="8:83">
      <c r="H112"/>
      <c r="I112"/>
      <c r="J112"/>
      <c r="U112"/>
      <c r="V112"/>
      <c r="W112"/>
      <c r="AE112"/>
      <c r="AF112"/>
      <c r="AG112"/>
      <c r="AO112"/>
      <c r="AP112"/>
      <c r="AQ112"/>
      <c r="AY112"/>
      <c r="AZ112"/>
      <c r="BA112"/>
      <c r="BI112"/>
      <c r="BJ112"/>
      <c r="BK112"/>
      <c r="BS112"/>
      <c r="BT112"/>
      <c r="BU112"/>
      <c r="BX112">
        <v>221</v>
      </c>
      <c r="BY112" s="63" t="s">
        <v>919</v>
      </c>
      <c r="BZ112" s="63" t="s">
        <v>261</v>
      </c>
      <c r="CA112" s="63" t="s">
        <v>184</v>
      </c>
      <c r="CB112" s="63" t="s">
        <v>1327</v>
      </c>
      <c r="CC112">
        <v>1</v>
      </c>
      <c r="CD112">
        <v>36</v>
      </c>
      <c r="CE112"/>
    </row>
    <row r="113" spans="8:83">
      <c r="H113"/>
      <c r="I113"/>
      <c r="J113"/>
      <c r="U113"/>
      <c r="V113"/>
      <c r="W113"/>
      <c r="AE113"/>
      <c r="AF113"/>
      <c r="AG113"/>
      <c r="AO113"/>
      <c r="AP113"/>
      <c r="AQ113"/>
      <c r="AY113"/>
      <c r="AZ113"/>
      <c r="BA113"/>
      <c r="BI113"/>
      <c r="BJ113"/>
      <c r="BK113"/>
      <c r="BS113"/>
      <c r="BT113"/>
      <c r="BU113"/>
      <c r="BX113">
        <v>221</v>
      </c>
      <c r="BY113" s="63" t="s">
        <v>979</v>
      </c>
      <c r="BZ113" s="63" t="s">
        <v>261</v>
      </c>
      <c r="CA113" s="63" t="s">
        <v>184</v>
      </c>
      <c r="CB113" s="63" t="s">
        <v>1997</v>
      </c>
      <c r="CC113">
        <v>1</v>
      </c>
      <c r="CD113">
        <v>48</v>
      </c>
      <c r="CE113"/>
    </row>
    <row r="114" spans="8:83">
      <c r="H114"/>
      <c r="I114"/>
      <c r="J114"/>
      <c r="U114"/>
      <c r="V114"/>
      <c r="W114"/>
      <c r="AE114"/>
      <c r="AF114"/>
      <c r="AG114"/>
      <c r="AO114"/>
      <c r="AP114"/>
      <c r="AQ114"/>
      <c r="AY114"/>
      <c r="AZ114"/>
      <c r="BA114"/>
      <c r="BI114"/>
      <c r="BJ114"/>
      <c r="BK114"/>
      <c r="BS114"/>
      <c r="BT114"/>
      <c r="BU114"/>
      <c r="BX114">
        <v>221</v>
      </c>
      <c r="BY114" s="63" t="s">
        <v>809</v>
      </c>
      <c r="BZ114" s="63" t="s">
        <v>261</v>
      </c>
      <c r="CA114" s="63" t="s">
        <v>172</v>
      </c>
      <c r="CB114" s="63" t="s">
        <v>1159</v>
      </c>
      <c r="CC114">
        <v>1</v>
      </c>
      <c r="CD114">
        <v>58</v>
      </c>
      <c r="CE114"/>
    </row>
    <row r="115" spans="8:83">
      <c r="H115"/>
      <c r="I115"/>
      <c r="J115"/>
      <c r="U115"/>
      <c r="V115"/>
      <c r="W115"/>
      <c r="AE115"/>
      <c r="AF115"/>
      <c r="AG115"/>
      <c r="AO115"/>
      <c r="AP115"/>
      <c r="AQ115"/>
      <c r="AY115"/>
      <c r="AZ115"/>
      <c r="BA115"/>
      <c r="BI115"/>
      <c r="BJ115"/>
      <c r="BK115"/>
      <c r="BS115"/>
      <c r="BT115"/>
      <c r="BU115"/>
      <c r="BX115">
        <v>221</v>
      </c>
      <c r="BY115" s="63" t="s">
        <v>1582</v>
      </c>
      <c r="BZ115" s="63" t="s">
        <v>261</v>
      </c>
      <c r="CA115" s="63" t="s">
        <v>185</v>
      </c>
      <c r="CB115" s="63" t="s">
        <v>1229</v>
      </c>
      <c r="CC115">
        <v>1</v>
      </c>
      <c r="CD115">
        <v>60</v>
      </c>
      <c r="CE115"/>
    </row>
    <row r="116" spans="8:83">
      <c r="H116"/>
      <c r="I116"/>
      <c r="J116"/>
      <c r="U116"/>
      <c r="V116"/>
      <c r="W116"/>
      <c r="AE116"/>
      <c r="AF116"/>
      <c r="AG116"/>
      <c r="AO116"/>
      <c r="AP116"/>
      <c r="AQ116"/>
      <c r="AY116"/>
      <c r="AZ116"/>
      <c r="BA116"/>
      <c r="BI116"/>
      <c r="BJ116"/>
      <c r="BK116"/>
      <c r="BS116"/>
      <c r="BT116"/>
      <c r="BU116"/>
      <c r="BX116">
        <v>221</v>
      </c>
      <c r="BY116" s="63" t="s">
        <v>1582</v>
      </c>
      <c r="BZ116" s="63" t="s">
        <v>261</v>
      </c>
      <c r="CA116" s="63" t="s">
        <v>184</v>
      </c>
      <c r="CB116" s="63" t="s">
        <v>1798</v>
      </c>
      <c r="CC116">
        <v>1</v>
      </c>
      <c r="CD116">
        <v>60</v>
      </c>
      <c r="CE116"/>
    </row>
    <row r="117" spans="8:83">
      <c r="H117"/>
      <c r="I117"/>
      <c r="J117"/>
      <c r="U117"/>
      <c r="V117"/>
      <c r="W117"/>
      <c r="AE117"/>
      <c r="AF117"/>
      <c r="AG117"/>
      <c r="AO117"/>
      <c r="AP117"/>
      <c r="AQ117"/>
      <c r="AY117"/>
      <c r="AZ117"/>
      <c r="BA117"/>
      <c r="BI117"/>
      <c r="BJ117"/>
      <c r="BK117"/>
      <c r="BS117"/>
      <c r="BT117"/>
      <c r="BU117"/>
      <c r="BX117">
        <v>221</v>
      </c>
      <c r="BY117" s="63" t="s">
        <v>1582</v>
      </c>
      <c r="BZ117" s="63" t="s">
        <v>261</v>
      </c>
      <c r="CA117" s="63" t="s">
        <v>184</v>
      </c>
      <c r="CB117" s="63" t="s">
        <v>1206</v>
      </c>
      <c r="CC117">
        <v>1</v>
      </c>
      <c r="CD117">
        <v>60</v>
      </c>
      <c r="CE117"/>
    </row>
    <row r="118" spans="8:83">
      <c r="H118"/>
      <c r="I118"/>
      <c r="J118"/>
      <c r="U118"/>
      <c r="V118"/>
      <c r="W118"/>
      <c r="AE118"/>
      <c r="AF118"/>
      <c r="AG118"/>
      <c r="AO118"/>
      <c r="AP118"/>
      <c r="AQ118"/>
      <c r="AY118"/>
      <c r="AZ118"/>
      <c r="BA118"/>
      <c r="BI118"/>
      <c r="BJ118"/>
      <c r="BK118"/>
      <c r="BS118"/>
      <c r="BT118"/>
      <c r="BU118"/>
      <c r="BX118">
        <v>221</v>
      </c>
      <c r="BY118" s="63" t="s">
        <v>1582</v>
      </c>
      <c r="BZ118" s="63" t="s">
        <v>261</v>
      </c>
      <c r="CA118" s="63" t="s">
        <v>184</v>
      </c>
      <c r="CB118" s="63" t="s">
        <v>1184</v>
      </c>
      <c r="CC118">
        <v>1</v>
      </c>
      <c r="CD118">
        <v>60</v>
      </c>
      <c r="CE118"/>
    </row>
    <row r="119" spans="8:83">
      <c r="H119"/>
      <c r="I119"/>
      <c r="J119"/>
      <c r="U119"/>
      <c r="V119"/>
      <c r="W119"/>
      <c r="AE119"/>
      <c r="AF119"/>
      <c r="AG119"/>
      <c r="AO119"/>
      <c r="AP119"/>
      <c r="AQ119"/>
      <c r="AY119"/>
      <c r="AZ119"/>
      <c r="BA119"/>
      <c r="BI119"/>
      <c r="BJ119"/>
      <c r="BK119"/>
      <c r="BS119"/>
      <c r="BT119"/>
      <c r="BU119"/>
      <c r="BX119">
        <v>221</v>
      </c>
      <c r="BY119" s="63" t="s">
        <v>1582</v>
      </c>
      <c r="BZ119" s="63" t="s">
        <v>261</v>
      </c>
      <c r="CA119" s="63" t="s">
        <v>184</v>
      </c>
      <c r="CB119" s="63" t="s">
        <v>2021</v>
      </c>
      <c r="CC119">
        <v>1</v>
      </c>
      <c r="CD119">
        <v>46</v>
      </c>
      <c r="CE119"/>
    </row>
    <row r="120" spans="8:83">
      <c r="H120"/>
      <c r="I120"/>
      <c r="J120"/>
      <c r="U120"/>
      <c r="V120"/>
      <c r="W120"/>
      <c r="AE120"/>
      <c r="AF120"/>
      <c r="AG120"/>
      <c r="AO120"/>
      <c r="AP120"/>
      <c r="AQ120"/>
      <c r="AY120"/>
      <c r="AZ120"/>
      <c r="BA120"/>
      <c r="BI120"/>
      <c r="BJ120"/>
      <c r="BK120"/>
      <c r="BS120"/>
      <c r="BT120"/>
      <c r="BU120"/>
      <c r="BX120">
        <v>221</v>
      </c>
      <c r="BY120" s="63" t="s">
        <v>1582</v>
      </c>
      <c r="BZ120" s="63" t="s">
        <v>261</v>
      </c>
      <c r="CA120" s="63" t="s">
        <v>184</v>
      </c>
      <c r="CB120" s="63" t="s">
        <v>1447</v>
      </c>
      <c r="CC120">
        <v>1</v>
      </c>
      <c r="CD120">
        <v>60</v>
      </c>
      <c r="CE120"/>
    </row>
    <row r="121" spans="8:83">
      <c r="H121"/>
      <c r="I121"/>
      <c r="J121"/>
      <c r="U121"/>
      <c r="V121"/>
      <c r="W121"/>
      <c r="AE121"/>
      <c r="AF121"/>
      <c r="AG121"/>
      <c r="AO121"/>
      <c r="AP121"/>
      <c r="AQ121"/>
      <c r="AY121"/>
      <c r="AZ121"/>
      <c r="BA121"/>
      <c r="BI121"/>
      <c r="BJ121"/>
      <c r="BK121"/>
      <c r="BS121"/>
      <c r="BT121"/>
      <c r="BU121"/>
      <c r="BX121">
        <v>221</v>
      </c>
      <c r="BY121" s="63" t="s">
        <v>1076</v>
      </c>
      <c r="BZ121" s="63" t="s">
        <v>261</v>
      </c>
      <c r="CA121" s="63" t="s">
        <v>203</v>
      </c>
      <c r="CB121" s="63" t="s">
        <v>1813</v>
      </c>
      <c r="CC121">
        <v>1</v>
      </c>
      <c r="CD121">
        <v>59</v>
      </c>
      <c r="CE121"/>
    </row>
    <row r="122" spans="8:83">
      <c r="H122"/>
      <c r="I122"/>
      <c r="J122"/>
      <c r="U122"/>
      <c r="V122"/>
      <c r="W122"/>
      <c r="AE122"/>
      <c r="AF122"/>
      <c r="AG122"/>
      <c r="AO122"/>
      <c r="AP122"/>
      <c r="AQ122"/>
      <c r="AY122"/>
      <c r="AZ122"/>
      <c r="BA122"/>
      <c r="BI122"/>
      <c r="BJ122"/>
      <c r="BK122"/>
      <c r="BS122"/>
      <c r="BT122"/>
      <c r="BU122"/>
      <c r="BX122">
        <v>221</v>
      </c>
      <c r="BY122" s="63" t="s">
        <v>1076</v>
      </c>
      <c r="BZ122" s="63" t="s">
        <v>261</v>
      </c>
      <c r="CA122" s="63" t="s">
        <v>203</v>
      </c>
      <c r="CB122" s="63" t="s">
        <v>1460</v>
      </c>
      <c r="CC122">
        <v>1</v>
      </c>
      <c r="CD122">
        <v>60</v>
      </c>
      <c r="CE122"/>
    </row>
    <row r="123" spans="8:83">
      <c r="H123"/>
      <c r="I123"/>
      <c r="J123"/>
      <c r="U123"/>
      <c r="V123"/>
      <c r="W123"/>
      <c r="AE123"/>
      <c r="AF123"/>
      <c r="AG123"/>
      <c r="AO123"/>
      <c r="AP123"/>
      <c r="AQ123"/>
      <c r="AY123"/>
      <c r="AZ123"/>
      <c r="BA123"/>
      <c r="BI123"/>
      <c r="BJ123"/>
      <c r="BK123"/>
      <c r="BS123"/>
      <c r="BT123"/>
      <c r="BU123"/>
      <c r="BX123">
        <v>221</v>
      </c>
      <c r="BY123" s="63" t="s">
        <v>1076</v>
      </c>
      <c r="BZ123" s="63" t="s">
        <v>261</v>
      </c>
      <c r="CA123" s="63" t="s">
        <v>173</v>
      </c>
      <c r="CB123" s="63" t="s">
        <v>1800</v>
      </c>
      <c r="CC123">
        <v>1</v>
      </c>
      <c r="CD123">
        <v>60</v>
      </c>
      <c r="CE123"/>
    </row>
    <row r="124" spans="8:83">
      <c r="H124"/>
      <c r="I124"/>
      <c r="J124"/>
      <c r="U124"/>
      <c r="V124"/>
      <c r="W124"/>
      <c r="AE124"/>
      <c r="AF124"/>
      <c r="AG124"/>
      <c r="AO124"/>
      <c r="AP124"/>
      <c r="AQ124"/>
      <c r="AY124"/>
      <c r="AZ124"/>
      <c r="BA124"/>
      <c r="BI124"/>
      <c r="BJ124"/>
      <c r="BK124"/>
      <c r="BS124"/>
      <c r="BT124"/>
      <c r="BU124"/>
      <c r="BX124">
        <v>221</v>
      </c>
      <c r="BY124" s="63" t="s">
        <v>1076</v>
      </c>
      <c r="BZ124" s="63" t="s">
        <v>261</v>
      </c>
      <c r="CA124" s="63" t="s">
        <v>175</v>
      </c>
      <c r="CB124" s="63" t="s">
        <v>1003</v>
      </c>
      <c r="CC124">
        <v>1</v>
      </c>
      <c r="CD124">
        <v>60</v>
      </c>
      <c r="CE124"/>
    </row>
    <row r="125" spans="8:83">
      <c r="H125"/>
      <c r="I125"/>
      <c r="J125"/>
      <c r="U125"/>
      <c r="V125"/>
      <c r="W125"/>
      <c r="AE125"/>
      <c r="AF125"/>
      <c r="AG125"/>
      <c r="AO125"/>
      <c r="AP125"/>
      <c r="AQ125"/>
      <c r="AY125"/>
      <c r="AZ125"/>
      <c r="BA125"/>
      <c r="BI125"/>
      <c r="BJ125"/>
      <c r="BK125"/>
      <c r="BS125"/>
      <c r="BT125"/>
      <c r="BU125"/>
      <c r="BX125">
        <v>221</v>
      </c>
      <c r="BY125" s="63" t="s">
        <v>1076</v>
      </c>
      <c r="BZ125" s="63" t="s">
        <v>261</v>
      </c>
      <c r="CA125" s="63" t="s">
        <v>175</v>
      </c>
      <c r="CB125" s="63" t="s">
        <v>2101</v>
      </c>
      <c r="CC125">
        <v>1</v>
      </c>
      <c r="CD125">
        <v>60</v>
      </c>
      <c r="CE125"/>
    </row>
    <row r="126" spans="8:83">
      <c r="H126"/>
      <c r="I126"/>
      <c r="J126"/>
      <c r="U126"/>
      <c r="V126"/>
      <c r="W126"/>
      <c r="AE126"/>
      <c r="AF126"/>
      <c r="AG126"/>
      <c r="AO126"/>
      <c r="AP126"/>
      <c r="AQ126"/>
      <c r="AY126"/>
      <c r="AZ126"/>
      <c r="BA126"/>
      <c r="BI126"/>
      <c r="BJ126"/>
      <c r="BK126"/>
      <c r="BS126"/>
      <c r="BT126"/>
      <c r="BU126"/>
      <c r="BX126">
        <v>221</v>
      </c>
      <c r="BY126" s="63" t="s">
        <v>1076</v>
      </c>
      <c r="BZ126" s="63" t="s">
        <v>261</v>
      </c>
      <c r="CA126" s="63" t="s">
        <v>184</v>
      </c>
      <c r="CB126" s="63" t="s">
        <v>1435</v>
      </c>
      <c r="CC126">
        <v>1</v>
      </c>
      <c r="CD126">
        <v>59</v>
      </c>
      <c r="CE126"/>
    </row>
    <row r="127" spans="8:83">
      <c r="H127"/>
      <c r="I127"/>
      <c r="J127"/>
      <c r="U127"/>
      <c r="V127"/>
      <c r="W127"/>
      <c r="AE127"/>
      <c r="AF127"/>
      <c r="AG127"/>
      <c r="AO127"/>
      <c r="AP127"/>
      <c r="AQ127"/>
      <c r="AY127"/>
      <c r="AZ127"/>
      <c r="BA127"/>
      <c r="BI127"/>
      <c r="BJ127"/>
      <c r="BK127"/>
      <c r="BS127"/>
      <c r="BT127"/>
      <c r="BU127"/>
      <c r="BX127">
        <v>221</v>
      </c>
      <c r="BY127" s="63" t="s">
        <v>1076</v>
      </c>
      <c r="BZ127" s="63" t="s">
        <v>261</v>
      </c>
      <c r="CA127" s="63" t="s">
        <v>184</v>
      </c>
      <c r="CB127" s="63" t="s">
        <v>1228</v>
      </c>
      <c r="CC127">
        <v>1</v>
      </c>
      <c r="CD127">
        <v>24</v>
      </c>
      <c r="CE127"/>
    </row>
    <row r="128" spans="8:83">
      <c r="H128"/>
      <c r="I128"/>
      <c r="J128"/>
      <c r="U128"/>
      <c r="V128"/>
      <c r="W128"/>
      <c r="AE128"/>
      <c r="AF128"/>
      <c r="AG128"/>
      <c r="AO128"/>
      <c r="AP128"/>
      <c r="AQ128"/>
      <c r="AY128"/>
      <c r="AZ128"/>
      <c r="BA128"/>
      <c r="BI128"/>
      <c r="BJ128"/>
      <c r="BK128"/>
      <c r="BS128"/>
      <c r="BT128"/>
      <c r="BU128"/>
      <c r="BX128">
        <v>221</v>
      </c>
      <c r="BY128" s="63" t="s">
        <v>2362</v>
      </c>
      <c r="BZ128" s="63" t="s">
        <v>261</v>
      </c>
      <c r="CA128" s="63" t="s">
        <v>172</v>
      </c>
      <c r="CB128" s="63" t="s">
        <v>2087</v>
      </c>
      <c r="CC128">
        <v>1</v>
      </c>
      <c r="CD128">
        <v>47</v>
      </c>
      <c r="CE128"/>
    </row>
    <row r="129" spans="8:83">
      <c r="H129"/>
      <c r="I129"/>
      <c r="J129"/>
      <c r="U129"/>
      <c r="V129"/>
      <c r="W129"/>
      <c r="AE129"/>
      <c r="AF129"/>
      <c r="AG129"/>
      <c r="AO129"/>
      <c r="AP129"/>
      <c r="AQ129"/>
      <c r="AY129"/>
      <c r="AZ129"/>
      <c r="BA129"/>
      <c r="BI129"/>
      <c r="BJ129"/>
      <c r="BK129"/>
      <c r="BS129"/>
      <c r="BT129"/>
      <c r="BU129"/>
      <c r="BX129" s="130">
        <v>221</v>
      </c>
      <c r="BY129" s="130" t="s">
        <v>2364</v>
      </c>
      <c r="BZ129" s="130" t="s">
        <v>261</v>
      </c>
      <c r="CA129" s="130" t="s">
        <v>174</v>
      </c>
      <c r="CB129" s="130" t="s">
        <v>1437</v>
      </c>
      <c r="CC129" s="130">
        <v>1</v>
      </c>
      <c r="CD129" s="130">
        <v>4</v>
      </c>
      <c r="CE129"/>
    </row>
    <row r="130" spans="8:83">
      <c r="H130"/>
      <c r="I130"/>
      <c r="J130"/>
      <c r="U130"/>
      <c r="V130"/>
      <c r="W130"/>
      <c r="AE130"/>
      <c r="AF130"/>
      <c r="AG130"/>
      <c r="AO130"/>
      <c r="AP130"/>
      <c r="AQ130"/>
      <c r="AY130"/>
      <c r="AZ130"/>
      <c r="BA130"/>
      <c r="BI130"/>
      <c r="BJ130"/>
      <c r="BK130"/>
      <c r="BS130"/>
      <c r="BT130"/>
      <c r="BU130"/>
      <c r="BX130">
        <v>221</v>
      </c>
      <c r="BY130" s="63" t="s">
        <v>275</v>
      </c>
      <c r="BZ130" s="63" t="s">
        <v>261</v>
      </c>
      <c r="CA130" s="63" t="s">
        <v>172</v>
      </c>
      <c r="CB130" s="63" t="s">
        <v>917</v>
      </c>
      <c r="CC130">
        <v>1</v>
      </c>
      <c r="CD130">
        <v>60</v>
      </c>
      <c r="CE130"/>
    </row>
    <row r="131" spans="8:83">
      <c r="H131"/>
      <c r="I131"/>
      <c r="J131"/>
      <c r="U131"/>
      <c r="V131"/>
      <c r="W131"/>
      <c r="AE131"/>
      <c r="AF131"/>
      <c r="AG131"/>
      <c r="AO131"/>
      <c r="AP131"/>
      <c r="AQ131"/>
      <c r="AY131"/>
      <c r="AZ131"/>
      <c r="BA131"/>
      <c r="BI131"/>
      <c r="BJ131"/>
      <c r="BK131"/>
      <c r="BS131"/>
      <c r="BT131"/>
      <c r="BU131"/>
      <c r="BX131">
        <v>221</v>
      </c>
      <c r="BY131" s="63" t="s">
        <v>275</v>
      </c>
      <c r="BZ131" s="63" t="s">
        <v>261</v>
      </c>
      <c r="CA131" s="63" t="s">
        <v>203</v>
      </c>
      <c r="CB131" s="63" t="s">
        <v>1004</v>
      </c>
      <c r="CC131">
        <v>1</v>
      </c>
      <c r="CD131">
        <v>60</v>
      </c>
      <c r="CE131"/>
    </row>
    <row r="132" spans="8:83">
      <c r="H132"/>
      <c r="I132"/>
      <c r="J132"/>
      <c r="U132"/>
      <c r="V132"/>
      <c r="W132"/>
      <c r="AE132"/>
      <c r="AF132"/>
      <c r="AG132"/>
      <c r="AO132"/>
      <c r="AP132"/>
      <c r="AQ132"/>
      <c r="AY132"/>
      <c r="AZ132"/>
      <c r="BA132"/>
      <c r="BI132"/>
      <c r="BJ132"/>
      <c r="BK132"/>
      <c r="BS132"/>
      <c r="BT132"/>
      <c r="BU132"/>
      <c r="BX132">
        <v>221</v>
      </c>
      <c r="BY132" s="63" t="s">
        <v>275</v>
      </c>
      <c r="BZ132" s="63" t="s">
        <v>261</v>
      </c>
      <c r="CA132" s="63" t="s">
        <v>175</v>
      </c>
      <c r="CB132" s="63" t="s">
        <v>1386</v>
      </c>
      <c r="CC132">
        <v>1</v>
      </c>
      <c r="CD132">
        <v>60</v>
      </c>
      <c r="CE132"/>
    </row>
    <row r="133" spans="8:83">
      <c r="H133"/>
      <c r="I133"/>
      <c r="J133"/>
      <c r="U133"/>
      <c r="V133"/>
      <c r="W133"/>
      <c r="AE133"/>
      <c r="AF133"/>
      <c r="AG133"/>
      <c r="AO133"/>
      <c r="AP133"/>
      <c r="AQ133"/>
      <c r="AY133"/>
      <c r="AZ133"/>
      <c r="BA133"/>
      <c r="BI133"/>
      <c r="BJ133"/>
      <c r="BK133"/>
      <c r="BS133"/>
      <c r="BT133"/>
      <c r="BU133"/>
      <c r="BX133">
        <v>221</v>
      </c>
      <c r="BY133" s="63" t="s">
        <v>275</v>
      </c>
      <c r="BZ133" s="63" t="s">
        <v>261</v>
      </c>
      <c r="CA133" s="63" t="s">
        <v>175</v>
      </c>
      <c r="CB133" s="63" t="s">
        <v>499</v>
      </c>
      <c r="CC133">
        <v>1</v>
      </c>
      <c r="CD133">
        <v>55</v>
      </c>
      <c r="CE133"/>
    </row>
    <row r="134" spans="8:83">
      <c r="H134"/>
      <c r="I134"/>
      <c r="J134"/>
      <c r="U134"/>
      <c r="V134"/>
      <c r="W134"/>
      <c r="AE134"/>
      <c r="AF134"/>
      <c r="AG134"/>
      <c r="AO134"/>
      <c r="AP134"/>
      <c r="AQ134"/>
      <c r="AY134"/>
      <c r="AZ134"/>
      <c r="BA134"/>
      <c r="BI134"/>
      <c r="BJ134"/>
      <c r="BK134"/>
      <c r="BS134"/>
      <c r="BT134"/>
      <c r="BU134"/>
      <c r="BX134">
        <v>221</v>
      </c>
      <c r="BY134" s="63" t="s">
        <v>275</v>
      </c>
      <c r="BZ134" s="63" t="s">
        <v>261</v>
      </c>
      <c r="CA134" s="63" t="s">
        <v>175</v>
      </c>
      <c r="CB134" s="63" t="s">
        <v>1440</v>
      </c>
      <c r="CC134">
        <v>1</v>
      </c>
      <c r="CD134">
        <v>60</v>
      </c>
      <c r="CE134"/>
    </row>
    <row r="135" spans="8:83">
      <c r="H135"/>
      <c r="I135"/>
      <c r="J135"/>
      <c r="U135"/>
      <c r="V135"/>
      <c r="W135"/>
      <c r="AE135"/>
      <c r="AF135"/>
      <c r="AG135"/>
      <c r="AO135"/>
      <c r="AP135"/>
      <c r="AQ135"/>
      <c r="AY135"/>
      <c r="AZ135"/>
      <c r="BA135"/>
      <c r="BI135"/>
      <c r="BJ135"/>
      <c r="BK135"/>
      <c r="BS135"/>
      <c r="BT135"/>
      <c r="BU135"/>
      <c r="BX135">
        <v>221</v>
      </c>
      <c r="BY135" s="63" t="s">
        <v>275</v>
      </c>
      <c r="BZ135" s="63" t="s">
        <v>261</v>
      </c>
      <c r="CA135" s="63" t="s">
        <v>184</v>
      </c>
      <c r="CB135" s="63" t="s">
        <v>2052</v>
      </c>
      <c r="CC135">
        <v>1</v>
      </c>
      <c r="CD135">
        <v>60</v>
      </c>
      <c r="CE135"/>
    </row>
    <row r="136" spans="8:83">
      <c r="H136"/>
      <c r="I136"/>
      <c r="J136"/>
      <c r="U136"/>
      <c r="V136"/>
      <c r="W136"/>
      <c r="AE136"/>
      <c r="AF136"/>
      <c r="AG136"/>
      <c r="AO136"/>
      <c r="AP136"/>
      <c r="AQ136"/>
      <c r="AY136"/>
      <c r="AZ136"/>
      <c r="BA136"/>
      <c r="BI136"/>
      <c r="BJ136"/>
      <c r="BK136"/>
      <c r="BS136"/>
      <c r="BT136"/>
      <c r="BU136"/>
      <c r="CC136"/>
      <c r="CD136"/>
      <c r="CE136"/>
    </row>
    <row r="137" spans="8:83">
      <c r="H137"/>
      <c r="I137"/>
      <c r="J137"/>
      <c r="U137"/>
      <c r="V137"/>
      <c r="W137"/>
      <c r="AE137"/>
      <c r="AF137"/>
      <c r="AG137"/>
      <c r="AO137"/>
      <c r="AP137"/>
      <c r="AQ137"/>
      <c r="AY137"/>
      <c r="AZ137"/>
      <c r="BA137"/>
      <c r="BI137"/>
      <c r="BJ137"/>
      <c r="BK137"/>
      <c r="BS137"/>
      <c r="BT137"/>
      <c r="BU137"/>
      <c r="CC137"/>
      <c r="CD137"/>
      <c r="CE137"/>
    </row>
    <row r="138" spans="8:83">
      <c r="H138"/>
      <c r="I138"/>
      <c r="J138"/>
      <c r="U138"/>
      <c r="V138"/>
      <c r="W138"/>
      <c r="AE138"/>
      <c r="AF138"/>
      <c r="AG138"/>
      <c r="AO138"/>
      <c r="AP138"/>
      <c r="AQ138"/>
      <c r="AY138"/>
      <c r="AZ138"/>
      <c r="BA138"/>
      <c r="BI138"/>
      <c r="BJ138"/>
      <c r="BK138"/>
      <c r="BS138"/>
      <c r="BT138"/>
      <c r="BU138"/>
      <c r="CC138"/>
      <c r="CD138"/>
      <c r="CE138"/>
    </row>
    <row r="139" spans="8:83">
      <c r="H139"/>
      <c r="I139"/>
      <c r="J139"/>
      <c r="U139"/>
      <c r="V139"/>
      <c r="W139"/>
      <c r="AE139"/>
      <c r="AF139"/>
      <c r="AG139"/>
      <c r="AO139"/>
      <c r="AP139"/>
      <c r="AQ139"/>
      <c r="AY139"/>
      <c r="AZ139"/>
      <c r="BA139"/>
      <c r="BI139"/>
      <c r="BJ139"/>
      <c r="BK139"/>
      <c r="BS139"/>
      <c r="BT139"/>
      <c r="BU139"/>
      <c r="CC139"/>
      <c r="CD139"/>
      <c r="CE139"/>
    </row>
    <row r="140" spans="8:83">
      <c r="H140"/>
      <c r="I140"/>
      <c r="J140"/>
      <c r="U140"/>
      <c r="V140"/>
      <c r="W140"/>
      <c r="AE140"/>
      <c r="AF140"/>
      <c r="AG140"/>
      <c r="AO140"/>
      <c r="AP140"/>
      <c r="AQ140"/>
      <c r="AY140"/>
      <c r="AZ140"/>
      <c r="BA140"/>
      <c r="BI140"/>
      <c r="BJ140"/>
      <c r="BK140"/>
      <c r="BS140"/>
      <c r="BT140"/>
      <c r="BU140"/>
      <c r="CC140"/>
      <c r="CD140"/>
      <c r="CE140"/>
    </row>
    <row r="141" spans="8:83">
      <c r="H141"/>
      <c r="I141"/>
      <c r="J141"/>
      <c r="U141"/>
      <c r="V141"/>
      <c r="W141"/>
      <c r="AE141"/>
      <c r="AF141"/>
      <c r="AG141"/>
      <c r="AO141"/>
      <c r="AP141"/>
      <c r="AQ141"/>
      <c r="AY141"/>
      <c r="AZ141"/>
      <c r="BA141"/>
      <c r="BI141"/>
      <c r="BJ141"/>
      <c r="BK141"/>
      <c r="BS141"/>
      <c r="BT141"/>
      <c r="BU141"/>
      <c r="CC141"/>
      <c r="CD141"/>
      <c r="CE141"/>
    </row>
    <row r="142" spans="8:83">
      <c r="H142"/>
      <c r="I142"/>
      <c r="J142"/>
      <c r="U142"/>
      <c r="V142"/>
      <c r="W142"/>
      <c r="AE142"/>
      <c r="AF142"/>
      <c r="AG142"/>
      <c r="AO142"/>
      <c r="AP142"/>
      <c r="AQ142"/>
      <c r="AY142"/>
      <c r="AZ142"/>
      <c r="BA142"/>
      <c r="BI142"/>
      <c r="BJ142"/>
      <c r="BK142"/>
      <c r="BS142"/>
      <c r="BT142"/>
      <c r="BU142"/>
      <c r="CC142"/>
      <c r="CD142"/>
      <c r="CE142"/>
    </row>
    <row r="143" spans="8:83">
      <c r="H143"/>
      <c r="I143"/>
      <c r="J143"/>
      <c r="U143"/>
      <c r="V143"/>
      <c r="W143"/>
      <c r="AE143"/>
      <c r="AF143"/>
      <c r="AG143"/>
      <c r="AO143"/>
      <c r="AP143"/>
      <c r="AQ143"/>
      <c r="AY143"/>
      <c r="AZ143"/>
      <c r="BA143"/>
      <c r="BI143"/>
      <c r="BJ143"/>
      <c r="BK143"/>
      <c r="BS143"/>
      <c r="BT143"/>
      <c r="BU143"/>
      <c r="CC143"/>
      <c r="CD143"/>
      <c r="CE143"/>
    </row>
    <row r="144" spans="8:83">
      <c r="H144"/>
      <c r="I144"/>
      <c r="J144"/>
      <c r="U144"/>
      <c r="V144"/>
      <c r="W144"/>
      <c r="AE144"/>
      <c r="AF144"/>
      <c r="AG144"/>
      <c r="AO144"/>
      <c r="AP144"/>
      <c r="AQ144"/>
      <c r="AY144"/>
      <c r="AZ144"/>
      <c r="BA144"/>
      <c r="BI144"/>
      <c r="BJ144"/>
      <c r="BK144"/>
      <c r="BS144"/>
      <c r="BT144"/>
      <c r="BU144"/>
      <c r="CC144"/>
      <c r="CD144"/>
      <c r="CE144"/>
    </row>
    <row r="145" spans="8:83">
      <c r="H145"/>
      <c r="I145"/>
      <c r="J145"/>
      <c r="U145"/>
      <c r="V145"/>
      <c r="W145"/>
      <c r="AE145"/>
      <c r="AF145"/>
      <c r="AG145"/>
      <c r="AO145"/>
      <c r="AP145"/>
      <c r="AQ145"/>
      <c r="AY145"/>
      <c r="AZ145"/>
      <c r="BA145"/>
      <c r="BI145"/>
      <c r="BJ145"/>
      <c r="BK145"/>
      <c r="BS145"/>
      <c r="BT145"/>
      <c r="BU145"/>
      <c r="CC145"/>
      <c r="CD145"/>
      <c r="CE145"/>
    </row>
    <row r="146" spans="8:83">
      <c r="H146"/>
      <c r="I146"/>
      <c r="J146"/>
      <c r="U146"/>
      <c r="V146"/>
      <c r="W146"/>
      <c r="AE146"/>
      <c r="AF146"/>
      <c r="AG146"/>
      <c r="AO146"/>
      <c r="AP146"/>
      <c r="AQ146"/>
      <c r="AY146"/>
      <c r="AZ146"/>
      <c r="BA146"/>
      <c r="BI146"/>
      <c r="BJ146"/>
      <c r="BK146"/>
      <c r="BS146"/>
      <c r="BT146"/>
      <c r="BU146"/>
      <c r="CC146"/>
      <c r="CD146"/>
      <c r="CE146"/>
    </row>
    <row r="147" spans="8:83">
      <c r="H147"/>
      <c r="I147"/>
      <c r="J147"/>
      <c r="U147"/>
      <c r="V147"/>
      <c r="W147"/>
      <c r="AE147"/>
      <c r="AF147"/>
      <c r="AG147"/>
      <c r="AO147"/>
      <c r="AP147"/>
      <c r="AQ147"/>
      <c r="AY147"/>
      <c r="AZ147"/>
      <c r="BA147"/>
      <c r="BI147"/>
      <c r="BJ147"/>
      <c r="BK147"/>
      <c r="BS147"/>
      <c r="BT147"/>
      <c r="BU147"/>
      <c r="CC147"/>
      <c r="CD147"/>
      <c r="CE147"/>
    </row>
    <row r="148" spans="8:83">
      <c r="H148"/>
      <c r="I148"/>
      <c r="J148"/>
      <c r="U148"/>
      <c r="V148"/>
      <c r="W148"/>
      <c r="AE148"/>
      <c r="AF148"/>
      <c r="AG148"/>
      <c r="AO148"/>
      <c r="AP148"/>
      <c r="AQ148"/>
      <c r="AY148"/>
      <c r="AZ148"/>
      <c r="BA148"/>
      <c r="BI148"/>
      <c r="BJ148"/>
      <c r="BK148"/>
      <c r="BS148"/>
      <c r="BT148"/>
      <c r="BU148"/>
      <c r="CC148"/>
      <c r="CD148"/>
      <c r="CE148"/>
    </row>
    <row r="149" spans="8:83">
      <c r="H149"/>
      <c r="I149"/>
      <c r="J149"/>
      <c r="U149"/>
      <c r="V149"/>
      <c r="W149"/>
      <c r="AE149"/>
      <c r="AF149"/>
      <c r="AG149"/>
      <c r="AO149"/>
      <c r="AP149"/>
      <c r="AQ149"/>
      <c r="AY149"/>
      <c r="AZ149"/>
      <c r="BA149"/>
      <c r="BI149"/>
      <c r="BJ149"/>
      <c r="BK149"/>
      <c r="BS149"/>
      <c r="BT149"/>
      <c r="BU149"/>
      <c r="CC149"/>
      <c r="CD149"/>
      <c r="CE149"/>
    </row>
    <row r="150" spans="8:83">
      <c r="H150"/>
      <c r="I150"/>
      <c r="J150"/>
      <c r="U150"/>
      <c r="V150"/>
      <c r="W150"/>
      <c r="AE150"/>
      <c r="AF150"/>
      <c r="AG150"/>
      <c r="AO150"/>
      <c r="AP150"/>
      <c r="AQ150"/>
      <c r="AY150"/>
      <c r="AZ150"/>
      <c r="BA150"/>
      <c r="BI150"/>
      <c r="BJ150"/>
      <c r="BK150"/>
      <c r="BS150"/>
      <c r="BT150"/>
      <c r="BU150"/>
      <c r="CC150"/>
      <c r="CD150"/>
      <c r="CE150"/>
    </row>
    <row r="151" spans="8:83">
      <c r="H151"/>
      <c r="I151"/>
      <c r="J151"/>
      <c r="U151"/>
      <c r="V151"/>
      <c r="W151"/>
      <c r="AE151"/>
      <c r="AF151"/>
      <c r="AG151"/>
      <c r="AO151"/>
      <c r="AP151"/>
      <c r="AQ151"/>
      <c r="AY151"/>
      <c r="AZ151"/>
      <c r="BA151"/>
      <c r="BI151"/>
      <c r="BJ151"/>
      <c r="BK151"/>
      <c r="BS151"/>
      <c r="BT151"/>
      <c r="BU151"/>
      <c r="CC151"/>
      <c r="CD151"/>
      <c r="CE151"/>
    </row>
    <row r="152" spans="8:83">
      <c r="H152"/>
      <c r="I152"/>
      <c r="J152"/>
      <c r="U152"/>
      <c r="V152"/>
      <c r="W152"/>
      <c r="AE152"/>
      <c r="AF152"/>
      <c r="AG152"/>
      <c r="AO152"/>
      <c r="AP152"/>
      <c r="AQ152"/>
      <c r="AY152"/>
      <c r="AZ152"/>
      <c r="BA152"/>
      <c r="BI152"/>
      <c r="BJ152"/>
      <c r="BK152"/>
      <c r="BS152"/>
      <c r="BT152"/>
      <c r="BU152"/>
      <c r="CC152"/>
      <c r="CD152"/>
      <c r="CE152"/>
    </row>
    <row r="153" spans="8:83">
      <c r="H153"/>
      <c r="I153"/>
      <c r="J153"/>
      <c r="U153"/>
      <c r="V153"/>
      <c r="W153"/>
      <c r="AE153"/>
      <c r="AF153"/>
      <c r="AG153"/>
      <c r="AO153"/>
      <c r="AP153"/>
      <c r="AQ153"/>
      <c r="AY153"/>
      <c r="AZ153"/>
      <c r="BA153"/>
      <c r="BI153"/>
      <c r="BJ153"/>
      <c r="BK153"/>
      <c r="BS153"/>
      <c r="BT153"/>
      <c r="BU153"/>
      <c r="CC153"/>
      <c r="CD153"/>
      <c r="CE153"/>
    </row>
    <row r="154" spans="8:83">
      <c r="H154"/>
      <c r="I154"/>
      <c r="J154"/>
      <c r="U154"/>
      <c r="V154"/>
      <c r="W154"/>
      <c r="AE154"/>
      <c r="AF154"/>
      <c r="AG154"/>
      <c r="AO154"/>
      <c r="AP154"/>
      <c r="AQ154"/>
      <c r="AY154"/>
      <c r="AZ154"/>
      <c r="BA154"/>
      <c r="BI154"/>
      <c r="BJ154"/>
      <c r="BK154"/>
      <c r="BS154"/>
      <c r="BT154"/>
      <c r="BU154"/>
      <c r="CC154"/>
      <c r="CD154"/>
      <c r="CE154"/>
    </row>
    <row r="155" spans="8:83">
      <c r="H155"/>
      <c r="I155"/>
      <c r="J155"/>
      <c r="U155"/>
      <c r="V155"/>
      <c r="W155"/>
      <c r="AE155"/>
      <c r="AF155"/>
      <c r="AG155"/>
      <c r="AO155"/>
      <c r="AP155"/>
      <c r="AQ155"/>
      <c r="AY155"/>
      <c r="AZ155"/>
      <c r="BA155"/>
      <c r="BI155"/>
      <c r="BJ155"/>
      <c r="BK155"/>
      <c r="BS155"/>
      <c r="BT155"/>
      <c r="BU155"/>
      <c r="CC155"/>
      <c r="CD155"/>
      <c r="CE155"/>
    </row>
    <row r="156" spans="8:83">
      <c r="H156"/>
      <c r="I156"/>
      <c r="J156"/>
      <c r="U156"/>
      <c r="V156"/>
      <c r="W156"/>
      <c r="AE156"/>
      <c r="AF156"/>
      <c r="AG156"/>
      <c r="AO156"/>
      <c r="AP156"/>
      <c r="AQ156"/>
      <c r="AY156"/>
      <c r="AZ156"/>
      <c r="BA156"/>
      <c r="BI156"/>
      <c r="BJ156"/>
      <c r="BK156"/>
      <c r="BS156"/>
      <c r="BT156"/>
      <c r="BU156"/>
      <c r="CC156"/>
      <c r="CD156"/>
      <c r="CE156"/>
    </row>
    <row r="157" spans="8:83">
      <c r="H157"/>
      <c r="I157"/>
      <c r="J157"/>
      <c r="U157"/>
      <c r="V157"/>
      <c r="W157"/>
      <c r="AE157"/>
      <c r="AF157"/>
      <c r="AG157"/>
      <c r="AO157"/>
      <c r="AP157"/>
      <c r="AQ157"/>
      <c r="AY157"/>
      <c r="AZ157"/>
      <c r="BA157"/>
      <c r="BI157"/>
      <c r="BJ157"/>
      <c r="BK157"/>
      <c r="BS157"/>
      <c r="BT157"/>
      <c r="BU157"/>
      <c r="CC157"/>
      <c r="CD157"/>
      <c r="CE157"/>
    </row>
    <row r="158" spans="8:83">
      <c r="H158"/>
      <c r="I158"/>
      <c r="J158"/>
      <c r="U158"/>
      <c r="V158"/>
      <c r="W158"/>
      <c r="AE158"/>
      <c r="AF158"/>
      <c r="AG158"/>
      <c r="AO158"/>
      <c r="AP158"/>
      <c r="AQ158"/>
      <c r="AY158"/>
      <c r="AZ158"/>
      <c r="BA158"/>
      <c r="BI158"/>
      <c r="BJ158"/>
      <c r="BK158"/>
      <c r="BS158"/>
      <c r="BT158"/>
      <c r="BU158"/>
      <c r="CC158"/>
      <c r="CD158"/>
      <c r="CE158"/>
    </row>
    <row r="159" spans="8:83">
      <c r="H159"/>
      <c r="I159"/>
      <c r="J159"/>
      <c r="U159"/>
      <c r="V159"/>
      <c r="W159"/>
      <c r="AE159"/>
      <c r="AF159"/>
      <c r="AG159"/>
      <c r="AO159"/>
      <c r="AP159"/>
      <c r="AQ159"/>
      <c r="AY159"/>
      <c r="AZ159"/>
      <c r="BA159"/>
      <c r="BI159"/>
      <c r="BJ159"/>
      <c r="BK159"/>
      <c r="BS159"/>
      <c r="BT159"/>
      <c r="BU159"/>
      <c r="CC159"/>
      <c r="CD159"/>
      <c r="CE159"/>
    </row>
    <row r="160" spans="8:83">
      <c r="H160"/>
      <c r="I160"/>
      <c r="J160"/>
      <c r="U160"/>
      <c r="V160"/>
      <c r="W160"/>
      <c r="AE160"/>
      <c r="AF160"/>
      <c r="AG160"/>
      <c r="AO160"/>
      <c r="AP160"/>
      <c r="AQ160"/>
      <c r="AY160"/>
      <c r="AZ160"/>
      <c r="BA160"/>
      <c r="BI160"/>
      <c r="BJ160"/>
      <c r="BK160"/>
      <c r="BS160"/>
      <c r="BT160"/>
      <c r="BU160"/>
      <c r="CC160"/>
      <c r="CD160"/>
      <c r="CE160"/>
    </row>
    <row r="161" spans="2:83">
      <c r="H161"/>
      <c r="I161"/>
      <c r="J161"/>
      <c r="U161"/>
      <c r="V161"/>
      <c r="W161"/>
      <c r="AE161"/>
      <c r="AF161"/>
      <c r="AG161"/>
      <c r="AO161"/>
      <c r="AP161"/>
      <c r="AQ161"/>
      <c r="AY161"/>
      <c r="AZ161"/>
      <c r="BA161"/>
      <c r="BI161"/>
      <c r="BJ161"/>
      <c r="BK161"/>
      <c r="BS161"/>
      <c r="BT161"/>
      <c r="BU161"/>
      <c r="CC161"/>
      <c r="CD161"/>
      <c r="CE161"/>
    </row>
    <row r="162" spans="2:83">
      <c r="B162"/>
      <c r="C162"/>
      <c r="H162"/>
      <c r="I162"/>
      <c r="J162"/>
      <c r="U162"/>
      <c r="V162"/>
      <c r="W162"/>
      <c r="AE162"/>
      <c r="AF162"/>
      <c r="AG162"/>
      <c r="AO162"/>
      <c r="AP162"/>
      <c r="AQ162"/>
      <c r="AY162"/>
      <c r="AZ162"/>
      <c r="BA162"/>
      <c r="BI162"/>
      <c r="BJ162"/>
      <c r="BK162"/>
      <c r="BS162"/>
      <c r="BT162"/>
      <c r="BU162"/>
      <c r="CC162"/>
      <c r="CD162"/>
      <c r="CE162"/>
    </row>
    <row r="163" spans="2:83">
      <c r="B163"/>
      <c r="C163"/>
      <c r="H163"/>
      <c r="I163"/>
      <c r="J163"/>
      <c r="U163"/>
      <c r="V163"/>
      <c r="W163"/>
      <c r="AE163"/>
      <c r="AF163"/>
      <c r="AG163"/>
      <c r="AO163"/>
      <c r="AP163"/>
      <c r="AQ163"/>
      <c r="AY163"/>
      <c r="AZ163"/>
      <c r="BA163"/>
      <c r="BI163"/>
      <c r="BJ163"/>
      <c r="BK163"/>
      <c r="BS163"/>
      <c r="BT163"/>
      <c r="BU163"/>
      <c r="CC163"/>
      <c r="CD163"/>
      <c r="CE163"/>
    </row>
    <row r="164" spans="2:83">
      <c r="B164"/>
      <c r="C164"/>
      <c r="H164"/>
      <c r="I164"/>
      <c r="J164"/>
      <c r="U164"/>
      <c r="V164"/>
      <c r="W164"/>
      <c r="AE164"/>
      <c r="AF164"/>
      <c r="AG164"/>
      <c r="AO164"/>
      <c r="AP164"/>
      <c r="AQ164"/>
      <c r="AY164"/>
      <c r="AZ164"/>
      <c r="BA164"/>
      <c r="BI164"/>
      <c r="BJ164"/>
      <c r="BK164"/>
      <c r="BS164"/>
      <c r="BT164"/>
      <c r="BU164"/>
      <c r="CC164"/>
      <c r="CD164"/>
      <c r="CE164"/>
    </row>
    <row r="165" spans="2:83">
      <c r="B165"/>
      <c r="C165"/>
      <c r="H165"/>
      <c r="I165"/>
      <c r="J165"/>
      <c r="U165"/>
      <c r="V165"/>
      <c r="W165"/>
      <c r="AE165"/>
      <c r="AF165"/>
      <c r="AG165"/>
      <c r="AO165"/>
      <c r="AP165"/>
      <c r="AQ165"/>
      <c r="AY165"/>
      <c r="AZ165"/>
      <c r="BA165"/>
      <c r="BI165"/>
      <c r="BJ165"/>
      <c r="BK165"/>
      <c r="BS165"/>
      <c r="BT165"/>
      <c r="BU165"/>
      <c r="CC165"/>
      <c r="CD165"/>
      <c r="CE165"/>
    </row>
    <row r="166" spans="2:83">
      <c r="B166"/>
      <c r="C166"/>
      <c r="H166"/>
      <c r="I166"/>
      <c r="J166"/>
      <c r="U166"/>
      <c r="V166"/>
      <c r="W166"/>
      <c r="AE166"/>
      <c r="AF166"/>
      <c r="AG166"/>
      <c r="AO166"/>
      <c r="AP166"/>
      <c r="AQ166"/>
      <c r="AY166"/>
      <c r="AZ166"/>
      <c r="BA166"/>
      <c r="BI166"/>
      <c r="BJ166"/>
      <c r="BK166"/>
      <c r="BS166"/>
      <c r="BT166"/>
      <c r="BU166"/>
      <c r="CC166"/>
      <c r="CD166"/>
      <c r="CE166"/>
    </row>
    <row r="167" spans="2:83">
      <c r="B167"/>
      <c r="C167"/>
      <c r="H167"/>
      <c r="I167"/>
      <c r="J167"/>
      <c r="U167"/>
      <c r="V167"/>
      <c r="W167"/>
      <c r="AE167"/>
      <c r="AF167"/>
      <c r="AG167"/>
      <c r="AO167"/>
      <c r="AP167"/>
      <c r="AQ167"/>
      <c r="AY167"/>
      <c r="AZ167"/>
      <c r="BA167"/>
      <c r="BI167"/>
      <c r="BJ167"/>
      <c r="BK167"/>
      <c r="BS167"/>
      <c r="BT167"/>
      <c r="BU167"/>
      <c r="CC167"/>
      <c r="CD167"/>
      <c r="CE167"/>
    </row>
    <row r="168" spans="2:83">
      <c r="B168"/>
      <c r="C168"/>
      <c r="H168"/>
      <c r="I168"/>
      <c r="J168"/>
      <c r="U168"/>
      <c r="V168"/>
      <c r="W168"/>
      <c r="AE168"/>
      <c r="AF168"/>
      <c r="AG168"/>
      <c r="AO168"/>
      <c r="AP168"/>
      <c r="AQ168"/>
      <c r="AY168"/>
      <c r="AZ168"/>
      <c r="BA168"/>
      <c r="BI168"/>
      <c r="BJ168"/>
      <c r="BK168"/>
      <c r="BS168"/>
      <c r="BT168"/>
      <c r="BU168"/>
      <c r="CC168"/>
      <c r="CD168"/>
      <c r="CE168"/>
    </row>
    <row r="169" spans="2:83">
      <c r="B169"/>
      <c r="C169"/>
      <c r="H169"/>
      <c r="I169"/>
      <c r="J169"/>
      <c r="U169"/>
      <c r="V169"/>
      <c r="W169"/>
      <c r="AE169"/>
      <c r="AF169"/>
      <c r="AG169"/>
      <c r="AO169"/>
      <c r="AP169"/>
      <c r="AQ169"/>
      <c r="AY169"/>
      <c r="AZ169"/>
      <c r="BA169"/>
      <c r="BI169"/>
      <c r="BJ169"/>
      <c r="BK169"/>
      <c r="BS169"/>
      <c r="BT169"/>
      <c r="BU169"/>
      <c r="CC169"/>
      <c r="CD169"/>
      <c r="CE169"/>
    </row>
    <row r="170" spans="2:83">
      <c r="B170"/>
      <c r="C170"/>
      <c r="H170"/>
      <c r="I170"/>
      <c r="J170"/>
      <c r="U170"/>
      <c r="V170"/>
      <c r="W170"/>
      <c r="AE170"/>
      <c r="AF170"/>
      <c r="AG170"/>
      <c r="AO170"/>
      <c r="AP170"/>
      <c r="AQ170"/>
      <c r="AY170"/>
      <c r="AZ170"/>
      <c r="BA170"/>
      <c r="BI170"/>
      <c r="BJ170"/>
      <c r="BK170"/>
      <c r="BS170"/>
      <c r="BT170"/>
      <c r="BU170"/>
      <c r="CC170"/>
      <c r="CD170"/>
      <c r="CE170"/>
    </row>
    <row r="171" spans="2:83">
      <c r="B171"/>
      <c r="C171"/>
      <c r="H171"/>
      <c r="I171"/>
      <c r="J171"/>
      <c r="U171"/>
      <c r="V171"/>
      <c r="W171"/>
      <c r="AE171"/>
      <c r="AF171"/>
      <c r="AG171"/>
      <c r="AO171"/>
      <c r="AP171"/>
      <c r="AQ171"/>
      <c r="AY171"/>
      <c r="AZ171"/>
      <c r="BA171"/>
      <c r="BI171"/>
      <c r="BJ171"/>
      <c r="BK171"/>
      <c r="BS171"/>
      <c r="BT171"/>
      <c r="BU171"/>
      <c r="CC171"/>
      <c r="CD171"/>
      <c r="CE171"/>
    </row>
    <row r="172" spans="2:83">
      <c r="B172"/>
      <c r="C172"/>
      <c r="H172"/>
      <c r="I172"/>
      <c r="J172"/>
      <c r="U172"/>
      <c r="V172"/>
      <c r="W172"/>
      <c r="AE172"/>
      <c r="AF172"/>
      <c r="AG172"/>
      <c r="AO172"/>
      <c r="AP172"/>
      <c r="AQ172"/>
      <c r="AY172"/>
      <c r="AZ172"/>
      <c r="BA172"/>
      <c r="BI172"/>
      <c r="BJ172"/>
      <c r="BK172"/>
      <c r="BS172"/>
      <c r="BT172"/>
      <c r="BU172"/>
      <c r="CC172"/>
      <c r="CD172"/>
      <c r="CE172"/>
    </row>
    <row r="173" spans="2:83">
      <c r="B173"/>
      <c r="C173"/>
      <c r="H173"/>
      <c r="I173"/>
      <c r="J173"/>
      <c r="U173"/>
      <c r="V173"/>
      <c r="W173"/>
      <c r="AE173"/>
      <c r="AF173"/>
      <c r="AG173"/>
      <c r="AO173"/>
      <c r="AP173"/>
      <c r="AQ173"/>
      <c r="AY173"/>
      <c r="AZ173"/>
      <c r="BA173"/>
      <c r="BI173"/>
      <c r="BJ173"/>
      <c r="BK173"/>
      <c r="BS173"/>
      <c r="BT173"/>
      <c r="BU173"/>
      <c r="CC173"/>
      <c r="CD173"/>
      <c r="CE173"/>
    </row>
    <row r="174" spans="2:83">
      <c r="B174"/>
      <c r="C174"/>
      <c r="H174"/>
      <c r="I174"/>
      <c r="J174"/>
      <c r="U174"/>
      <c r="V174"/>
      <c r="W174"/>
      <c r="AE174"/>
      <c r="AF174"/>
      <c r="AG174"/>
      <c r="AO174"/>
      <c r="AP174"/>
      <c r="AQ174"/>
      <c r="AY174"/>
      <c r="AZ174"/>
      <c r="BA174"/>
      <c r="BI174"/>
      <c r="BJ174"/>
      <c r="BK174"/>
      <c r="BS174"/>
      <c r="BT174"/>
      <c r="BU174"/>
      <c r="CC174"/>
      <c r="CD174"/>
      <c r="CE174"/>
    </row>
    <row r="175" spans="2:83">
      <c r="B175"/>
      <c r="C175"/>
      <c r="H175"/>
      <c r="I175"/>
      <c r="J175"/>
      <c r="U175"/>
      <c r="V175"/>
      <c r="W175"/>
      <c r="AE175"/>
      <c r="AF175"/>
      <c r="AG175"/>
      <c r="AO175"/>
      <c r="AP175"/>
      <c r="AQ175"/>
      <c r="AY175"/>
      <c r="AZ175"/>
      <c r="BA175"/>
      <c r="BI175"/>
      <c r="BJ175"/>
      <c r="BK175"/>
      <c r="BS175"/>
      <c r="BT175"/>
      <c r="BU175"/>
      <c r="CC175"/>
      <c r="CD175"/>
      <c r="CE175"/>
    </row>
    <row r="176" spans="2:83">
      <c r="B176"/>
      <c r="C176"/>
      <c r="H176"/>
      <c r="I176"/>
      <c r="J176"/>
      <c r="U176"/>
      <c r="V176"/>
      <c r="W176"/>
      <c r="AE176"/>
      <c r="AF176"/>
      <c r="AG176"/>
      <c r="AO176"/>
      <c r="AP176"/>
      <c r="AQ176"/>
      <c r="AY176"/>
      <c r="AZ176"/>
      <c r="BA176"/>
      <c r="BI176"/>
      <c r="BJ176"/>
      <c r="BK176"/>
      <c r="BS176"/>
      <c r="BT176"/>
      <c r="BU176"/>
      <c r="CC176"/>
      <c r="CD176"/>
      <c r="CE176"/>
    </row>
    <row r="177" spans="2:83">
      <c r="B177"/>
      <c r="C177"/>
      <c r="H177"/>
      <c r="I177"/>
      <c r="J177"/>
      <c r="U177"/>
      <c r="V177"/>
      <c r="W177"/>
      <c r="AE177"/>
      <c r="AF177"/>
      <c r="AG177"/>
      <c r="AO177"/>
      <c r="AP177"/>
      <c r="AQ177"/>
      <c r="AY177"/>
      <c r="AZ177"/>
      <c r="BA177"/>
      <c r="BI177"/>
      <c r="BJ177"/>
      <c r="BK177"/>
      <c r="BS177"/>
      <c r="BT177"/>
      <c r="BU177"/>
      <c r="CC177"/>
      <c r="CD177"/>
      <c r="CE177"/>
    </row>
    <row r="178" spans="2:83">
      <c r="B178"/>
      <c r="C178"/>
      <c r="H178"/>
      <c r="I178"/>
      <c r="J178"/>
      <c r="U178"/>
      <c r="V178"/>
      <c r="W178"/>
      <c r="AE178"/>
      <c r="AF178"/>
      <c r="AG178"/>
      <c r="AO178"/>
      <c r="AP178"/>
      <c r="AQ178"/>
      <c r="AY178"/>
      <c r="AZ178"/>
      <c r="BA178"/>
      <c r="BI178"/>
      <c r="BJ178"/>
      <c r="BK178"/>
      <c r="BS178"/>
      <c r="BT178"/>
      <c r="BU178"/>
      <c r="CC178"/>
      <c r="CD178"/>
      <c r="CE178"/>
    </row>
    <row r="179" spans="2:83">
      <c r="B179"/>
      <c r="C179"/>
      <c r="H179"/>
      <c r="I179"/>
      <c r="J179"/>
      <c r="U179"/>
      <c r="V179"/>
      <c r="W179"/>
      <c r="AE179"/>
      <c r="AF179"/>
      <c r="AG179"/>
      <c r="AO179"/>
      <c r="AP179"/>
      <c r="AQ179"/>
      <c r="AY179"/>
      <c r="AZ179"/>
      <c r="BA179"/>
      <c r="BI179"/>
      <c r="BJ179"/>
      <c r="BK179"/>
      <c r="BS179"/>
      <c r="BT179"/>
      <c r="BU179"/>
      <c r="CC179"/>
      <c r="CD179"/>
      <c r="CE179"/>
    </row>
    <row r="180" spans="2:83">
      <c r="B180"/>
      <c r="C180"/>
      <c r="H180"/>
      <c r="I180"/>
      <c r="J180"/>
      <c r="U180"/>
      <c r="V180"/>
      <c r="W180"/>
      <c r="AE180"/>
      <c r="AF180"/>
      <c r="AG180"/>
      <c r="AO180"/>
      <c r="AP180"/>
      <c r="AQ180"/>
      <c r="AY180"/>
      <c r="AZ180"/>
      <c r="BA180"/>
      <c r="BI180"/>
      <c r="BJ180"/>
      <c r="BK180"/>
      <c r="BS180"/>
      <c r="BT180"/>
      <c r="BU180"/>
      <c r="CC180"/>
      <c r="CD180"/>
      <c r="CE180"/>
    </row>
    <row r="181" spans="2:83">
      <c r="B181"/>
      <c r="C181"/>
      <c r="H181"/>
      <c r="I181"/>
      <c r="J181"/>
      <c r="U181"/>
      <c r="V181"/>
      <c r="W181"/>
      <c r="AE181"/>
      <c r="AF181"/>
      <c r="AG181"/>
      <c r="AO181"/>
      <c r="AP181"/>
      <c r="AQ181"/>
      <c r="AY181"/>
      <c r="AZ181"/>
      <c r="BA181"/>
      <c r="BI181"/>
      <c r="BJ181"/>
      <c r="BK181"/>
      <c r="BS181"/>
      <c r="BT181"/>
      <c r="BU181"/>
      <c r="CC181"/>
      <c r="CD181"/>
      <c r="CE181"/>
    </row>
    <row r="182" spans="2:83">
      <c r="H182"/>
      <c r="I182"/>
      <c r="J182"/>
      <c r="U182"/>
      <c r="V182"/>
      <c r="W182"/>
      <c r="AE182"/>
      <c r="AF182"/>
      <c r="AG182"/>
      <c r="AO182"/>
      <c r="AP182"/>
      <c r="AQ182"/>
      <c r="AY182"/>
      <c r="AZ182"/>
      <c r="BA182"/>
      <c r="BI182"/>
      <c r="BJ182"/>
      <c r="BK182"/>
      <c r="BS182"/>
      <c r="BT182"/>
      <c r="BU182"/>
      <c r="CC182"/>
      <c r="CD182"/>
      <c r="CE182"/>
    </row>
    <row r="183" spans="2:83">
      <c r="H183"/>
      <c r="I183"/>
      <c r="J183"/>
      <c r="U183"/>
      <c r="V183"/>
      <c r="W183"/>
      <c r="AE183"/>
      <c r="AF183"/>
      <c r="AG183"/>
      <c r="AO183"/>
      <c r="AP183"/>
      <c r="AQ183"/>
      <c r="AY183"/>
      <c r="AZ183"/>
      <c r="BA183"/>
      <c r="BI183"/>
      <c r="BJ183"/>
      <c r="BK183"/>
      <c r="BS183"/>
      <c r="BT183"/>
      <c r="BU183"/>
      <c r="CC183"/>
      <c r="CD183"/>
      <c r="CE183"/>
    </row>
    <row r="184" spans="2:83">
      <c r="H184"/>
      <c r="I184"/>
      <c r="J184"/>
      <c r="U184"/>
      <c r="V184"/>
      <c r="W184"/>
      <c r="AE184"/>
      <c r="AF184"/>
      <c r="AG184"/>
      <c r="AO184"/>
      <c r="AP184"/>
      <c r="AQ184"/>
      <c r="AY184"/>
      <c r="AZ184"/>
      <c r="BA184"/>
      <c r="BI184"/>
      <c r="BJ184"/>
      <c r="BK184"/>
      <c r="BS184"/>
      <c r="BT184"/>
      <c r="BU184"/>
      <c r="CC184"/>
      <c r="CD184"/>
      <c r="CE184"/>
    </row>
    <row r="185" spans="2:83">
      <c r="H185"/>
      <c r="I185"/>
      <c r="J185"/>
      <c r="U185"/>
      <c r="V185"/>
      <c r="W185"/>
      <c r="AE185"/>
      <c r="AF185"/>
      <c r="AG185"/>
      <c r="AO185"/>
      <c r="AP185"/>
      <c r="AQ185"/>
      <c r="AY185"/>
      <c r="AZ185"/>
      <c r="BA185"/>
      <c r="BI185"/>
      <c r="BJ185"/>
      <c r="BK185"/>
      <c r="BS185"/>
      <c r="BT185"/>
      <c r="BU185"/>
      <c r="CC185"/>
      <c r="CD185"/>
      <c r="CE185"/>
    </row>
    <row r="186" spans="2:83">
      <c r="H186"/>
      <c r="I186"/>
      <c r="J186"/>
      <c r="U186"/>
      <c r="V186"/>
      <c r="W186"/>
      <c r="AE186"/>
      <c r="AF186"/>
      <c r="AG186"/>
      <c r="AO186"/>
      <c r="AP186"/>
      <c r="AQ186"/>
      <c r="AY186"/>
      <c r="AZ186"/>
      <c r="BA186"/>
      <c r="BI186"/>
      <c r="BJ186"/>
      <c r="BK186"/>
      <c r="BS186"/>
      <c r="BT186"/>
      <c r="BU186"/>
      <c r="CC186"/>
      <c r="CD186"/>
      <c r="CE186"/>
    </row>
    <row r="187" spans="2:83">
      <c r="H187"/>
      <c r="I187"/>
      <c r="J187"/>
      <c r="U187"/>
      <c r="V187"/>
      <c r="W187"/>
      <c r="AE187"/>
      <c r="AF187"/>
      <c r="AG187"/>
      <c r="AO187"/>
      <c r="AP187"/>
      <c r="AQ187"/>
      <c r="AY187"/>
      <c r="AZ187"/>
      <c r="BA187"/>
      <c r="BI187"/>
      <c r="BJ187"/>
      <c r="BK187"/>
      <c r="BS187"/>
      <c r="BT187"/>
      <c r="BU187"/>
      <c r="CC187"/>
      <c r="CD187"/>
      <c r="CE187"/>
    </row>
    <row r="188" spans="2:83">
      <c r="H188"/>
      <c r="I188"/>
      <c r="J188"/>
      <c r="U188"/>
      <c r="V188"/>
      <c r="W188"/>
      <c r="AE188"/>
      <c r="AF188"/>
      <c r="AG188"/>
      <c r="AO188"/>
      <c r="AP188"/>
      <c r="AQ188"/>
      <c r="AY188"/>
      <c r="AZ188"/>
      <c r="BA188"/>
      <c r="BI188"/>
      <c r="BJ188"/>
      <c r="BK188"/>
      <c r="BS188"/>
      <c r="BT188"/>
      <c r="BU188"/>
      <c r="CC188"/>
      <c r="CD188"/>
      <c r="CE188"/>
    </row>
    <row r="189" spans="2:83">
      <c r="H189"/>
      <c r="I189"/>
      <c r="J189"/>
      <c r="U189"/>
      <c r="V189"/>
      <c r="W189"/>
      <c r="AE189"/>
      <c r="AF189"/>
      <c r="AG189"/>
      <c r="AO189"/>
      <c r="AP189"/>
      <c r="AQ189"/>
      <c r="AY189"/>
      <c r="AZ189"/>
      <c r="BA189"/>
      <c r="BI189"/>
      <c r="BJ189"/>
      <c r="BK189"/>
      <c r="BS189"/>
      <c r="BT189"/>
      <c r="BU189"/>
      <c r="CC189"/>
      <c r="CD189"/>
      <c r="CE189"/>
    </row>
    <row r="190" spans="2:83">
      <c r="H190"/>
      <c r="I190"/>
      <c r="J190"/>
      <c r="U190"/>
      <c r="V190"/>
      <c r="W190"/>
      <c r="AE190"/>
      <c r="AF190"/>
      <c r="AG190"/>
      <c r="AO190"/>
      <c r="AP190"/>
      <c r="AQ190"/>
      <c r="AY190"/>
      <c r="AZ190"/>
      <c r="BA190"/>
      <c r="BI190"/>
      <c r="BJ190"/>
      <c r="BK190"/>
      <c r="BS190"/>
      <c r="BT190"/>
      <c r="BU190"/>
      <c r="CC190"/>
      <c r="CD190"/>
      <c r="CE190"/>
    </row>
    <row r="191" spans="2:83">
      <c r="H191"/>
      <c r="I191"/>
      <c r="J191"/>
      <c r="U191"/>
      <c r="V191"/>
      <c r="W191"/>
      <c r="AE191"/>
      <c r="AF191"/>
      <c r="AG191"/>
      <c r="AO191"/>
      <c r="AP191"/>
      <c r="AQ191"/>
      <c r="AY191"/>
      <c r="AZ191"/>
      <c r="BA191"/>
      <c r="BI191"/>
      <c r="BJ191"/>
      <c r="BK191"/>
      <c r="BS191"/>
      <c r="BT191"/>
      <c r="BU191"/>
      <c r="CC191"/>
      <c r="CD191"/>
      <c r="CE191"/>
    </row>
    <row r="192" spans="2:83">
      <c r="H192"/>
      <c r="I192"/>
      <c r="J192"/>
      <c r="U192"/>
      <c r="V192"/>
      <c r="W192"/>
      <c r="AE192"/>
      <c r="AF192"/>
      <c r="AG192"/>
      <c r="AO192"/>
      <c r="AP192"/>
      <c r="AQ192"/>
      <c r="AY192"/>
      <c r="AZ192"/>
      <c r="BA192"/>
      <c r="BI192"/>
      <c r="BJ192"/>
      <c r="BK192"/>
      <c r="BS192"/>
      <c r="BT192"/>
      <c r="BU192"/>
      <c r="CC192"/>
      <c r="CD192"/>
      <c r="CE192"/>
    </row>
    <row r="193" spans="8:83">
      <c r="H193"/>
      <c r="I193"/>
      <c r="J193"/>
      <c r="U193"/>
      <c r="V193"/>
      <c r="W193"/>
      <c r="AE193"/>
      <c r="AF193"/>
      <c r="AG193"/>
      <c r="AO193"/>
      <c r="AP193"/>
      <c r="AQ193"/>
      <c r="AY193"/>
      <c r="AZ193"/>
      <c r="BA193"/>
      <c r="BI193"/>
      <c r="BJ193"/>
      <c r="BK193"/>
      <c r="BS193"/>
      <c r="BT193"/>
      <c r="BU193"/>
      <c r="CC193"/>
      <c r="CD193"/>
      <c r="CE193"/>
    </row>
    <row r="194" spans="8:83">
      <c r="H194"/>
      <c r="I194"/>
      <c r="J194"/>
      <c r="U194"/>
      <c r="V194"/>
      <c r="W194"/>
      <c r="AE194"/>
      <c r="AF194"/>
      <c r="AG194"/>
      <c r="AO194"/>
      <c r="AP194"/>
      <c r="AQ194"/>
      <c r="AY194"/>
      <c r="AZ194"/>
      <c r="BA194"/>
      <c r="BI194"/>
      <c r="BJ194"/>
      <c r="BK194"/>
      <c r="BS194"/>
      <c r="BT194"/>
      <c r="BU194"/>
      <c r="CC194"/>
      <c r="CD194"/>
      <c r="CE194"/>
    </row>
    <row r="195" spans="8:83">
      <c r="H195"/>
      <c r="I195"/>
      <c r="J195"/>
      <c r="U195"/>
      <c r="V195"/>
      <c r="W195"/>
      <c r="AE195"/>
      <c r="AF195"/>
      <c r="AG195"/>
      <c r="AO195"/>
      <c r="AP195"/>
      <c r="AQ195"/>
      <c r="AY195"/>
      <c r="AZ195"/>
      <c r="BA195"/>
      <c r="BI195"/>
      <c r="BJ195"/>
      <c r="BK195"/>
      <c r="BS195"/>
      <c r="BT195"/>
      <c r="BU195"/>
      <c r="CC195"/>
      <c r="CD195"/>
      <c r="CE195"/>
    </row>
    <row r="196" spans="8:83">
      <c r="H196"/>
      <c r="I196"/>
      <c r="J196"/>
      <c r="U196"/>
      <c r="V196"/>
      <c r="W196"/>
      <c r="AE196"/>
      <c r="AF196"/>
      <c r="AG196"/>
      <c r="AO196"/>
      <c r="AP196"/>
      <c r="AQ196"/>
      <c r="AY196"/>
      <c r="AZ196"/>
      <c r="BA196"/>
      <c r="BI196"/>
      <c r="BJ196"/>
      <c r="BK196"/>
      <c r="BS196"/>
      <c r="BT196"/>
      <c r="BU196"/>
      <c r="CC196"/>
      <c r="CD196"/>
      <c r="CE196"/>
    </row>
    <row r="197" spans="8:83">
      <c r="H197"/>
      <c r="I197"/>
      <c r="J197"/>
      <c r="U197"/>
      <c r="V197"/>
      <c r="W197"/>
      <c r="AE197"/>
      <c r="AF197"/>
      <c r="AG197"/>
      <c r="AO197"/>
      <c r="AP197"/>
      <c r="AQ197"/>
      <c r="AY197"/>
      <c r="AZ197"/>
      <c r="BA197"/>
      <c r="BI197"/>
      <c r="BJ197"/>
      <c r="BK197"/>
      <c r="BS197"/>
      <c r="BT197"/>
      <c r="BU197"/>
      <c r="CC197"/>
      <c r="CD197"/>
      <c r="CE197"/>
    </row>
    <row r="198" spans="8:83">
      <c r="H198"/>
      <c r="I198"/>
      <c r="J198"/>
      <c r="U198"/>
      <c r="V198"/>
      <c r="W198"/>
      <c r="AE198"/>
      <c r="AF198"/>
      <c r="AG198"/>
      <c r="AO198"/>
      <c r="AP198"/>
      <c r="AQ198"/>
      <c r="AY198"/>
      <c r="AZ198"/>
      <c r="BA198"/>
      <c r="BI198"/>
      <c r="BJ198"/>
      <c r="BK198"/>
      <c r="BS198"/>
      <c r="BT198"/>
      <c r="BU198"/>
      <c r="CC198"/>
      <c r="CD198"/>
      <c r="CE198"/>
    </row>
    <row r="199" spans="8:83">
      <c r="H199"/>
      <c r="I199"/>
      <c r="J199"/>
      <c r="U199"/>
      <c r="V199"/>
      <c r="W199"/>
      <c r="AE199"/>
      <c r="AF199"/>
      <c r="AG199"/>
      <c r="AO199"/>
      <c r="AP199"/>
      <c r="AQ199"/>
      <c r="AY199"/>
      <c r="AZ199"/>
      <c r="BA199"/>
      <c r="BI199"/>
      <c r="BJ199"/>
      <c r="BK199"/>
      <c r="BS199"/>
      <c r="BT199"/>
      <c r="BU199"/>
      <c r="CC199"/>
      <c r="CD199"/>
      <c r="CE199"/>
    </row>
    <row r="200" spans="8:83">
      <c r="H200"/>
      <c r="I200"/>
      <c r="J200"/>
      <c r="U200"/>
      <c r="V200"/>
      <c r="W200"/>
      <c r="AE200"/>
      <c r="AF200"/>
      <c r="AG200"/>
      <c r="AO200"/>
      <c r="AP200"/>
      <c r="AQ200"/>
      <c r="AY200"/>
      <c r="AZ200"/>
      <c r="BA200"/>
      <c r="BI200"/>
      <c r="BJ200"/>
      <c r="BK200"/>
      <c r="BS200"/>
      <c r="BT200"/>
      <c r="BU200"/>
      <c r="CC200"/>
      <c r="CD200"/>
      <c r="CE200"/>
    </row>
    <row r="201" spans="8:83">
      <c r="H201"/>
      <c r="I201"/>
      <c r="J201"/>
      <c r="U201"/>
      <c r="V201"/>
      <c r="W201"/>
      <c r="AE201"/>
      <c r="AF201"/>
      <c r="AG201"/>
      <c r="AO201"/>
      <c r="AP201"/>
      <c r="AQ201"/>
      <c r="AY201"/>
      <c r="AZ201"/>
      <c r="BA201"/>
      <c r="BI201"/>
      <c r="BJ201"/>
      <c r="BK201"/>
      <c r="BS201"/>
      <c r="BT201"/>
      <c r="BU201"/>
      <c r="CC201"/>
      <c r="CD201"/>
      <c r="CE201"/>
    </row>
    <row r="202" spans="8:83">
      <c r="H202"/>
      <c r="I202"/>
      <c r="J202"/>
      <c r="U202"/>
      <c r="V202"/>
      <c r="W202"/>
      <c r="AE202"/>
      <c r="AF202"/>
      <c r="AG202"/>
      <c r="AO202"/>
      <c r="AP202"/>
      <c r="AQ202"/>
      <c r="AY202"/>
      <c r="AZ202"/>
      <c r="BA202"/>
      <c r="BI202"/>
      <c r="BJ202"/>
      <c r="BK202"/>
      <c r="BS202"/>
      <c r="BT202"/>
      <c r="BU202"/>
      <c r="CC202"/>
      <c r="CD202"/>
      <c r="CE202"/>
    </row>
    <row r="203" spans="8:83">
      <c r="H203"/>
      <c r="I203"/>
      <c r="J203"/>
      <c r="U203"/>
      <c r="V203"/>
      <c r="W203"/>
      <c r="AE203"/>
      <c r="AF203"/>
      <c r="AG203"/>
      <c r="AO203"/>
      <c r="AP203"/>
      <c r="AQ203"/>
      <c r="AY203"/>
      <c r="AZ203"/>
      <c r="BA203"/>
      <c r="BI203"/>
      <c r="BJ203"/>
      <c r="BK203"/>
      <c r="BS203"/>
      <c r="BT203"/>
      <c r="BU203"/>
      <c r="CC203"/>
      <c r="CD203"/>
      <c r="CE203"/>
    </row>
    <row r="204" spans="8:83">
      <c r="H204"/>
      <c r="I204"/>
      <c r="J204"/>
      <c r="U204"/>
      <c r="V204"/>
      <c r="W204"/>
      <c r="AE204"/>
      <c r="AF204"/>
      <c r="AG204"/>
      <c r="AO204"/>
      <c r="AP204"/>
      <c r="AQ204"/>
      <c r="AY204"/>
      <c r="AZ204"/>
      <c r="BA204"/>
      <c r="BI204"/>
      <c r="BJ204"/>
      <c r="BK204"/>
      <c r="BS204"/>
      <c r="BT204"/>
      <c r="BU204"/>
      <c r="CC204"/>
      <c r="CD204"/>
      <c r="CE204"/>
    </row>
    <row r="205" spans="8:83">
      <c r="H205"/>
      <c r="I205"/>
      <c r="J205"/>
      <c r="U205"/>
      <c r="V205"/>
      <c r="W205"/>
      <c r="AE205"/>
      <c r="AF205"/>
      <c r="AG205"/>
      <c r="AO205"/>
      <c r="AP205"/>
      <c r="AQ205"/>
      <c r="AY205"/>
      <c r="AZ205"/>
      <c r="BA205"/>
      <c r="BI205"/>
      <c r="BJ205"/>
      <c r="BK205"/>
      <c r="BS205"/>
      <c r="BT205"/>
      <c r="BU205"/>
      <c r="CC205"/>
      <c r="CD205"/>
      <c r="CE205"/>
    </row>
    <row r="206" spans="8:83">
      <c r="H206"/>
      <c r="I206"/>
      <c r="J206"/>
      <c r="U206"/>
      <c r="V206"/>
      <c r="W206"/>
      <c r="AE206"/>
      <c r="AF206"/>
      <c r="AG206"/>
      <c r="AO206"/>
      <c r="AP206"/>
      <c r="AQ206"/>
      <c r="AY206"/>
      <c r="AZ206"/>
      <c r="BA206"/>
      <c r="BI206"/>
      <c r="BJ206"/>
      <c r="BK206"/>
      <c r="BS206"/>
      <c r="BT206"/>
      <c r="BU206"/>
      <c r="CC206"/>
      <c r="CD206"/>
      <c r="CE206"/>
    </row>
    <row r="207" spans="8:83">
      <c r="H207"/>
      <c r="I207"/>
      <c r="J207"/>
      <c r="U207"/>
      <c r="V207"/>
      <c r="W207"/>
      <c r="AE207"/>
      <c r="AF207"/>
      <c r="AG207"/>
      <c r="AO207"/>
      <c r="AP207"/>
      <c r="AQ207"/>
      <c r="AY207"/>
      <c r="AZ207"/>
      <c r="BA207"/>
      <c r="BI207"/>
      <c r="BJ207"/>
      <c r="BK207"/>
      <c r="BS207"/>
      <c r="BT207"/>
      <c r="BU207"/>
      <c r="CC207"/>
      <c r="CD207"/>
      <c r="CE207"/>
    </row>
    <row r="208" spans="8:83">
      <c r="H208"/>
      <c r="I208"/>
      <c r="J208"/>
      <c r="U208"/>
      <c r="V208"/>
      <c r="W208"/>
      <c r="AE208"/>
      <c r="AF208"/>
      <c r="AG208"/>
      <c r="AO208"/>
      <c r="AP208"/>
      <c r="AQ208"/>
      <c r="AY208"/>
      <c r="AZ208"/>
      <c r="BA208"/>
      <c r="BI208"/>
      <c r="BJ208"/>
      <c r="BK208"/>
      <c r="BS208"/>
      <c r="BT208"/>
      <c r="BU208"/>
      <c r="CC208"/>
      <c r="CD208"/>
      <c r="CE208"/>
    </row>
    <row r="209" spans="8:83">
      <c r="H209"/>
      <c r="I209"/>
      <c r="J209"/>
      <c r="U209"/>
      <c r="V209"/>
      <c r="W209"/>
      <c r="AE209"/>
      <c r="AF209"/>
      <c r="AG209"/>
      <c r="AO209"/>
      <c r="AP209"/>
      <c r="AQ209"/>
      <c r="AY209"/>
      <c r="AZ209"/>
      <c r="BA209"/>
      <c r="BI209"/>
      <c r="BJ209"/>
      <c r="BK209"/>
      <c r="BS209"/>
      <c r="BT209"/>
      <c r="BU209"/>
      <c r="CC209"/>
      <c r="CD209"/>
      <c r="CE209"/>
    </row>
    <row r="210" spans="8:83">
      <c r="H210"/>
      <c r="I210"/>
      <c r="J210"/>
      <c r="U210"/>
      <c r="V210"/>
      <c r="W210"/>
      <c r="AE210"/>
      <c r="AF210"/>
      <c r="AG210"/>
      <c r="AO210"/>
      <c r="AP210"/>
      <c r="AQ210"/>
      <c r="AY210"/>
      <c r="AZ210"/>
      <c r="BA210"/>
      <c r="BI210"/>
      <c r="BJ210"/>
      <c r="BK210"/>
      <c r="BS210"/>
      <c r="BT210"/>
      <c r="BU210"/>
      <c r="CC210"/>
      <c r="CD210"/>
      <c r="CE210"/>
    </row>
    <row r="211" spans="8:83">
      <c r="H211"/>
      <c r="I211"/>
      <c r="J211"/>
      <c r="U211"/>
      <c r="V211"/>
      <c r="W211"/>
      <c r="AE211"/>
      <c r="AF211"/>
      <c r="AG211"/>
      <c r="AO211"/>
      <c r="AP211"/>
      <c r="AQ211"/>
      <c r="AY211"/>
      <c r="AZ211"/>
      <c r="BA211"/>
      <c r="BI211"/>
      <c r="BJ211"/>
      <c r="BK211"/>
      <c r="BS211"/>
      <c r="BT211"/>
      <c r="BU211"/>
      <c r="CC211"/>
      <c r="CD211"/>
      <c r="CE211"/>
    </row>
    <row r="212" spans="8:83">
      <c r="H212"/>
      <c r="I212"/>
      <c r="J212"/>
      <c r="U212"/>
      <c r="V212"/>
      <c r="W212"/>
      <c r="AE212"/>
      <c r="AF212"/>
      <c r="AG212"/>
      <c r="AO212"/>
      <c r="AP212"/>
      <c r="AQ212"/>
      <c r="AY212"/>
      <c r="AZ212"/>
      <c r="BA212"/>
      <c r="BI212"/>
      <c r="BJ212"/>
      <c r="BK212"/>
      <c r="BS212"/>
      <c r="BT212"/>
      <c r="BU212"/>
      <c r="CC212"/>
      <c r="CD212"/>
      <c r="CE212"/>
    </row>
    <row r="213" spans="8:83">
      <c r="H213"/>
      <c r="I213"/>
      <c r="J213"/>
      <c r="U213"/>
      <c r="V213"/>
      <c r="W213"/>
      <c r="AE213"/>
      <c r="AF213"/>
      <c r="AG213"/>
      <c r="AO213"/>
      <c r="AP213"/>
      <c r="AQ213"/>
      <c r="AY213"/>
      <c r="AZ213"/>
      <c r="BA213"/>
      <c r="BI213"/>
      <c r="BJ213"/>
      <c r="BK213"/>
      <c r="BS213"/>
      <c r="BT213"/>
      <c r="BU213"/>
      <c r="CC213"/>
      <c r="CD213"/>
      <c r="CE213"/>
    </row>
    <row r="214" spans="8:83">
      <c r="H214"/>
      <c r="I214"/>
      <c r="J214"/>
      <c r="U214"/>
      <c r="V214"/>
      <c r="W214"/>
      <c r="AE214"/>
      <c r="AF214"/>
      <c r="AG214"/>
      <c r="AO214"/>
      <c r="AP214"/>
      <c r="AQ214"/>
      <c r="AY214"/>
      <c r="AZ214"/>
      <c r="BA214"/>
      <c r="BI214"/>
      <c r="BJ214"/>
      <c r="BK214"/>
      <c r="BS214"/>
      <c r="BT214"/>
      <c r="BU214"/>
      <c r="CC214"/>
      <c r="CD214"/>
      <c r="CE214"/>
    </row>
    <row r="215" spans="8:83">
      <c r="H215"/>
      <c r="I215"/>
      <c r="J215"/>
      <c r="U215"/>
      <c r="V215"/>
      <c r="W215"/>
      <c r="AE215"/>
      <c r="AF215"/>
      <c r="AG215"/>
      <c r="AO215"/>
      <c r="AP215"/>
      <c r="AQ215"/>
      <c r="AY215"/>
      <c r="AZ215"/>
      <c r="BA215"/>
      <c r="BI215"/>
      <c r="BJ215"/>
      <c r="BK215"/>
      <c r="BS215"/>
      <c r="BT215"/>
      <c r="BU215"/>
      <c r="CC215"/>
      <c r="CD215"/>
      <c r="CE215"/>
    </row>
    <row r="216" spans="8:83">
      <c r="H216"/>
      <c r="I216"/>
      <c r="J216"/>
      <c r="U216"/>
      <c r="V216"/>
      <c r="W216"/>
      <c r="AE216"/>
      <c r="AF216"/>
      <c r="AG216"/>
      <c r="AO216"/>
      <c r="AP216"/>
      <c r="AQ216"/>
      <c r="AY216"/>
      <c r="AZ216"/>
      <c r="BA216"/>
      <c r="BI216"/>
      <c r="BJ216"/>
      <c r="BK216"/>
      <c r="BS216"/>
      <c r="BT216"/>
      <c r="BU216"/>
      <c r="CC216"/>
      <c r="CD216"/>
      <c r="CE216"/>
    </row>
    <row r="217" spans="8:83">
      <c r="H217"/>
      <c r="I217"/>
      <c r="J217"/>
      <c r="U217"/>
      <c r="V217"/>
      <c r="W217"/>
      <c r="AE217"/>
      <c r="AF217"/>
      <c r="AG217"/>
      <c r="AO217"/>
      <c r="AP217"/>
      <c r="AQ217"/>
      <c r="AY217"/>
      <c r="AZ217"/>
      <c r="BA217"/>
      <c r="BI217"/>
      <c r="BJ217"/>
      <c r="BK217"/>
      <c r="BS217"/>
      <c r="BT217"/>
      <c r="BU217"/>
      <c r="CC217"/>
      <c r="CD217"/>
      <c r="CE217"/>
    </row>
    <row r="218" spans="8:83">
      <c r="H218"/>
      <c r="I218"/>
      <c r="J218"/>
      <c r="U218"/>
      <c r="V218"/>
      <c r="W218"/>
      <c r="AE218"/>
      <c r="AF218"/>
      <c r="AG218"/>
      <c r="AO218"/>
      <c r="AP218"/>
      <c r="AQ218"/>
      <c r="AY218"/>
      <c r="AZ218"/>
      <c r="BA218"/>
      <c r="BI218"/>
      <c r="BJ218"/>
      <c r="BK218"/>
      <c r="BS218"/>
      <c r="BT218"/>
      <c r="BU218"/>
      <c r="CC218"/>
      <c r="CD218"/>
      <c r="CE218"/>
    </row>
    <row r="219" spans="8:83">
      <c r="H219"/>
      <c r="I219"/>
      <c r="J219"/>
      <c r="U219"/>
      <c r="V219"/>
      <c r="W219"/>
      <c r="AE219"/>
      <c r="AF219"/>
      <c r="AG219"/>
      <c r="AO219"/>
      <c r="AP219"/>
      <c r="AQ219"/>
      <c r="AY219"/>
      <c r="AZ219"/>
      <c r="BA219"/>
      <c r="BI219"/>
      <c r="BJ219"/>
      <c r="BK219"/>
      <c r="BS219"/>
      <c r="BT219"/>
      <c r="BU219"/>
      <c r="CC219"/>
      <c r="CD219"/>
      <c r="CE219"/>
    </row>
    <row r="220" spans="8:83">
      <c r="H220"/>
      <c r="I220"/>
      <c r="J220"/>
      <c r="U220"/>
      <c r="V220"/>
      <c r="W220"/>
      <c r="AE220"/>
      <c r="AF220"/>
      <c r="AG220"/>
      <c r="AO220"/>
      <c r="AP220"/>
      <c r="AQ220"/>
      <c r="AY220"/>
      <c r="AZ220"/>
      <c r="BA220"/>
      <c r="BI220"/>
      <c r="BJ220"/>
      <c r="BK220"/>
      <c r="BS220"/>
      <c r="BT220"/>
      <c r="BU220"/>
      <c r="CC220"/>
      <c r="CD220"/>
      <c r="CE220"/>
    </row>
    <row r="221" spans="8:83">
      <c r="H221"/>
      <c r="I221"/>
      <c r="J221"/>
      <c r="U221"/>
      <c r="V221"/>
      <c r="W221"/>
      <c r="AE221"/>
      <c r="AF221"/>
      <c r="AG221"/>
      <c r="AO221"/>
      <c r="AP221"/>
      <c r="AQ221"/>
      <c r="AY221"/>
      <c r="AZ221"/>
      <c r="BA221"/>
      <c r="BI221"/>
      <c r="BJ221"/>
      <c r="BK221"/>
      <c r="BS221"/>
      <c r="BT221"/>
      <c r="BU221"/>
      <c r="CC221"/>
      <c r="CD221"/>
      <c r="CE221"/>
    </row>
    <row r="222" spans="8:83">
      <c r="H222"/>
      <c r="I222"/>
      <c r="J222"/>
      <c r="U222"/>
      <c r="V222"/>
      <c r="W222"/>
      <c r="AE222"/>
      <c r="AF222"/>
      <c r="AG222"/>
      <c r="AO222"/>
      <c r="AP222"/>
      <c r="AQ222"/>
      <c r="AY222"/>
      <c r="AZ222"/>
      <c r="BA222"/>
      <c r="BI222"/>
      <c r="BJ222"/>
      <c r="BK222"/>
      <c r="BS222"/>
      <c r="BT222"/>
      <c r="BU222"/>
      <c r="CC222"/>
      <c r="CD222"/>
      <c r="CE222"/>
    </row>
    <row r="223" spans="8:83">
      <c r="H223"/>
      <c r="I223"/>
      <c r="J223"/>
      <c r="U223"/>
      <c r="V223"/>
      <c r="W223"/>
      <c r="AE223"/>
      <c r="AF223"/>
      <c r="AG223"/>
      <c r="AO223"/>
      <c r="AP223"/>
      <c r="AQ223"/>
      <c r="AY223"/>
      <c r="AZ223"/>
      <c r="BA223"/>
      <c r="BI223"/>
      <c r="BJ223"/>
      <c r="BK223"/>
      <c r="BS223"/>
      <c r="BT223"/>
      <c r="BU223"/>
      <c r="CC223"/>
      <c r="CD223"/>
      <c r="CE223"/>
    </row>
    <row r="224" spans="8:83">
      <c r="H224"/>
      <c r="I224"/>
      <c r="J224"/>
      <c r="U224"/>
      <c r="V224"/>
      <c r="W224"/>
      <c r="AE224"/>
      <c r="AF224"/>
      <c r="AG224"/>
      <c r="AO224"/>
      <c r="AP224"/>
      <c r="AQ224"/>
      <c r="AY224"/>
      <c r="AZ224"/>
      <c r="BA224"/>
      <c r="BI224"/>
      <c r="BJ224"/>
      <c r="BK224"/>
      <c r="BS224"/>
      <c r="BT224"/>
      <c r="BU224"/>
      <c r="CC224"/>
      <c r="CD224"/>
      <c r="CE224"/>
    </row>
    <row r="225" spans="8:83">
      <c r="H225"/>
      <c r="I225"/>
      <c r="J225"/>
      <c r="U225"/>
      <c r="V225"/>
      <c r="W225"/>
      <c r="AE225"/>
      <c r="AF225"/>
      <c r="AG225"/>
      <c r="AO225"/>
      <c r="AP225"/>
      <c r="AQ225"/>
      <c r="AY225"/>
      <c r="AZ225"/>
      <c r="BA225"/>
      <c r="BI225"/>
      <c r="BJ225"/>
      <c r="BK225"/>
      <c r="BS225"/>
      <c r="BT225"/>
      <c r="BU225"/>
      <c r="CC225"/>
      <c r="CD225"/>
      <c r="CE225"/>
    </row>
    <row r="226" spans="8:83">
      <c r="H226"/>
      <c r="I226"/>
      <c r="J226"/>
      <c r="U226"/>
      <c r="V226"/>
      <c r="W226"/>
      <c r="AE226"/>
      <c r="AF226"/>
      <c r="AG226"/>
      <c r="AO226"/>
      <c r="AP226"/>
      <c r="AQ226"/>
      <c r="AY226"/>
      <c r="AZ226"/>
      <c r="BA226"/>
      <c r="BI226"/>
      <c r="BJ226"/>
      <c r="BK226"/>
      <c r="BS226"/>
      <c r="BT226"/>
      <c r="BU226"/>
      <c r="CC226"/>
      <c r="CD226"/>
      <c r="CE226"/>
    </row>
    <row r="227" spans="8:83">
      <c r="H227"/>
      <c r="I227"/>
      <c r="J227"/>
      <c r="U227"/>
      <c r="V227"/>
      <c r="W227"/>
      <c r="AE227"/>
      <c r="AF227"/>
      <c r="AG227"/>
      <c r="AO227"/>
      <c r="AP227"/>
      <c r="AQ227"/>
      <c r="AY227"/>
      <c r="AZ227"/>
      <c r="BA227"/>
      <c r="BI227"/>
      <c r="BJ227"/>
      <c r="BK227"/>
      <c r="BS227"/>
      <c r="BT227"/>
      <c r="BU227"/>
      <c r="CC227"/>
      <c r="CD227"/>
      <c r="CE227"/>
    </row>
    <row r="228" spans="8:83">
      <c r="H228"/>
      <c r="I228"/>
      <c r="J228"/>
      <c r="U228"/>
      <c r="V228"/>
      <c r="W228"/>
      <c r="AE228"/>
      <c r="AF228"/>
      <c r="AG228"/>
      <c r="AO228"/>
      <c r="AP228"/>
      <c r="AQ228"/>
      <c r="AY228"/>
      <c r="AZ228"/>
      <c r="BA228"/>
      <c r="BI228"/>
      <c r="BJ228"/>
      <c r="BK228"/>
      <c r="BS228"/>
      <c r="BT228"/>
      <c r="BU228"/>
      <c r="CC228"/>
      <c r="CD228"/>
      <c r="CE228"/>
    </row>
    <row r="229" spans="8:83">
      <c r="H229"/>
      <c r="I229"/>
      <c r="J229"/>
      <c r="U229"/>
      <c r="V229"/>
      <c r="W229"/>
      <c r="AE229"/>
      <c r="AF229"/>
      <c r="AG229"/>
      <c r="AO229"/>
      <c r="AP229"/>
      <c r="AQ229"/>
      <c r="AY229"/>
      <c r="AZ229"/>
      <c r="BA229"/>
      <c r="BI229"/>
      <c r="BJ229"/>
      <c r="BK229"/>
      <c r="BS229"/>
      <c r="BT229"/>
      <c r="BU229"/>
      <c r="CC229"/>
      <c r="CD229"/>
      <c r="CE229"/>
    </row>
    <row r="230" spans="8:83">
      <c r="H230"/>
      <c r="I230"/>
      <c r="J230"/>
      <c r="U230"/>
      <c r="V230"/>
      <c r="W230"/>
      <c r="AE230"/>
      <c r="AF230"/>
      <c r="AG230"/>
      <c r="AO230"/>
      <c r="AP230"/>
      <c r="AQ230"/>
      <c r="AY230"/>
      <c r="AZ230"/>
      <c r="BA230"/>
      <c r="BI230"/>
      <c r="BJ230"/>
      <c r="BK230"/>
      <c r="BS230"/>
      <c r="BT230"/>
      <c r="BU230"/>
      <c r="CC230"/>
      <c r="CD230"/>
      <c r="CE230"/>
    </row>
    <row r="231" spans="8:83">
      <c r="H231"/>
      <c r="I231"/>
      <c r="J231"/>
      <c r="U231"/>
      <c r="V231"/>
      <c r="W231"/>
      <c r="AE231"/>
      <c r="AF231"/>
      <c r="AG231"/>
      <c r="AO231"/>
      <c r="AP231"/>
      <c r="AQ231"/>
      <c r="AY231"/>
      <c r="AZ231"/>
      <c r="BA231"/>
      <c r="BI231"/>
      <c r="BJ231"/>
      <c r="BK231"/>
      <c r="BS231"/>
      <c r="BT231"/>
      <c r="BU231"/>
      <c r="CC231"/>
      <c r="CD231"/>
      <c r="CE231"/>
    </row>
    <row r="232" spans="8:83">
      <c r="H232"/>
      <c r="I232"/>
      <c r="J232"/>
      <c r="U232"/>
      <c r="V232"/>
      <c r="W232"/>
      <c r="AE232"/>
      <c r="AF232"/>
      <c r="AG232"/>
      <c r="AO232"/>
      <c r="AP232"/>
      <c r="AQ232"/>
      <c r="AY232"/>
      <c r="AZ232"/>
      <c r="BA232"/>
      <c r="BI232"/>
      <c r="BJ232"/>
      <c r="BK232"/>
      <c r="BS232"/>
      <c r="BT232"/>
      <c r="BU232"/>
      <c r="CC232"/>
      <c r="CD232"/>
      <c r="CE232"/>
    </row>
    <row r="233" spans="8:83">
      <c r="H233"/>
      <c r="I233"/>
      <c r="J233"/>
      <c r="U233"/>
      <c r="V233"/>
      <c r="W233"/>
      <c r="AE233"/>
      <c r="AF233"/>
      <c r="AG233"/>
      <c r="AO233"/>
      <c r="AP233"/>
      <c r="AQ233"/>
      <c r="AY233"/>
      <c r="AZ233"/>
      <c r="BA233"/>
      <c r="BI233"/>
      <c r="BJ233"/>
      <c r="BK233"/>
      <c r="BS233"/>
      <c r="BT233"/>
      <c r="BU233"/>
      <c r="CC233"/>
      <c r="CD233"/>
      <c r="CE233"/>
    </row>
    <row r="234" spans="8:83">
      <c r="H234"/>
      <c r="I234"/>
      <c r="J234"/>
      <c r="U234"/>
      <c r="V234"/>
      <c r="W234"/>
      <c r="AE234"/>
      <c r="AF234"/>
      <c r="AG234"/>
      <c r="AO234"/>
      <c r="AP234"/>
      <c r="AQ234"/>
      <c r="AY234"/>
      <c r="AZ234"/>
      <c r="BA234"/>
      <c r="BI234"/>
      <c r="BJ234"/>
      <c r="BK234"/>
      <c r="BS234"/>
      <c r="BT234"/>
      <c r="BU234"/>
      <c r="CC234"/>
      <c r="CD234"/>
      <c r="CE234"/>
    </row>
    <row r="235" spans="8:83">
      <c r="H235"/>
      <c r="I235"/>
      <c r="J235"/>
      <c r="U235"/>
      <c r="V235"/>
      <c r="W235"/>
      <c r="AE235"/>
      <c r="AF235"/>
      <c r="AG235"/>
      <c r="AO235"/>
      <c r="AP235"/>
      <c r="AQ235"/>
      <c r="AY235"/>
      <c r="AZ235"/>
      <c r="BA235"/>
      <c r="BI235"/>
      <c r="BJ235"/>
      <c r="BK235"/>
      <c r="BS235"/>
      <c r="BT235"/>
      <c r="BU235"/>
      <c r="CC235"/>
      <c r="CD235"/>
      <c r="CE235"/>
    </row>
    <row r="236" spans="8:83">
      <c r="H236"/>
      <c r="I236"/>
      <c r="J236"/>
      <c r="U236"/>
      <c r="V236"/>
      <c r="W236"/>
      <c r="AE236"/>
      <c r="AF236"/>
      <c r="AG236"/>
      <c r="AO236"/>
      <c r="AP236"/>
      <c r="AQ236"/>
      <c r="AY236"/>
      <c r="AZ236"/>
      <c r="BA236"/>
      <c r="BI236"/>
      <c r="BJ236"/>
      <c r="BK236"/>
      <c r="BS236"/>
      <c r="BT236"/>
      <c r="BU236"/>
      <c r="CC236"/>
      <c r="CD236"/>
      <c r="CE236"/>
    </row>
    <row r="237" spans="8:83">
      <c r="H237"/>
      <c r="I237"/>
      <c r="J237"/>
      <c r="U237"/>
      <c r="V237"/>
      <c r="W237"/>
      <c r="AE237"/>
      <c r="AF237"/>
      <c r="AG237"/>
      <c r="AO237"/>
      <c r="AP237"/>
      <c r="AQ237"/>
      <c r="AY237"/>
      <c r="AZ237"/>
      <c r="BA237"/>
      <c r="BI237"/>
      <c r="BJ237"/>
      <c r="BK237"/>
      <c r="BS237"/>
      <c r="BT237"/>
      <c r="BU237"/>
      <c r="CC237"/>
      <c r="CD237"/>
      <c r="CE237"/>
    </row>
    <row r="238" spans="8:83">
      <c r="H238"/>
      <c r="I238"/>
      <c r="J238"/>
      <c r="U238"/>
      <c r="V238"/>
      <c r="W238"/>
      <c r="AE238"/>
      <c r="AF238"/>
      <c r="AG238"/>
      <c r="AO238"/>
      <c r="AP238"/>
      <c r="AQ238"/>
      <c r="AY238"/>
      <c r="AZ238"/>
      <c r="BA238"/>
      <c r="BI238"/>
      <c r="BJ238"/>
      <c r="BK238"/>
      <c r="BS238"/>
      <c r="BT238"/>
      <c r="BU238"/>
      <c r="CC238"/>
      <c r="CD238"/>
      <c r="CE238"/>
    </row>
    <row r="239" spans="8:83">
      <c r="H239"/>
      <c r="I239"/>
      <c r="J239"/>
      <c r="U239"/>
      <c r="V239"/>
      <c r="W239"/>
      <c r="AE239"/>
      <c r="AF239"/>
      <c r="AG239"/>
      <c r="AO239"/>
      <c r="AP239"/>
      <c r="AQ239"/>
      <c r="AY239"/>
      <c r="AZ239"/>
      <c r="BA239"/>
      <c r="BI239"/>
      <c r="BJ239"/>
      <c r="BK239"/>
      <c r="BS239"/>
      <c r="BT239"/>
      <c r="BU239"/>
      <c r="CC239"/>
      <c r="CD239"/>
      <c r="CE239"/>
    </row>
    <row r="240" spans="8:83">
      <c r="H240"/>
      <c r="I240"/>
      <c r="J240"/>
      <c r="U240"/>
      <c r="V240"/>
      <c r="W240"/>
      <c r="AE240"/>
      <c r="AF240"/>
      <c r="AG240"/>
      <c r="AO240"/>
      <c r="AP240"/>
      <c r="AQ240"/>
      <c r="AY240"/>
      <c r="AZ240"/>
      <c r="BA240"/>
      <c r="BI240"/>
      <c r="BJ240"/>
      <c r="BK240"/>
      <c r="BS240"/>
      <c r="BT240"/>
      <c r="BU240"/>
      <c r="CC240"/>
      <c r="CD240"/>
      <c r="CE240"/>
    </row>
    <row r="241" spans="8:83">
      <c r="H241"/>
      <c r="I241"/>
      <c r="J241"/>
      <c r="U241"/>
      <c r="V241"/>
      <c r="W241"/>
      <c r="AE241"/>
      <c r="AF241"/>
      <c r="AG241"/>
      <c r="AO241"/>
      <c r="AP241"/>
      <c r="AQ241"/>
      <c r="AY241"/>
      <c r="AZ241"/>
      <c r="BA241"/>
      <c r="BI241"/>
      <c r="BJ241"/>
      <c r="BK241"/>
      <c r="BS241"/>
      <c r="BT241"/>
      <c r="BU241"/>
      <c r="CC241"/>
      <c r="CD241"/>
      <c r="CE241"/>
    </row>
    <row r="242" spans="8:83">
      <c r="H242"/>
      <c r="I242"/>
      <c r="J242"/>
      <c r="U242"/>
      <c r="V242"/>
      <c r="W242"/>
      <c r="AE242"/>
      <c r="AF242"/>
      <c r="AG242"/>
      <c r="AO242"/>
      <c r="AP242"/>
      <c r="AQ242"/>
      <c r="AY242"/>
      <c r="AZ242"/>
      <c r="BA242"/>
      <c r="BI242"/>
      <c r="BJ242"/>
      <c r="BK242"/>
      <c r="BS242"/>
      <c r="BT242"/>
      <c r="BU242"/>
      <c r="CC242"/>
      <c r="CD242"/>
      <c r="CE242"/>
    </row>
    <row r="243" spans="8:83">
      <c r="H243"/>
      <c r="I243"/>
      <c r="J243"/>
      <c r="U243"/>
      <c r="V243"/>
      <c r="W243"/>
      <c r="AE243"/>
      <c r="AF243"/>
      <c r="AG243"/>
      <c r="AO243"/>
      <c r="AP243"/>
      <c r="AQ243"/>
      <c r="AY243"/>
      <c r="AZ243"/>
      <c r="BA243"/>
      <c r="BI243"/>
      <c r="BJ243"/>
      <c r="BK243"/>
      <c r="BS243"/>
      <c r="BT243"/>
      <c r="BU243"/>
      <c r="CC243"/>
      <c r="CD243"/>
      <c r="CE243"/>
    </row>
    <row r="244" spans="8:83">
      <c r="H244"/>
      <c r="I244"/>
      <c r="J244"/>
      <c r="U244"/>
      <c r="V244"/>
      <c r="W244"/>
      <c r="AE244"/>
      <c r="AF244"/>
      <c r="AG244"/>
      <c r="AO244"/>
      <c r="AP244"/>
      <c r="AQ244"/>
      <c r="AY244"/>
      <c r="AZ244"/>
      <c r="BA244"/>
      <c r="BI244"/>
      <c r="BJ244"/>
      <c r="BK244"/>
      <c r="BS244"/>
      <c r="BT244"/>
      <c r="BU244"/>
      <c r="CC244"/>
      <c r="CD244"/>
      <c r="CE244"/>
    </row>
    <row r="245" spans="8:83">
      <c r="H245"/>
      <c r="I245"/>
      <c r="J245"/>
      <c r="U245"/>
      <c r="V245"/>
      <c r="W245"/>
      <c r="AE245"/>
      <c r="AF245"/>
      <c r="AG245"/>
      <c r="AO245"/>
      <c r="AP245"/>
      <c r="AQ245"/>
      <c r="AY245"/>
      <c r="AZ245"/>
      <c r="BA245"/>
      <c r="BI245"/>
      <c r="BJ245"/>
      <c r="BK245"/>
      <c r="BS245"/>
      <c r="BT245"/>
      <c r="BU245"/>
      <c r="CC245"/>
      <c r="CD245"/>
      <c r="CE245"/>
    </row>
    <row r="246" spans="8:83">
      <c r="H246"/>
      <c r="I246"/>
      <c r="J246"/>
      <c r="U246"/>
      <c r="V246"/>
      <c r="W246"/>
      <c r="AE246"/>
      <c r="AF246"/>
      <c r="AG246"/>
      <c r="AO246"/>
      <c r="AP246"/>
      <c r="AQ246"/>
      <c r="AY246"/>
      <c r="AZ246"/>
      <c r="BA246"/>
      <c r="BI246"/>
      <c r="BJ246"/>
      <c r="BK246"/>
      <c r="BS246"/>
      <c r="BT246"/>
      <c r="BU246"/>
      <c r="CC246"/>
      <c r="CD246"/>
      <c r="CE246"/>
    </row>
    <row r="247" spans="8:83">
      <c r="H247"/>
      <c r="I247"/>
      <c r="J247"/>
      <c r="U247"/>
      <c r="V247"/>
      <c r="W247"/>
      <c r="AE247"/>
      <c r="AF247"/>
      <c r="AG247"/>
      <c r="AO247"/>
      <c r="AP247"/>
      <c r="AQ247"/>
      <c r="AY247"/>
      <c r="AZ247"/>
      <c r="BA247"/>
      <c r="BI247"/>
      <c r="BJ247"/>
      <c r="BK247"/>
      <c r="BS247"/>
      <c r="BT247"/>
      <c r="BU247"/>
      <c r="CC247"/>
      <c r="CD247"/>
      <c r="CE247"/>
    </row>
    <row r="248" spans="8:83">
      <c r="H248"/>
      <c r="I248"/>
      <c r="J248"/>
      <c r="U248"/>
      <c r="V248"/>
      <c r="W248"/>
      <c r="AE248"/>
      <c r="AF248"/>
      <c r="AG248"/>
      <c r="AO248"/>
      <c r="AP248"/>
      <c r="AQ248"/>
      <c r="AY248"/>
      <c r="AZ248"/>
      <c r="BA248"/>
      <c r="BI248"/>
      <c r="BJ248"/>
      <c r="BK248"/>
      <c r="BS248"/>
      <c r="BT248"/>
      <c r="BU248"/>
      <c r="CC248"/>
      <c r="CD248"/>
      <c r="CE248"/>
    </row>
    <row r="249" spans="8:83">
      <c r="H249"/>
      <c r="I249"/>
      <c r="J249"/>
      <c r="U249"/>
      <c r="V249"/>
      <c r="W249"/>
      <c r="AE249"/>
      <c r="AF249"/>
      <c r="AG249"/>
      <c r="AO249"/>
      <c r="AP249"/>
      <c r="AQ249"/>
      <c r="AY249"/>
      <c r="AZ249"/>
      <c r="BA249"/>
      <c r="BI249"/>
      <c r="BJ249"/>
      <c r="BK249"/>
      <c r="BS249"/>
      <c r="BT249"/>
      <c r="BU249"/>
      <c r="CC249"/>
      <c r="CD249"/>
      <c r="CE249"/>
    </row>
    <row r="250" spans="8:83">
      <c r="H250"/>
      <c r="I250"/>
      <c r="J250"/>
      <c r="U250"/>
      <c r="V250"/>
      <c r="W250"/>
      <c r="AE250"/>
      <c r="AF250"/>
      <c r="AG250"/>
      <c r="AO250"/>
      <c r="AP250"/>
      <c r="AQ250"/>
      <c r="AY250"/>
      <c r="AZ250"/>
      <c r="BA250"/>
      <c r="BI250"/>
      <c r="BJ250"/>
      <c r="BK250"/>
      <c r="BS250"/>
      <c r="BT250"/>
      <c r="BU250"/>
      <c r="CC250"/>
      <c r="CD250"/>
      <c r="CE250"/>
    </row>
    <row r="251" spans="8:83">
      <c r="H251"/>
      <c r="I251"/>
      <c r="J251"/>
      <c r="U251"/>
      <c r="V251"/>
      <c r="W251"/>
      <c r="AE251"/>
      <c r="AF251"/>
      <c r="AG251"/>
      <c r="AO251"/>
      <c r="AP251"/>
      <c r="AQ251"/>
      <c r="AY251"/>
      <c r="AZ251"/>
      <c r="BA251"/>
      <c r="BI251"/>
      <c r="BJ251"/>
      <c r="BK251"/>
      <c r="BS251"/>
      <c r="BT251"/>
      <c r="BU251"/>
      <c r="CC251"/>
      <c r="CD251"/>
      <c r="CE251"/>
    </row>
    <row r="252" spans="8:83">
      <c r="H252"/>
      <c r="I252"/>
      <c r="J252"/>
      <c r="U252"/>
      <c r="V252"/>
      <c r="W252"/>
      <c r="AE252"/>
      <c r="AF252"/>
      <c r="AG252"/>
      <c r="AO252"/>
      <c r="AP252"/>
      <c r="AQ252"/>
      <c r="AY252"/>
      <c r="AZ252"/>
      <c r="BA252"/>
      <c r="BI252"/>
      <c r="BJ252"/>
      <c r="BK252"/>
      <c r="BS252"/>
      <c r="BT252"/>
      <c r="BU252"/>
      <c r="CC252"/>
      <c r="CD252"/>
      <c r="CE252"/>
    </row>
    <row r="253" spans="8:83">
      <c r="H253"/>
      <c r="I253"/>
      <c r="J253"/>
      <c r="U253"/>
      <c r="V253"/>
      <c r="W253"/>
      <c r="AE253"/>
      <c r="AF253"/>
      <c r="AG253"/>
      <c r="AO253"/>
      <c r="AP253"/>
      <c r="AQ253"/>
      <c r="AY253"/>
      <c r="AZ253"/>
      <c r="BA253"/>
      <c r="BI253"/>
      <c r="BJ253"/>
      <c r="BK253"/>
      <c r="BS253"/>
      <c r="BT253"/>
      <c r="BU253"/>
      <c r="CC253"/>
      <c r="CD253"/>
      <c r="CE253"/>
    </row>
    <row r="254" spans="8:83">
      <c r="H254"/>
      <c r="I254"/>
      <c r="J254"/>
      <c r="U254"/>
      <c r="V254"/>
      <c r="W254"/>
      <c r="AE254"/>
      <c r="AF254"/>
      <c r="AG254"/>
      <c r="AO254"/>
      <c r="AP254"/>
      <c r="AQ254"/>
      <c r="AY254"/>
      <c r="AZ254"/>
      <c r="BA254"/>
      <c r="BI254"/>
      <c r="BJ254"/>
      <c r="BK254"/>
      <c r="BS254"/>
      <c r="BT254"/>
      <c r="BU254"/>
      <c r="CC254"/>
      <c r="CD254"/>
      <c r="CE254"/>
    </row>
    <row r="255" spans="8:83">
      <c r="H255"/>
      <c r="I255"/>
      <c r="J255"/>
      <c r="U255"/>
      <c r="V255"/>
      <c r="W255"/>
      <c r="AE255"/>
      <c r="AF255"/>
      <c r="AG255"/>
      <c r="AO255"/>
      <c r="AP255"/>
      <c r="AQ255"/>
      <c r="AY255"/>
      <c r="AZ255"/>
      <c r="BA255"/>
      <c r="BI255"/>
      <c r="BJ255"/>
      <c r="BK255"/>
      <c r="BS255"/>
      <c r="BT255"/>
      <c r="BU255"/>
      <c r="CC255"/>
      <c r="CD255"/>
      <c r="CE255"/>
    </row>
    <row r="256" spans="8:83">
      <c r="H256"/>
      <c r="I256"/>
      <c r="J256"/>
      <c r="U256"/>
      <c r="V256"/>
      <c r="W256"/>
      <c r="AE256"/>
      <c r="AF256"/>
      <c r="AG256"/>
      <c r="AO256"/>
      <c r="AP256"/>
      <c r="AQ256"/>
      <c r="AY256"/>
      <c r="AZ256"/>
      <c r="BA256"/>
      <c r="BI256"/>
      <c r="BJ256"/>
      <c r="BK256"/>
      <c r="BS256"/>
      <c r="BT256"/>
      <c r="BU256"/>
      <c r="CC256"/>
      <c r="CD256"/>
      <c r="CE256"/>
    </row>
    <row r="257" spans="8:83">
      <c r="H257"/>
      <c r="I257"/>
      <c r="J257"/>
      <c r="U257"/>
      <c r="V257"/>
      <c r="W257"/>
      <c r="AE257"/>
      <c r="AF257"/>
      <c r="AG257"/>
      <c r="AO257"/>
      <c r="AP257"/>
      <c r="AQ257"/>
      <c r="AY257"/>
      <c r="AZ257"/>
      <c r="BA257"/>
      <c r="BI257"/>
      <c r="BJ257"/>
      <c r="BK257"/>
      <c r="BS257"/>
      <c r="BT257"/>
      <c r="BU257"/>
      <c r="CC257"/>
      <c r="CD257"/>
      <c r="CE257"/>
    </row>
    <row r="258" spans="8:83">
      <c r="H258"/>
      <c r="I258"/>
      <c r="J258"/>
      <c r="U258"/>
      <c r="V258"/>
      <c r="W258"/>
      <c r="AE258"/>
      <c r="AF258"/>
      <c r="AG258"/>
      <c r="AO258"/>
      <c r="AP258"/>
      <c r="AQ258"/>
      <c r="AY258"/>
      <c r="AZ258"/>
      <c r="BA258"/>
      <c r="BI258"/>
      <c r="BJ258"/>
      <c r="BK258"/>
      <c r="BS258"/>
      <c r="BT258"/>
      <c r="BU258"/>
      <c r="CC258"/>
      <c r="CD258"/>
      <c r="CE258"/>
    </row>
    <row r="259" spans="8:83">
      <c r="H259"/>
      <c r="I259"/>
      <c r="J259"/>
      <c r="U259"/>
      <c r="V259"/>
      <c r="W259"/>
      <c r="AE259"/>
      <c r="AF259"/>
      <c r="AG259"/>
      <c r="AO259"/>
      <c r="AP259"/>
      <c r="AQ259"/>
      <c r="AY259"/>
      <c r="AZ259"/>
      <c r="BA259"/>
      <c r="BI259"/>
      <c r="BJ259"/>
      <c r="BK259"/>
      <c r="BS259"/>
      <c r="BT259"/>
      <c r="BU259"/>
      <c r="CC259"/>
      <c r="CD259"/>
      <c r="CE259"/>
    </row>
    <row r="260" spans="8:83">
      <c r="H260"/>
      <c r="I260"/>
      <c r="J260"/>
      <c r="U260"/>
      <c r="V260"/>
      <c r="W260"/>
      <c r="AE260"/>
      <c r="AF260"/>
      <c r="AG260"/>
      <c r="AO260"/>
      <c r="AP260"/>
      <c r="AQ260"/>
      <c r="AY260"/>
      <c r="AZ260"/>
      <c r="BA260"/>
      <c r="BI260"/>
      <c r="BJ260"/>
      <c r="BK260"/>
      <c r="BS260"/>
      <c r="BT260"/>
      <c r="BU260"/>
      <c r="CC260"/>
      <c r="CD260"/>
      <c r="CE260"/>
    </row>
    <row r="261" spans="8:83">
      <c r="H261"/>
      <c r="I261"/>
      <c r="J261"/>
      <c r="U261"/>
      <c r="V261"/>
      <c r="W261"/>
      <c r="AE261"/>
      <c r="AF261"/>
      <c r="AG261"/>
      <c r="AO261"/>
      <c r="AP261"/>
      <c r="AQ261"/>
      <c r="AY261"/>
      <c r="AZ261"/>
      <c r="BA261"/>
      <c r="BI261"/>
      <c r="BJ261"/>
      <c r="BK261"/>
      <c r="BS261"/>
      <c r="BT261"/>
      <c r="BU261"/>
      <c r="CC261"/>
      <c r="CD261"/>
      <c r="CE261"/>
    </row>
    <row r="262" spans="8:83">
      <c r="H262"/>
      <c r="I262"/>
      <c r="J262"/>
      <c r="U262"/>
      <c r="V262"/>
      <c r="W262"/>
      <c r="AE262"/>
      <c r="AF262"/>
      <c r="AG262"/>
      <c r="AO262"/>
      <c r="AP262"/>
      <c r="AQ262"/>
      <c r="AY262"/>
      <c r="AZ262"/>
      <c r="BA262"/>
      <c r="BI262"/>
      <c r="BJ262"/>
      <c r="BK262"/>
      <c r="BS262"/>
      <c r="BT262"/>
      <c r="BU262"/>
      <c r="CC262"/>
      <c r="CD262"/>
      <c r="CE262"/>
    </row>
    <row r="263" spans="8:83">
      <c r="H263"/>
      <c r="I263"/>
      <c r="J263"/>
      <c r="U263"/>
      <c r="V263"/>
      <c r="W263"/>
      <c r="AE263"/>
      <c r="AF263"/>
      <c r="AG263"/>
      <c r="AO263"/>
      <c r="AP263"/>
      <c r="AQ263"/>
      <c r="AY263"/>
      <c r="AZ263"/>
      <c r="BA263"/>
      <c r="BI263"/>
      <c r="BJ263"/>
      <c r="BK263"/>
      <c r="BS263"/>
      <c r="BT263"/>
      <c r="BU263"/>
      <c r="CC263"/>
      <c r="CD263"/>
      <c r="CE263"/>
    </row>
    <row r="264" spans="8:83">
      <c r="H264"/>
      <c r="I264"/>
      <c r="J264"/>
      <c r="U264"/>
      <c r="V264"/>
      <c r="W264"/>
      <c r="AE264"/>
      <c r="AF264"/>
      <c r="AG264"/>
      <c r="AO264"/>
      <c r="AP264"/>
      <c r="AQ264"/>
      <c r="AY264"/>
      <c r="AZ264"/>
      <c r="BA264"/>
      <c r="BI264"/>
      <c r="BJ264"/>
      <c r="BK264"/>
      <c r="BS264"/>
      <c r="BT264"/>
      <c r="BU264"/>
      <c r="CC264"/>
      <c r="CD264"/>
      <c r="CE264"/>
    </row>
    <row r="265" spans="8:83">
      <c r="H265"/>
      <c r="I265"/>
      <c r="J265"/>
      <c r="U265"/>
      <c r="V265"/>
      <c r="W265"/>
      <c r="AE265"/>
      <c r="AF265"/>
      <c r="AG265"/>
      <c r="AO265"/>
      <c r="AP265"/>
      <c r="AQ265"/>
      <c r="AY265"/>
      <c r="AZ265"/>
      <c r="BA265"/>
      <c r="BI265"/>
      <c r="BJ265"/>
      <c r="BK265"/>
      <c r="BS265"/>
      <c r="BT265"/>
      <c r="BU265"/>
      <c r="CC265"/>
      <c r="CD265"/>
      <c r="CE265"/>
    </row>
    <row r="266" spans="8:83">
      <c r="H266"/>
      <c r="I266"/>
      <c r="J266"/>
      <c r="U266"/>
      <c r="V266"/>
      <c r="W266"/>
      <c r="AE266"/>
      <c r="AF266"/>
      <c r="AG266"/>
      <c r="AO266"/>
      <c r="AP266"/>
      <c r="AQ266"/>
      <c r="AY266"/>
      <c r="AZ266"/>
      <c r="BA266"/>
      <c r="BI266"/>
      <c r="BJ266"/>
      <c r="BK266"/>
      <c r="BS266"/>
      <c r="BT266"/>
      <c r="BU266"/>
      <c r="CC266"/>
      <c r="CD266"/>
      <c r="CE266"/>
    </row>
    <row r="267" spans="8:83">
      <c r="H267"/>
      <c r="I267"/>
      <c r="J267"/>
      <c r="U267"/>
      <c r="V267"/>
      <c r="W267"/>
      <c r="AE267"/>
      <c r="AF267"/>
      <c r="AG267"/>
      <c r="AO267"/>
      <c r="AP267"/>
      <c r="AQ267"/>
      <c r="AY267"/>
      <c r="AZ267"/>
      <c r="BA267"/>
      <c r="BI267"/>
      <c r="BJ267"/>
      <c r="BK267"/>
      <c r="BS267"/>
      <c r="BT267"/>
      <c r="BU267"/>
      <c r="CC267"/>
      <c r="CD267"/>
      <c r="CE267"/>
    </row>
    <row r="268" spans="8:83">
      <c r="H268"/>
      <c r="I268"/>
      <c r="J268"/>
      <c r="U268"/>
      <c r="V268"/>
      <c r="W268"/>
      <c r="AE268"/>
      <c r="AF268"/>
      <c r="AG268"/>
      <c r="AO268"/>
      <c r="AP268"/>
      <c r="AQ268"/>
      <c r="AY268"/>
      <c r="AZ268"/>
      <c r="BA268"/>
      <c r="BI268"/>
      <c r="BJ268"/>
      <c r="BK268"/>
      <c r="BS268"/>
      <c r="BT268"/>
      <c r="BU268"/>
      <c r="CC268"/>
      <c r="CD268"/>
      <c r="CE268"/>
    </row>
    <row r="269" spans="8:83">
      <c r="H269"/>
      <c r="I269"/>
      <c r="J269"/>
      <c r="U269"/>
      <c r="V269"/>
      <c r="W269"/>
      <c r="AE269"/>
      <c r="AF269"/>
      <c r="AG269"/>
      <c r="AO269"/>
      <c r="AP269"/>
      <c r="AQ269"/>
      <c r="AY269"/>
      <c r="AZ269"/>
      <c r="BA269"/>
      <c r="BI269"/>
      <c r="BJ269"/>
      <c r="BK269"/>
      <c r="BS269"/>
      <c r="BT269"/>
      <c r="BU269"/>
      <c r="CC269"/>
      <c r="CD269"/>
      <c r="CE269"/>
    </row>
    <row r="270" spans="8:83">
      <c r="H270"/>
      <c r="I270"/>
      <c r="J270"/>
      <c r="U270"/>
      <c r="V270"/>
      <c r="W270"/>
      <c r="AE270"/>
      <c r="AF270"/>
      <c r="AG270"/>
      <c r="AO270"/>
      <c r="AP270"/>
      <c r="AQ270"/>
      <c r="AY270"/>
      <c r="AZ270"/>
      <c r="BA270"/>
      <c r="BI270"/>
      <c r="BJ270"/>
      <c r="BK270"/>
      <c r="BS270"/>
      <c r="BT270"/>
      <c r="BU270"/>
      <c r="CC270"/>
      <c r="CD270"/>
      <c r="CE270"/>
    </row>
    <row r="271" spans="8:83">
      <c r="H271"/>
      <c r="I271"/>
      <c r="J271"/>
      <c r="U271"/>
      <c r="V271"/>
      <c r="W271"/>
      <c r="AE271"/>
      <c r="AF271"/>
      <c r="AG271"/>
      <c r="AO271"/>
      <c r="AP271"/>
      <c r="AQ271"/>
      <c r="AY271"/>
      <c r="AZ271"/>
      <c r="BA271"/>
      <c r="BI271"/>
      <c r="BJ271"/>
      <c r="BK271"/>
      <c r="BS271"/>
      <c r="BT271"/>
      <c r="BU271"/>
      <c r="CC271"/>
      <c r="CD271"/>
      <c r="CE271"/>
    </row>
    <row r="272" spans="8:83">
      <c r="H272"/>
      <c r="I272"/>
      <c r="J272"/>
      <c r="U272"/>
      <c r="V272"/>
      <c r="W272"/>
      <c r="AE272"/>
      <c r="AF272"/>
      <c r="AG272"/>
      <c r="AO272"/>
      <c r="AP272"/>
      <c r="AQ272"/>
      <c r="AY272"/>
      <c r="AZ272"/>
      <c r="BA272"/>
      <c r="BI272"/>
      <c r="BJ272"/>
      <c r="BK272"/>
      <c r="BS272"/>
      <c r="BT272"/>
      <c r="BU272"/>
      <c r="CC272"/>
      <c r="CD272"/>
      <c r="CE272"/>
    </row>
    <row r="273" spans="8:83">
      <c r="H273"/>
      <c r="I273"/>
      <c r="J273"/>
      <c r="U273"/>
      <c r="V273"/>
      <c r="W273"/>
      <c r="AE273"/>
      <c r="AF273"/>
      <c r="AG273"/>
      <c r="AO273"/>
      <c r="AP273"/>
      <c r="AQ273"/>
      <c r="AY273"/>
      <c r="AZ273"/>
      <c r="BA273"/>
      <c r="BI273"/>
      <c r="BJ273"/>
      <c r="BK273"/>
      <c r="BS273"/>
      <c r="BT273"/>
      <c r="BU273"/>
      <c r="CC273"/>
      <c r="CD273"/>
      <c r="CE273"/>
    </row>
    <row r="274" spans="8:83">
      <c r="H274"/>
      <c r="I274"/>
      <c r="J274"/>
      <c r="U274"/>
      <c r="V274"/>
      <c r="W274"/>
      <c r="AE274"/>
      <c r="AF274"/>
      <c r="AG274"/>
      <c r="AO274"/>
      <c r="AP274"/>
      <c r="AQ274"/>
      <c r="AY274"/>
      <c r="AZ274"/>
      <c r="BA274"/>
      <c r="BI274"/>
      <c r="BJ274"/>
      <c r="BK274"/>
      <c r="BS274"/>
      <c r="BT274"/>
      <c r="BU274"/>
      <c r="CC274"/>
      <c r="CD274"/>
      <c r="CE274"/>
    </row>
    <row r="275" spans="8:83">
      <c r="H275"/>
      <c r="I275"/>
      <c r="J275"/>
      <c r="U275"/>
      <c r="V275"/>
      <c r="W275"/>
      <c r="AE275"/>
      <c r="AF275"/>
      <c r="AG275"/>
      <c r="AO275"/>
      <c r="AP275"/>
      <c r="AQ275"/>
      <c r="AY275"/>
      <c r="AZ275"/>
      <c r="BA275"/>
      <c r="BI275"/>
      <c r="BJ275"/>
      <c r="BK275"/>
      <c r="BS275"/>
      <c r="BT275"/>
      <c r="BU275"/>
      <c r="CC275"/>
      <c r="CD275"/>
      <c r="CE275"/>
    </row>
    <row r="276" spans="8:83">
      <c r="H276"/>
      <c r="I276"/>
      <c r="J276"/>
      <c r="U276"/>
      <c r="V276"/>
      <c r="W276"/>
      <c r="AE276"/>
      <c r="AF276"/>
      <c r="AG276"/>
      <c r="AO276"/>
      <c r="AP276"/>
      <c r="AQ276"/>
      <c r="AY276"/>
      <c r="AZ276"/>
      <c r="BA276"/>
      <c r="BI276"/>
      <c r="BJ276"/>
      <c r="BK276"/>
      <c r="BS276"/>
      <c r="BT276"/>
      <c r="BU276"/>
      <c r="CC276"/>
      <c r="CD276"/>
      <c r="CE276"/>
    </row>
    <row r="277" spans="8:83">
      <c r="H277"/>
      <c r="I277"/>
      <c r="J277"/>
      <c r="U277"/>
      <c r="V277"/>
      <c r="W277"/>
      <c r="AE277"/>
      <c r="AF277"/>
      <c r="AG277"/>
      <c r="AO277"/>
      <c r="AP277"/>
      <c r="AQ277"/>
      <c r="AY277"/>
      <c r="AZ277"/>
      <c r="BA277"/>
      <c r="BI277"/>
      <c r="BJ277"/>
      <c r="BK277"/>
      <c r="BS277"/>
      <c r="BT277"/>
      <c r="BU277"/>
      <c r="CC277"/>
      <c r="CD277"/>
      <c r="CE277"/>
    </row>
    <row r="278" spans="8:83">
      <c r="H278"/>
      <c r="I278"/>
      <c r="J278"/>
      <c r="U278"/>
      <c r="V278"/>
      <c r="W278"/>
      <c r="AE278"/>
      <c r="AF278"/>
      <c r="AG278"/>
      <c r="AO278"/>
      <c r="AP278"/>
      <c r="AQ278"/>
      <c r="AY278"/>
      <c r="AZ278"/>
      <c r="BA278"/>
      <c r="BI278"/>
      <c r="BJ278"/>
      <c r="BK278"/>
      <c r="BS278"/>
      <c r="BT278"/>
      <c r="BU278"/>
      <c r="CC278"/>
      <c r="CD278"/>
      <c r="CE278"/>
    </row>
    <row r="279" spans="8:83">
      <c r="H279"/>
      <c r="I279"/>
      <c r="J279"/>
      <c r="U279"/>
      <c r="V279"/>
      <c r="W279"/>
      <c r="AE279"/>
      <c r="AF279"/>
      <c r="AG279"/>
      <c r="AO279"/>
      <c r="AP279"/>
      <c r="AQ279"/>
      <c r="AY279"/>
      <c r="AZ279"/>
      <c r="BA279"/>
      <c r="BI279"/>
      <c r="BJ279"/>
      <c r="BK279"/>
      <c r="BS279"/>
      <c r="BT279"/>
      <c r="BU279"/>
      <c r="CC279"/>
      <c r="CD279"/>
      <c r="CE279"/>
    </row>
    <row r="280" spans="8:83">
      <c r="H280"/>
      <c r="I280"/>
      <c r="J280"/>
      <c r="U280"/>
      <c r="V280"/>
      <c r="W280"/>
      <c r="AE280"/>
      <c r="AF280"/>
      <c r="AG280"/>
      <c r="AO280"/>
      <c r="AP280"/>
      <c r="AQ280"/>
      <c r="AY280"/>
      <c r="AZ280"/>
      <c r="BA280"/>
      <c r="BI280"/>
      <c r="BJ280"/>
      <c r="BK280"/>
      <c r="BS280"/>
      <c r="BT280"/>
      <c r="BU280"/>
      <c r="CC280"/>
      <c r="CD280"/>
      <c r="CE280"/>
    </row>
    <row r="281" spans="8:83">
      <c r="H281"/>
      <c r="I281"/>
      <c r="J281"/>
      <c r="U281"/>
      <c r="V281"/>
      <c r="W281"/>
      <c r="AE281"/>
      <c r="AF281"/>
      <c r="AG281"/>
      <c r="AO281"/>
      <c r="AP281"/>
      <c r="AQ281"/>
      <c r="AY281"/>
      <c r="AZ281"/>
      <c r="BA281"/>
      <c r="BI281"/>
      <c r="BJ281"/>
      <c r="BK281"/>
      <c r="BS281"/>
      <c r="BT281"/>
      <c r="BU281"/>
      <c r="CC281"/>
      <c r="CD281"/>
      <c r="CE281"/>
    </row>
    <row r="282" spans="8:83">
      <c r="H282"/>
      <c r="I282"/>
      <c r="J282"/>
      <c r="U282"/>
      <c r="V282"/>
      <c r="W282"/>
      <c r="AE282"/>
      <c r="AF282"/>
      <c r="AG282"/>
      <c r="AO282"/>
      <c r="AP282"/>
      <c r="AQ282"/>
      <c r="AY282"/>
      <c r="AZ282"/>
      <c r="BA282"/>
      <c r="BI282"/>
      <c r="BJ282"/>
      <c r="BK282"/>
      <c r="BS282"/>
      <c r="BT282"/>
      <c r="BU282"/>
      <c r="CC282"/>
      <c r="CD282"/>
      <c r="CE282"/>
    </row>
    <row r="283" spans="8:83">
      <c r="H283"/>
      <c r="I283"/>
      <c r="J283"/>
      <c r="U283"/>
      <c r="V283"/>
      <c r="W283"/>
      <c r="AE283"/>
      <c r="AF283"/>
      <c r="AG283"/>
      <c r="AO283"/>
      <c r="AP283"/>
      <c r="AQ283"/>
      <c r="AY283"/>
      <c r="AZ283"/>
      <c r="BA283"/>
      <c r="BI283"/>
      <c r="BJ283"/>
      <c r="BK283"/>
      <c r="BS283"/>
      <c r="BT283"/>
      <c r="BU283"/>
      <c r="CC283"/>
      <c r="CD283"/>
      <c r="CE283"/>
    </row>
    <row r="284" spans="8:83">
      <c r="H284"/>
      <c r="I284"/>
      <c r="J284"/>
      <c r="U284"/>
      <c r="V284"/>
      <c r="W284"/>
      <c r="AE284"/>
      <c r="AF284"/>
      <c r="AG284"/>
      <c r="AO284"/>
      <c r="AP284"/>
      <c r="AQ284"/>
      <c r="AY284"/>
      <c r="AZ284"/>
      <c r="BA284"/>
      <c r="BI284"/>
      <c r="BJ284"/>
      <c r="BK284"/>
      <c r="BS284"/>
      <c r="BT284"/>
      <c r="BU284"/>
      <c r="CC284"/>
      <c r="CD284"/>
      <c r="CE284"/>
    </row>
    <row r="285" spans="8:83">
      <c r="H285"/>
      <c r="I285"/>
      <c r="J285"/>
      <c r="U285"/>
      <c r="V285"/>
      <c r="W285"/>
      <c r="AE285"/>
      <c r="AF285"/>
      <c r="AG285"/>
      <c r="AO285"/>
      <c r="AP285"/>
      <c r="AQ285"/>
      <c r="AY285"/>
      <c r="AZ285"/>
      <c r="BA285"/>
      <c r="BI285"/>
      <c r="BJ285"/>
      <c r="BK285"/>
      <c r="BS285"/>
      <c r="BT285"/>
      <c r="BU285"/>
      <c r="CC285"/>
      <c r="CD285"/>
      <c r="CE285"/>
    </row>
    <row r="286" spans="8:83">
      <c r="H286"/>
      <c r="I286"/>
      <c r="J286"/>
      <c r="U286"/>
      <c r="V286"/>
      <c r="W286"/>
      <c r="AE286"/>
      <c r="AF286"/>
      <c r="AG286"/>
      <c r="AO286"/>
      <c r="AP286"/>
      <c r="AQ286"/>
      <c r="AY286"/>
      <c r="AZ286"/>
      <c r="BA286"/>
      <c r="BI286"/>
      <c r="BJ286"/>
      <c r="BK286"/>
      <c r="BS286"/>
      <c r="BT286"/>
      <c r="BU286"/>
      <c r="CC286"/>
      <c r="CD286"/>
      <c r="CE286"/>
    </row>
    <row r="287" spans="8:83">
      <c r="H287"/>
      <c r="I287"/>
      <c r="J287"/>
      <c r="U287"/>
      <c r="V287"/>
      <c r="W287"/>
      <c r="AE287"/>
      <c r="AF287"/>
      <c r="AG287"/>
      <c r="AO287"/>
      <c r="AP287"/>
      <c r="AQ287"/>
      <c r="AY287"/>
      <c r="AZ287"/>
      <c r="BA287"/>
      <c r="BI287"/>
      <c r="BJ287"/>
      <c r="BK287"/>
      <c r="BS287"/>
      <c r="BT287"/>
      <c r="BU287"/>
      <c r="CC287"/>
      <c r="CD287"/>
      <c r="CE287"/>
    </row>
    <row r="288" spans="8:83">
      <c r="H288"/>
      <c r="I288"/>
      <c r="J288"/>
      <c r="U288"/>
      <c r="V288"/>
      <c r="W288"/>
      <c r="AE288"/>
      <c r="AF288"/>
      <c r="AG288"/>
      <c r="AO288"/>
      <c r="AP288"/>
      <c r="AQ288"/>
      <c r="AY288"/>
      <c r="AZ288"/>
      <c r="BA288"/>
      <c r="BI288"/>
      <c r="BJ288"/>
      <c r="BK288"/>
      <c r="BS288"/>
      <c r="BT288"/>
      <c r="BU288"/>
      <c r="CC288"/>
      <c r="CD288"/>
      <c r="CE288"/>
    </row>
    <row r="289" spans="8:83">
      <c r="H289"/>
      <c r="I289"/>
      <c r="J289"/>
      <c r="U289"/>
      <c r="V289"/>
      <c r="W289"/>
      <c r="AE289"/>
      <c r="AF289"/>
      <c r="AG289"/>
      <c r="AO289"/>
      <c r="AP289"/>
      <c r="AQ289"/>
      <c r="AY289"/>
      <c r="AZ289"/>
      <c r="BA289"/>
      <c r="BI289"/>
      <c r="BJ289"/>
      <c r="BK289"/>
      <c r="BS289"/>
      <c r="BT289"/>
      <c r="BU289"/>
      <c r="CC289"/>
      <c r="CD289"/>
      <c r="CE289"/>
    </row>
    <row r="290" spans="8:83">
      <c r="H290"/>
      <c r="I290"/>
      <c r="J290"/>
      <c r="U290"/>
      <c r="V290"/>
      <c r="W290"/>
      <c r="AE290"/>
      <c r="AF290"/>
      <c r="AG290"/>
      <c r="AO290"/>
      <c r="AP290"/>
      <c r="AQ290"/>
      <c r="AY290"/>
      <c r="AZ290"/>
      <c r="BA290"/>
      <c r="BI290"/>
      <c r="BJ290"/>
      <c r="BK290"/>
      <c r="BS290"/>
      <c r="BT290"/>
      <c r="BU290"/>
      <c r="CC290"/>
      <c r="CD290"/>
      <c r="CE290"/>
    </row>
    <row r="291" spans="8:83">
      <c r="H291"/>
      <c r="I291"/>
      <c r="J291"/>
      <c r="U291"/>
      <c r="V291"/>
      <c r="W291"/>
      <c r="AE291"/>
      <c r="AF291"/>
      <c r="AG291"/>
      <c r="AO291"/>
      <c r="AP291"/>
      <c r="AQ291"/>
      <c r="AY291"/>
      <c r="AZ291"/>
      <c r="BA291"/>
      <c r="BI291"/>
      <c r="BJ291"/>
      <c r="BK291"/>
      <c r="BS291"/>
      <c r="BT291"/>
      <c r="BU291"/>
      <c r="CC291"/>
      <c r="CD291"/>
      <c r="CE291"/>
    </row>
    <row r="292" spans="8:83">
      <c r="H292"/>
      <c r="I292"/>
      <c r="J292"/>
      <c r="U292"/>
      <c r="V292"/>
      <c r="W292"/>
      <c r="AE292"/>
      <c r="AF292"/>
      <c r="AG292"/>
      <c r="AO292"/>
      <c r="AP292"/>
      <c r="AQ292"/>
      <c r="AY292"/>
      <c r="AZ292"/>
      <c r="BA292"/>
      <c r="BI292"/>
      <c r="BJ292"/>
      <c r="BK292"/>
      <c r="BS292"/>
      <c r="BT292"/>
      <c r="BU292"/>
      <c r="CC292"/>
      <c r="CD292"/>
      <c r="CE292"/>
    </row>
    <row r="293" spans="8:83">
      <c r="H293"/>
      <c r="I293"/>
      <c r="J293"/>
      <c r="U293"/>
      <c r="V293"/>
      <c r="W293"/>
      <c r="AE293"/>
      <c r="AF293"/>
      <c r="AG293"/>
      <c r="AO293"/>
      <c r="AP293"/>
      <c r="AQ293"/>
      <c r="AY293"/>
      <c r="AZ293"/>
      <c r="BA293"/>
      <c r="BI293"/>
      <c r="BJ293"/>
      <c r="BK293"/>
      <c r="BS293"/>
      <c r="BT293"/>
      <c r="BU293"/>
      <c r="CC293"/>
      <c r="CD293"/>
      <c r="CE293"/>
    </row>
    <row r="294" spans="8:83">
      <c r="H294"/>
      <c r="I294"/>
      <c r="J294"/>
      <c r="U294"/>
      <c r="V294"/>
      <c r="W294"/>
      <c r="AE294"/>
      <c r="AF294"/>
      <c r="AG294"/>
      <c r="AO294"/>
      <c r="AP294"/>
      <c r="AQ294"/>
      <c r="AY294"/>
      <c r="AZ294"/>
      <c r="BA294"/>
      <c r="BI294"/>
      <c r="BJ294"/>
      <c r="BK294"/>
      <c r="BS294"/>
      <c r="BT294"/>
      <c r="BU294"/>
      <c r="CC294"/>
      <c r="CD294"/>
      <c r="CE294"/>
    </row>
    <row r="295" spans="8:83">
      <c r="H295"/>
      <c r="I295"/>
      <c r="J295"/>
      <c r="U295"/>
      <c r="V295"/>
      <c r="W295"/>
      <c r="AE295"/>
      <c r="AF295"/>
      <c r="AG295"/>
      <c r="AO295"/>
      <c r="AP295"/>
      <c r="AQ295"/>
      <c r="AY295"/>
      <c r="AZ295"/>
      <c r="BA295"/>
      <c r="BI295"/>
      <c r="BJ295"/>
      <c r="BK295"/>
      <c r="BS295"/>
      <c r="BT295"/>
      <c r="BU295"/>
      <c r="CC295"/>
      <c r="CD295"/>
      <c r="CE295"/>
    </row>
    <row r="296" spans="8:83">
      <c r="H296"/>
      <c r="I296"/>
      <c r="J296"/>
      <c r="U296"/>
      <c r="V296"/>
      <c r="W296"/>
      <c r="AE296"/>
      <c r="AF296"/>
      <c r="AG296"/>
      <c r="AO296"/>
      <c r="AP296"/>
      <c r="AQ296"/>
      <c r="AY296"/>
      <c r="AZ296"/>
      <c r="BA296"/>
      <c r="BI296"/>
      <c r="BJ296"/>
      <c r="BK296"/>
      <c r="BS296"/>
      <c r="BT296"/>
      <c r="BU296"/>
      <c r="CC296"/>
      <c r="CD296"/>
      <c r="CE296"/>
    </row>
    <row r="297" spans="8:83">
      <c r="H297"/>
      <c r="I297"/>
      <c r="J297"/>
      <c r="U297"/>
      <c r="V297"/>
      <c r="W297"/>
      <c r="AE297"/>
      <c r="AF297"/>
      <c r="AG297"/>
      <c r="AO297"/>
      <c r="AP297"/>
      <c r="AQ297"/>
      <c r="AY297"/>
      <c r="AZ297"/>
      <c r="BA297"/>
      <c r="BI297"/>
      <c r="BJ297"/>
      <c r="BK297"/>
      <c r="BS297"/>
      <c r="BT297"/>
      <c r="BU297"/>
      <c r="CC297"/>
      <c r="CD297"/>
      <c r="CE297"/>
    </row>
    <row r="298" spans="8:83">
      <c r="H298"/>
      <c r="I298"/>
      <c r="J298"/>
      <c r="U298"/>
      <c r="V298"/>
      <c r="W298"/>
      <c r="AE298"/>
      <c r="AF298"/>
      <c r="AG298"/>
      <c r="AO298"/>
      <c r="AP298"/>
      <c r="AQ298"/>
      <c r="AY298"/>
      <c r="AZ298"/>
      <c r="BA298"/>
      <c r="BI298"/>
      <c r="BJ298"/>
      <c r="BK298"/>
      <c r="BS298"/>
      <c r="BT298"/>
      <c r="BU298"/>
      <c r="CC298"/>
      <c r="CD298"/>
      <c r="CE298"/>
    </row>
    <row r="299" spans="8:83">
      <c r="H299"/>
      <c r="I299"/>
      <c r="J299"/>
      <c r="U299"/>
      <c r="V299"/>
      <c r="W299"/>
      <c r="AE299"/>
      <c r="AF299"/>
      <c r="AG299"/>
      <c r="AO299"/>
      <c r="AP299"/>
      <c r="AQ299"/>
      <c r="AY299"/>
      <c r="AZ299"/>
      <c r="BA299"/>
      <c r="BI299"/>
      <c r="BJ299"/>
      <c r="BK299"/>
      <c r="BS299"/>
      <c r="BT299"/>
      <c r="BU299"/>
      <c r="CC299"/>
      <c r="CD299"/>
      <c r="CE299"/>
    </row>
    <row r="300" spans="8:83">
      <c r="H300"/>
      <c r="I300"/>
      <c r="J300"/>
      <c r="U300"/>
      <c r="V300"/>
      <c r="W300"/>
      <c r="AE300"/>
      <c r="AF300"/>
      <c r="AG300"/>
      <c r="AO300"/>
      <c r="AP300"/>
      <c r="AQ300"/>
      <c r="AY300"/>
      <c r="AZ300"/>
      <c r="BA300"/>
      <c r="BI300"/>
      <c r="BJ300"/>
      <c r="BK300"/>
      <c r="BS300"/>
      <c r="BT300"/>
      <c r="BU300"/>
      <c r="CC300"/>
      <c r="CD300"/>
      <c r="CE300"/>
    </row>
    <row r="301" spans="8:83">
      <c r="H301"/>
      <c r="I301"/>
      <c r="J301"/>
      <c r="U301"/>
      <c r="V301"/>
      <c r="W301"/>
      <c r="AE301"/>
      <c r="AF301"/>
      <c r="AG301"/>
      <c r="AO301"/>
      <c r="AP301"/>
      <c r="AQ301"/>
      <c r="AY301"/>
      <c r="AZ301"/>
      <c r="BA301"/>
      <c r="BI301"/>
      <c r="BJ301"/>
      <c r="BK301"/>
      <c r="BS301"/>
      <c r="BT301"/>
      <c r="BU301"/>
      <c r="CC301"/>
      <c r="CD301"/>
      <c r="CE301"/>
    </row>
    <row r="302" spans="8:83">
      <c r="H302"/>
      <c r="I302"/>
      <c r="J302"/>
      <c r="U302"/>
      <c r="V302"/>
      <c r="W302"/>
      <c r="AE302"/>
      <c r="AF302"/>
      <c r="AG302"/>
      <c r="AO302"/>
      <c r="AP302"/>
      <c r="AQ302"/>
      <c r="AY302"/>
      <c r="AZ302"/>
      <c r="BA302"/>
      <c r="BI302"/>
      <c r="BJ302"/>
      <c r="BK302"/>
      <c r="BS302"/>
      <c r="BT302"/>
      <c r="BU302"/>
      <c r="CC302"/>
      <c r="CD302"/>
      <c r="CE302"/>
    </row>
    <row r="303" spans="8:83">
      <c r="H303"/>
      <c r="I303"/>
      <c r="J303"/>
      <c r="U303"/>
      <c r="V303"/>
      <c r="W303"/>
      <c r="AE303"/>
      <c r="AF303"/>
      <c r="AG303"/>
      <c r="AO303"/>
      <c r="AP303"/>
      <c r="AQ303"/>
      <c r="AY303"/>
      <c r="AZ303"/>
      <c r="BA303"/>
      <c r="BI303"/>
      <c r="BJ303"/>
      <c r="BK303"/>
      <c r="BS303"/>
      <c r="BT303"/>
      <c r="BU303"/>
      <c r="CC303"/>
      <c r="CD303"/>
      <c r="CE303"/>
    </row>
    <row r="304" spans="8:83">
      <c r="H304"/>
      <c r="I304"/>
      <c r="J304"/>
      <c r="U304"/>
      <c r="V304"/>
      <c r="W304"/>
      <c r="AE304"/>
      <c r="AF304"/>
      <c r="AG304"/>
      <c r="AO304"/>
      <c r="AP304"/>
      <c r="AQ304"/>
      <c r="AY304"/>
      <c r="AZ304"/>
      <c r="BA304"/>
      <c r="BI304"/>
      <c r="BJ304"/>
      <c r="BK304"/>
      <c r="BS304"/>
      <c r="BT304"/>
      <c r="BU304"/>
      <c r="CC304"/>
      <c r="CD304"/>
      <c r="CE304"/>
    </row>
    <row r="305" spans="8:83">
      <c r="H305"/>
      <c r="I305"/>
      <c r="J305"/>
      <c r="U305"/>
      <c r="V305"/>
      <c r="W305"/>
      <c r="AE305"/>
      <c r="AF305"/>
      <c r="AG305"/>
      <c r="AO305"/>
      <c r="AP305"/>
      <c r="AQ305"/>
      <c r="AY305"/>
      <c r="AZ305"/>
      <c r="BA305"/>
      <c r="BI305"/>
      <c r="BJ305"/>
      <c r="BK305"/>
      <c r="BS305"/>
      <c r="BT305"/>
      <c r="BU305"/>
      <c r="CC305"/>
      <c r="CD305"/>
      <c r="CE305"/>
    </row>
    <row r="306" spans="8:83">
      <c r="H306"/>
      <c r="I306"/>
      <c r="J306"/>
      <c r="U306"/>
      <c r="V306"/>
      <c r="W306"/>
      <c r="AE306"/>
      <c r="AF306"/>
      <c r="AG306"/>
      <c r="AO306"/>
      <c r="AP306"/>
      <c r="AQ306"/>
      <c r="AY306"/>
      <c r="AZ306"/>
      <c r="BA306"/>
      <c r="BI306"/>
      <c r="BJ306"/>
      <c r="BK306"/>
      <c r="BS306"/>
      <c r="BT306"/>
      <c r="BU306"/>
      <c r="CC306"/>
      <c r="CD306"/>
      <c r="CE306"/>
    </row>
    <row r="307" spans="8:83">
      <c r="H307"/>
      <c r="I307"/>
      <c r="J307"/>
      <c r="U307"/>
      <c r="V307"/>
      <c r="W307"/>
      <c r="AE307"/>
      <c r="AF307"/>
      <c r="AG307"/>
      <c r="AO307"/>
      <c r="AP307"/>
      <c r="AQ307"/>
      <c r="AY307"/>
      <c r="AZ307"/>
      <c r="BA307"/>
      <c r="BI307"/>
      <c r="BJ307"/>
      <c r="BK307"/>
      <c r="BS307"/>
      <c r="BT307"/>
      <c r="BU307"/>
      <c r="CC307"/>
      <c r="CD307"/>
      <c r="CE307"/>
    </row>
    <row r="308" spans="8:83">
      <c r="H308"/>
      <c r="I308"/>
      <c r="J308"/>
      <c r="U308"/>
      <c r="V308"/>
      <c r="W308"/>
      <c r="AE308"/>
      <c r="AF308"/>
      <c r="AG308"/>
      <c r="AO308"/>
      <c r="AP308"/>
      <c r="AQ308"/>
      <c r="AY308"/>
      <c r="AZ308"/>
      <c r="BA308"/>
      <c r="BI308"/>
      <c r="BJ308"/>
      <c r="BK308"/>
      <c r="BS308"/>
      <c r="BT308"/>
      <c r="BU308"/>
      <c r="CC308"/>
      <c r="CD308"/>
      <c r="CE308"/>
    </row>
    <row r="309" spans="8:83">
      <c r="H309"/>
      <c r="I309"/>
      <c r="J309"/>
      <c r="U309"/>
      <c r="V309"/>
      <c r="W309"/>
      <c r="AE309"/>
      <c r="AF309"/>
      <c r="AG309"/>
      <c r="AO309"/>
      <c r="AP309"/>
      <c r="AQ309"/>
      <c r="AY309"/>
      <c r="AZ309"/>
      <c r="BA309"/>
      <c r="BI309"/>
      <c r="BJ309"/>
      <c r="BK309"/>
      <c r="BS309"/>
      <c r="BT309"/>
      <c r="BU309"/>
      <c r="CC309"/>
      <c r="CD309"/>
      <c r="CE309"/>
    </row>
    <row r="310" spans="8:83">
      <c r="H310"/>
      <c r="I310"/>
      <c r="J310"/>
      <c r="U310"/>
      <c r="V310"/>
      <c r="W310"/>
      <c r="AE310"/>
      <c r="AF310"/>
      <c r="AG310"/>
      <c r="AO310"/>
      <c r="AP310"/>
      <c r="AQ310"/>
      <c r="AY310"/>
      <c r="AZ310"/>
      <c r="BA310"/>
      <c r="BI310"/>
      <c r="BJ310"/>
      <c r="BK310"/>
      <c r="BS310"/>
      <c r="BT310"/>
      <c r="BU310"/>
      <c r="CC310"/>
      <c r="CD310"/>
      <c r="CE310"/>
    </row>
    <row r="311" spans="8:83">
      <c r="H311"/>
      <c r="I311"/>
      <c r="J311"/>
      <c r="U311"/>
      <c r="V311"/>
      <c r="W311"/>
      <c r="AE311"/>
      <c r="AF311"/>
      <c r="AG311"/>
      <c r="AO311"/>
      <c r="AP311"/>
      <c r="AQ311"/>
      <c r="AY311"/>
      <c r="AZ311"/>
      <c r="BA311"/>
      <c r="BI311"/>
      <c r="BJ311"/>
      <c r="BK311"/>
      <c r="BS311"/>
      <c r="BT311"/>
      <c r="BU311"/>
      <c r="CC311"/>
      <c r="CD311"/>
      <c r="CE311"/>
    </row>
    <row r="312" spans="8:83">
      <c r="H312"/>
      <c r="I312"/>
      <c r="J312"/>
      <c r="U312"/>
      <c r="V312"/>
      <c r="W312"/>
      <c r="AE312"/>
      <c r="AF312"/>
      <c r="AG312"/>
      <c r="AO312"/>
      <c r="AP312"/>
      <c r="AQ312"/>
      <c r="AY312"/>
      <c r="AZ312"/>
      <c r="BA312"/>
      <c r="BI312"/>
      <c r="BJ312"/>
      <c r="BK312"/>
      <c r="BS312"/>
      <c r="BT312"/>
      <c r="BU312"/>
      <c r="CC312"/>
      <c r="CD312"/>
      <c r="CE312"/>
    </row>
    <row r="313" spans="8:83">
      <c r="H313"/>
      <c r="I313"/>
      <c r="J313"/>
      <c r="U313"/>
      <c r="V313"/>
      <c r="W313"/>
      <c r="AE313"/>
      <c r="AF313"/>
      <c r="AG313"/>
      <c r="AO313"/>
      <c r="AP313"/>
      <c r="AQ313"/>
      <c r="AY313"/>
      <c r="AZ313"/>
      <c r="BA313"/>
      <c r="BI313"/>
      <c r="BJ313"/>
      <c r="BK313"/>
      <c r="BS313"/>
      <c r="BT313"/>
      <c r="BU313"/>
      <c r="CC313"/>
      <c r="CD313"/>
      <c r="CE313"/>
    </row>
    <row r="314" spans="8:83">
      <c r="H314"/>
      <c r="I314"/>
      <c r="J314"/>
      <c r="U314"/>
      <c r="V314"/>
      <c r="W314"/>
      <c r="AE314"/>
      <c r="AF314"/>
      <c r="AG314"/>
      <c r="AO314"/>
      <c r="AP314"/>
      <c r="AQ314"/>
      <c r="AY314"/>
      <c r="AZ314"/>
      <c r="BA314"/>
      <c r="BI314"/>
      <c r="BJ314"/>
      <c r="BK314"/>
      <c r="BS314"/>
      <c r="BT314"/>
      <c r="BU314"/>
      <c r="CC314"/>
      <c r="CD314"/>
      <c r="CE314"/>
    </row>
    <row r="315" spans="8:83">
      <c r="H315"/>
      <c r="I315"/>
      <c r="J315"/>
      <c r="U315"/>
      <c r="V315"/>
      <c r="W315"/>
      <c r="AE315"/>
      <c r="AF315"/>
      <c r="AG315"/>
      <c r="AO315"/>
      <c r="AP315"/>
      <c r="AQ315"/>
      <c r="AY315"/>
      <c r="AZ315"/>
      <c r="BA315"/>
      <c r="BI315"/>
      <c r="BJ315"/>
      <c r="BK315"/>
      <c r="BS315"/>
      <c r="BT315"/>
      <c r="BU315"/>
      <c r="CC315"/>
      <c r="CD315"/>
      <c r="CE315"/>
    </row>
    <row r="316" spans="8:83">
      <c r="H316"/>
      <c r="I316"/>
      <c r="J316"/>
      <c r="U316"/>
      <c r="V316"/>
      <c r="W316"/>
      <c r="AE316"/>
      <c r="AF316"/>
      <c r="AG316"/>
      <c r="AO316"/>
      <c r="AP316"/>
      <c r="AQ316"/>
      <c r="AY316"/>
      <c r="AZ316"/>
      <c r="BA316"/>
      <c r="BI316"/>
      <c r="BJ316"/>
      <c r="BK316"/>
      <c r="BS316"/>
      <c r="BT316"/>
      <c r="BU316"/>
      <c r="CC316"/>
      <c r="CD316"/>
      <c r="CE316"/>
    </row>
    <row r="317" spans="8:83">
      <c r="H317"/>
      <c r="I317"/>
      <c r="J317"/>
      <c r="U317"/>
      <c r="V317"/>
      <c r="W317"/>
      <c r="AE317"/>
      <c r="AF317"/>
      <c r="AG317"/>
      <c r="AO317"/>
      <c r="AP317"/>
      <c r="AQ317"/>
      <c r="AY317"/>
      <c r="AZ317"/>
      <c r="BA317"/>
      <c r="BI317"/>
      <c r="BJ317"/>
      <c r="BK317"/>
      <c r="BS317"/>
      <c r="BT317"/>
      <c r="BU317"/>
      <c r="CC317"/>
      <c r="CD317"/>
      <c r="CE317"/>
    </row>
    <row r="318" spans="8:83">
      <c r="H318"/>
      <c r="I318"/>
      <c r="J318"/>
      <c r="U318"/>
      <c r="V318"/>
      <c r="W318"/>
      <c r="AE318"/>
      <c r="AF318"/>
      <c r="AG318"/>
      <c r="AO318"/>
      <c r="AP318"/>
      <c r="AQ318"/>
      <c r="AY318"/>
      <c r="AZ318"/>
      <c r="BA318"/>
      <c r="BI318"/>
      <c r="BJ318"/>
      <c r="BK318"/>
      <c r="BS318"/>
      <c r="BT318"/>
      <c r="BU318"/>
      <c r="CC318"/>
      <c r="CD318"/>
      <c r="CE318"/>
    </row>
    <row r="319" spans="8:83">
      <c r="H319"/>
      <c r="I319"/>
      <c r="J319"/>
      <c r="U319"/>
      <c r="V319"/>
      <c r="W319"/>
      <c r="AE319"/>
      <c r="AF319"/>
      <c r="AG319"/>
      <c r="AO319"/>
      <c r="AP319"/>
      <c r="AQ319"/>
      <c r="AY319"/>
      <c r="AZ319"/>
      <c r="BA319"/>
      <c r="BI319"/>
      <c r="BJ319"/>
      <c r="BK319"/>
      <c r="BS319"/>
      <c r="BT319"/>
      <c r="BU319"/>
      <c r="CC319"/>
      <c r="CD319"/>
      <c r="CE319"/>
    </row>
    <row r="320" spans="8:83">
      <c r="H320"/>
      <c r="I320"/>
      <c r="J320"/>
      <c r="U320"/>
      <c r="V320"/>
      <c r="W320"/>
      <c r="AE320"/>
      <c r="AF320"/>
      <c r="AG320"/>
      <c r="AO320"/>
      <c r="AP320"/>
      <c r="AQ320"/>
      <c r="AY320"/>
      <c r="AZ320"/>
      <c r="BA320"/>
      <c r="BI320"/>
      <c r="BJ320"/>
      <c r="BK320"/>
      <c r="BS320"/>
      <c r="BT320"/>
      <c r="BU320"/>
      <c r="CC320"/>
      <c r="CD320"/>
      <c r="CE320"/>
    </row>
    <row r="321" spans="8:83">
      <c r="H321"/>
      <c r="I321"/>
      <c r="J321"/>
      <c r="U321"/>
      <c r="V321"/>
      <c r="W321"/>
      <c r="AE321"/>
      <c r="AF321"/>
      <c r="AG321"/>
      <c r="AO321"/>
      <c r="AP321"/>
      <c r="AQ321"/>
      <c r="AY321"/>
      <c r="AZ321"/>
      <c r="BA321"/>
      <c r="BI321"/>
      <c r="BJ321"/>
      <c r="BK321"/>
      <c r="BS321"/>
      <c r="BT321"/>
      <c r="BU321"/>
      <c r="CC321"/>
      <c r="CD321"/>
      <c r="CE321"/>
    </row>
    <row r="322" spans="8:83">
      <c r="H322"/>
      <c r="I322"/>
      <c r="J322"/>
      <c r="U322"/>
      <c r="V322"/>
      <c r="W322"/>
      <c r="AE322"/>
      <c r="AF322"/>
      <c r="AG322"/>
      <c r="AO322"/>
      <c r="AP322"/>
      <c r="AQ322"/>
      <c r="AY322"/>
      <c r="AZ322"/>
      <c r="BA322"/>
      <c r="BI322"/>
      <c r="BJ322"/>
      <c r="BK322"/>
      <c r="BS322"/>
      <c r="BT322"/>
      <c r="BU322"/>
      <c r="CC322"/>
      <c r="CD322"/>
      <c r="CE322"/>
    </row>
    <row r="323" spans="8:83">
      <c r="H323"/>
      <c r="I323"/>
      <c r="J323"/>
      <c r="U323"/>
      <c r="V323"/>
      <c r="W323"/>
      <c r="AE323"/>
      <c r="AF323"/>
      <c r="AG323"/>
      <c r="AO323"/>
      <c r="AP323"/>
      <c r="AQ323"/>
      <c r="AY323"/>
      <c r="AZ323"/>
      <c r="BA323"/>
      <c r="BI323"/>
      <c r="BJ323"/>
      <c r="BK323"/>
      <c r="BS323"/>
      <c r="BT323"/>
      <c r="BU323"/>
      <c r="CC323"/>
      <c r="CD323"/>
      <c r="CE323"/>
    </row>
    <row r="324" spans="8:83">
      <c r="H324"/>
      <c r="I324"/>
      <c r="J324"/>
      <c r="U324"/>
      <c r="V324"/>
      <c r="W324"/>
      <c r="AE324"/>
      <c r="AF324"/>
      <c r="AG324"/>
      <c r="AO324"/>
      <c r="AP324"/>
      <c r="AQ324"/>
      <c r="AY324"/>
      <c r="AZ324"/>
      <c r="BA324"/>
      <c r="BI324"/>
      <c r="BJ324"/>
      <c r="BK324"/>
      <c r="BS324"/>
      <c r="BT324"/>
      <c r="BU324"/>
      <c r="CC324"/>
      <c r="CD324"/>
      <c r="CE324"/>
    </row>
    <row r="325" spans="8:83">
      <c r="H325"/>
      <c r="I325"/>
      <c r="J325"/>
      <c r="U325"/>
      <c r="V325"/>
      <c r="W325"/>
      <c r="AE325"/>
      <c r="AF325"/>
      <c r="AG325"/>
      <c r="AO325"/>
      <c r="AP325"/>
      <c r="AQ325"/>
      <c r="AY325"/>
      <c r="AZ325"/>
      <c r="BA325"/>
      <c r="BI325"/>
      <c r="BJ325"/>
      <c r="BK325"/>
      <c r="BS325"/>
      <c r="BT325"/>
      <c r="BU325"/>
      <c r="CC325"/>
      <c r="CD325"/>
      <c r="CE325"/>
    </row>
    <row r="326" spans="8:83">
      <c r="H326"/>
      <c r="I326"/>
      <c r="J326"/>
      <c r="U326"/>
      <c r="V326"/>
      <c r="W326"/>
      <c r="AE326"/>
      <c r="AF326"/>
      <c r="AG326"/>
      <c r="AO326"/>
      <c r="AP326"/>
      <c r="AQ326"/>
      <c r="AY326"/>
      <c r="AZ326"/>
      <c r="BA326"/>
      <c r="BI326"/>
      <c r="BJ326"/>
      <c r="BK326"/>
      <c r="BS326"/>
      <c r="BT326"/>
      <c r="BU326"/>
      <c r="CC326"/>
      <c r="CD326"/>
      <c r="CE326"/>
    </row>
    <row r="327" spans="8:83">
      <c r="H327"/>
      <c r="I327"/>
      <c r="J327"/>
      <c r="U327"/>
      <c r="V327"/>
      <c r="W327"/>
      <c r="AE327"/>
      <c r="AF327"/>
      <c r="AG327"/>
      <c r="AO327"/>
      <c r="AP327"/>
      <c r="AQ327"/>
      <c r="AY327"/>
      <c r="AZ327"/>
      <c r="BA327"/>
      <c r="BI327"/>
      <c r="BJ327"/>
      <c r="BK327"/>
      <c r="BS327"/>
      <c r="BT327"/>
      <c r="BU327"/>
      <c r="CC327"/>
      <c r="CD327"/>
      <c r="CE327"/>
    </row>
    <row r="328" spans="8:83">
      <c r="H328"/>
      <c r="I328"/>
      <c r="J328"/>
      <c r="U328"/>
      <c r="V328"/>
      <c r="W328"/>
      <c r="AE328"/>
      <c r="AF328"/>
      <c r="AG328"/>
      <c r="AO328"/>
      <c r="AP328"/>
      <c r="AQ328"/>
      <c r="AY328"/>
      <c r="AZ328"/>
      <c r="BA328"/>
      <c r="BI328"/>
      <c r="BJ328"/>
      <c r="BK328"/>
      <c r="BS328"/>
      <c r="BT328"/>
      <c r="BU328"/>
      <c r="CC328"/>
      <c r="CD328"/>
      <c r="CE328"/>
    </row>
    <row r="329" spans="8:83">
      <c r="H329"/>
      <c r="I329"/>
      <c r="J329"/>
      <c r="U329"/>
      <c r="V329"/>
      <c r="W329"/>
      <c r="AE329"/>
      <c r="AF329"/>
      <c r="AG329"/>
      <c r="AO329"/>
      <c r="AP329"/>
      <c r="AQ329"/>
      <c r="AY329"/>
      <c r="AZ329"/>
      <c r="BA329"/>
      <c r="BI329"/>
      <c r="BJ329"/>
      <c r="BK329"/>
      <c r="BS329"/>
      <c r="BT329"/>
      <c r="BU329"/>
      <c r="CC329"/>
      <c r="CD329"/>
      <c r="CE329"/>
    </row>
    <row r="330" spans="8:83">
      <c r="H330"/>
      <c r="I330"/>
      <c r="J330"/>
      <c r="U330"/>
      <c r="V330"/>
      <c r="W330"/>
      <c r="AE330"/>
      <c r="AF330"/>
      <c r="AG330"/>
      <c r="AO330"/>
      <c r="AP330"/>
      <c r="AQ330"/>
      <c r="AY330"/>
      <c r="AZ330"/>
      <c r="BA330"/>
      <c r="BI330"/>
      <c r="BJ330"/>
      <c r="BK330"/>
      <c r="BS330"/>
      <c r="BT330"/>
      <c r="BU330"/>
      <c r="CC330"/>
      <c r="CD330"/>
      <c r="CE330"/>
    </row>
    <row r="331" spans="8:83">
      <c r="H331"/>
      <c r="I331"/>
      <c r="J331"/>
      <c r="U331"/>
      <c r="V331"/>
      <c r="W331"/>
      <c r="AE331"/>
      <c r="AF331"/>
      <c r="AG331"/>
      <c r="AO331"/>
      <c r="AP331"/>
      <c r="AQ331"/>
      <c r="AY331"/>
      <c r="AZ331"/>
      <c r="BA331"/>
      <c r="BI331"/>
      <c r="BJ331"/>
      <c r="BK331"/>
      <c r="BS331"/>
      <c r="BT331"/>
      <c r="BU331"/>
      <c r="CC331"/>
      <c r="CD331"/>
      <c r="CE331"/>
    </row>
    <row r="332" spans="8:83">
      <c r="H332"/>
      <c r="I332"/>
      <c r="J332"/>
      <c r="U332"/>
      <c r="V332"/>
      <c r="W332"/>
      <c r="AE332"/>
      <c r="AF332"/>
      <c r="AG332"/>
      <c r="AO332"/>
      <c r="AP332"/>
      <c r="AQ332"/>
      <c r="AY332"/>
      <c r="AZ332"/>
      <c r="BA332"/>
      <c r="BI332"/>
      <c r="BJ332"/>
      <c r="BK332"/>
      <c r="BS332"/>
      <c r="BT332"/>
      <c r="BU332"/>
      <c r="CC332"/>
      <c r="CD332"/>
      <c r="CE332"/>
    </row>
    <row r="333" spans="8:83">
      <c r="H333"/>
      <c r="I333"/>
      <c r="J333"/>
      <c r="U333"/>
      <c r="V333"/>
      <c r="W333"/>
      <c r="AE333"/>
      <c r="AF333"/>
      <c r="AG333"/>
      <c r="AO333"/>
      <c r="AP333"/>
      <c r="AQ333"/>
      <c r="AY333"/>
      <c r="AZ333"/>
      <c r="BA333"/>
      <c r="BI333"/>
      <c r="BJ333"/>
      <c r="BK333"/>
      <c r="BS333"/>
      <c r="BT333"/>
      <c r="BU333"/>
      <c r="CC333"/>
      <c r="CD333"/>
      <c r="CE333"/>
    </row>
    <row r="334" spans="8:83">
      <c r="H334"/>
      <c r="I334"/>
      <c r="J334"/>
      <c r="U334"/>
      <c r="V334"/>
      <c r="W334"/>
      <c r="AE334"/>
      <c r="AF334"/>
      <c r="AG334"/>
      <c r="AO334"/>
      <c r="AP334"/>
      <c r="AQ334"/>
      <c r="AY334"/>
      <c r="AZ334"/>
      <c r="BA334"/>
      <c r="BI334"/>
      <c r="BJ334"/>
      <c r="BK334"/>
      <c r="BS334"/>
      <c r="BT334"/>
      <c r="BU334"/>
      <c r="CC334"/>
      <c r="CD334"/>
      <c r="CE334"/>
    </row>
    <row r="335" spans="8:83">
      <c r="H335"/>
      <c r="I335"/>
      <c r="J335"/>
      <c r="U335"/>
      <c r="V335"/>
      <c r="W335"/>
      <c r="AE335"/>
      <c r="AF335"/>
      <c r="AG335"/>
      <c r="AO335"/>
      <c r="AP335"/>
      <c r="AQ335"/>
      <c r="AY335"/>
      <c r="AZ335"/>
      <c r="BA335"/>
      <c r="BI335"/>
      <c r="BJ335"/>
      <c r="BK335"/>
      <c r="BS335"/>
      <c r="BT335"/>
      <c r="BU335"/>
      <c r="CC335"/>
      <c r="CD335"/>
      <c r="CE335"/>
    </row>
    <row r="336" spans="8:83">
      <c r="H336"/>
      <c r="I336"/>
      <c r="J336"/>
      <c r="U336"/>
      <c r="V336"/>
      <c r="W336"/>
      <c r="AE336"/>
      <c r="AF336"/>
      <c r="AG336"/>
      <c r="AO336"/>
      <c r="AP336"/>
      <c r="AQ336"/>
      <c r="AY336"/>
      <c r="AZ336"/>
      <c r="BA336"/>
      <c r="BI336"/>
      <c r="BJ336"/>
      <c r="BK336"/>
      <c r="BS336"/>
      <c r="BT336"/>
      <c r="BU336"/>
      <c r="CC336"/>
      <c r="CD336"/>
      <c r="CE336"/>
    </row>
    <row r="337" spans="8:83">
      <c r="H337"/>
      <c r="I337"/>
      <c r="J337"/>
      <c r="U337"/>
      <c r="V337"/>
      <c r="W337"/>
      <c r="AE337"/>
      <c r="AF337"/>
      <c r="AG337"/>
      <c r="AO337"/>
      <c r="AP337"/>
      <c r="AQ337"/>
      <c r="AY337"/>
      <c r="AZ337"/>
      <c r="BA337"/>
      <c r="BI337"/>
      <c r="BJ337"/>
      <c r="BK337"/>
      <c r="BS337"/>
      <c r="BT337"/>
      <c r="BU337"/>
      <c r="CC337"/>
      <c r="CD337"/>
      <c r="CE337"/>
    </row>
    <row r="338" spans="8:83">
      <c r="H338"/>
      <c r="I338"/>
      <c r="J338"/>
      <c r="U338"/>
      <c r="V338"/>
      <c r="W338"/>
      <c r="AE338"/>
      <c r="AF338"/>
      <c r="AG338"/>
      <c r="AO338"/>
      <c r="AP338"/>
      <c r="AQ338"/>
      <c r="AY338"/>
      <c r="AZ338"/>
      <c r="BA338"/>
      <c r="BI338"/>
      <c r="BJ338"/>
      <c r="BK338"/>
      <c r="BS338"/>
      <c r="BT338"/>
      <c r="BU338"/>
      <c r="CC338"/>
      <c r="CD338"/>
      <c r="CE338"/>
    </row>
    <row r="339" spans="8:83">
      <c r="H339"/>
      <c r="I339"/>
      <c r="J339"/>
      <c r="U339"/>
      <c r="V339"/>
      <c r="W339"/>
      <c r="AE339"/>
      <c r="AF339"/>
      <c r="AG339"/>
      <c r="AO339"/>
      <c r="AP339"/>
      <c r="AQ339"/>
      <c r="AY339"/>
      <c r="AZ339"/>
      <c r="BA339"/>
      <c r="BI339"/>
      <c r="BJ339"/>
      <c r="BK339"/>
      <c r="BS339"/>
      <c r="BT339"/>
      <c r="BU339"/>
      <c r="CC339"/>
      <c r="CD339"/>
      <c r="CE339"/>
    </row>
    <row r="340" spans="8:83">
      <c r="H340"/>
      <c r="I340"/>
      <c r="J340"/>
      <c r="U340"/>
      <c r="V340"/>
      <c r="W340"/>
      <c r="AE340"/>
      <c r="AF340"/>
      <c r="AG340"/>
      <c r="AO340"/>
      <c r="AP340"/>
      <c r="AQ340"/>
      <c r="AY340"/>
      <c r="AZ340"/>
      <c r="BA340"/>
      <c r="BI340"/>
      <c r="BJ340"/>
      <c r="BK340"/>
      <c r="BS340"/>
      <c r="BT340"/>
      <c r="BU340"/>
      <c r="CC340"/>
      <c r="CD340"/>
      <c r="CE340"/>
    </row>
    <row r="341" spans="8:83">
      <c r="H341"/>
      <c r="I341"/>
      <c r="J341"/>
      <c r="U341"/>
      <c r="V341"/>
      <c r="W341"/>
      <c r="AE341"/>
      <c r="AF341"/>
      <c r="AG341"/>
      <c r="AO341"/>
      <c r="AP341"/>
      <c r="AQ341"/>
      <c r="AY341"/>
      <c r="AZ341"/>
      <c r="BA341"/>
      <c r="BI341"/>
      <c r="BJ341"/>
      <c r="BK341"/>
      <c r="BS341"/>
      <c r="BT341"/>
      <c r="BU341"/>
      <c r="CC341"/>
      <c r="CD341"/>
      <c r="CE341"/>
    </row>
    <row r="342" spans="8:83">
      <c r="H342"/>
      <c r="I342"/>
      <c r="J342"/>
      <c r="U342"/>
      <c r="V342"/>
      <c r="W342"/>
      <c r="AE342"/>
      <c r="AF342"/>
      <c r="AG342"/>
      <c r="AO342"/>
      <c r="AP342"/>
      <c r="AQ342"/>
      <c r="AY342"/>
      <c r="AZ342"/>
      <c r="BA342"/>
      <c r="BI342"/>
      <c r="BJ342"/>
      <c r="BK342"/>
      <c r="BS342"/>
      <c r="BT342"/>
      <c r="BU342"/>
      <c r="CC342"/>
      <c r="CD342"/>
      <c r="CE342"/>
    </row>
    <row r="343" spans="8:83">
      <c r="H343"/>
      <c r="I343"/>
      <c r="J343"/>
      <c r="U343"/>
      <c r="V343"/>
      <c r="W343"/>
      <c r="AE343"/>
      <c r="AF343"/>
      <c r="AG343"/>
      <c r="AO343"/>
      <c r="AP343"/>
      <c r="AQ343"/>
      <c r="AY343"/>
      <c r="AZ343"/>
      <c r="BA343"/>
      <c r="BI343"/>
      <c r="BJ343"/>
      <c r="BK343"/>
      <c r="BS343"/>
      <c r="BT343"/>
      <c r="BU343"/>
      <c r="CC343"/>
      <c r="CD343"/>
      <c r="CE343"/>
    </row>
    <row r="344" spans="8:83">
      <c r="H344"/>
      <c r="I344"/>
      <c r="J344"/>
      <c r="U344"/>
      <c r="V344"/>
      <c r="W344"/>
      <c r="AE344"/>
      <c r="AF344"/>
      <c r="AG344"/>
      <c r="AO344"/>
      <c r="AP344"/>
      <c r="AQ344"/>
      <c r="AY344"/>
      <c r="AZ344"/>
      <c r="BA344"/>
      <c r="BI344"/>
      <c r="BJ344"/>
      <c r="BK344"/>
      <c r="BS344"/>
      <c r="BT344"/>
      <c r="BU344"/>
      <c r="CC344"/>
      <c r="CD344"/>
      <c r="CE344"/>
    </row>
    <row r="345" spans="8:83">
      <c r="H345"/>
      <c r="I345"/>
      <c r="J345"/>
      <c r="U345"/>
      <c r="V345"/>
      <c r="W345"/>
      <c r="AE345"/>
      <c r="AF345"/>
      <c r="AG345"/>
      <c r="AO345"/>
      <c r="AP345"/>
      <c r="AQ345"/>
      <c r="AY345"/>
      <c r="AZ345"/>
      <c r="BA345"/>
      <c r="BI345"/>
      <c r="BJ345"/>
      <c r="BK345"/>
      <c r="BS345"/>
      <c r="BT345"/>
      <c r="BU345"/>
      <c r="CC345"/>
      <c r="CD345"/>
      <c r="CE345"/>
    </row>
    <row r="346" spans="8:83">
      <c r="H346"/>
      <c r="I346"/>
      <c r="J346"/>
      <c r="U346"/>
      <c r="V346"/>
      <c r="W346"/>
      <c r="AE346"/>
      <c r="AF346"/>
      <c r="AG346"/>
      <c r="AO346"/>
      <c r="AP346"/>
      <c r="AQ346"/>
      <c r="AY346"/>
      <c r="AZ346"/>
      <c r="BA346"/>
      <c r="BI346"/>
      <c r="BJ346"/>
      <c r="BK346"/>
      <c r="BS346"/>
      <c r="BT346"/>
      <c r="BU346"/>
      <c r="CC346"/>
      <c r="CD346"/>
      <c r="CE346"/>
    </row>
    <row r="347" spans="8:83">
      <c r="H347"/>
      <c r="I347"/>
      <c r="J347"/>
      <c r="U347"/>
      <c r="V347"/>
      <c r="W347"/>
      <c r="AE347"/>
      <c r="AF347"/>
      <c r="AG347"/>
      <c r="AO347"/>
      <c r="AP347"/>
      <c r="AQ347"/>
      <c r="AY347"/>
      <c r="AZ347"/>
      <c r="BA347"/>
      <c r="BI347"/>
      <c r="BJ347"/>
      <c r="BK347"/>
      <c r="BS347"/>
      <c r="BT347"/>
      <c r="BU347"/>
      <c r="CC347"/>
      <c r="CD347"/>
      <c r="CE347"/>
    </row>
    <row r="348" spans="8:83">
      <c r="H348"/>
      <c r="I348"/>
      <c r="J348"/>
      <c r="U348"/>
      <c r="V348"/>
      <c r="W348"/>
      <c r="AE348"/>
      <c r="AF348"/>
      <c r="AG348"/>
      <c r="AO348"/>
      <c r="AP348"/>
      <c r="AQ348"/>
      <c r="AY348"/>
      <c r="AZ348"/>
      <c r="BA348"/>
      <c r="BI348"/>
      <c r="BJ348"/>
      <c r="BK348"/>
      <c r="BS348"/>
      <c r="BT348"/>
      <c r="BU348"/>
      <c r="CC348"/>
      <c r="CD348"/>
      <c r="CE348"/>
    </row>
    <row r="349" spans="8:83">
      <c r="H349"/>
      <c r="I349"/>
      <c r="J349"/>
      <c r="U349"/>
      <c r="V349"/>
      <c r="W349"/>
      <c r="AE349"/>
      <c r="AF349"/>
      <c r="AG349"/>
      <c r="AO349"/>
      <c r="AP349"/>
      <c r="AQ349"/>
      <c r="AY349"/>
      <c r="AZ349"/>
      <c r="BA349"/>
      <c r="BI349"/>
      <c r="BJ349"/>
      <c r="BK349"/>
      <c r="BS349"/>
      <c r="BT349"/>
      <c r="BU349"/>
      <c r="CC349"/>
      <c r="CD349"/>
      <c r="CE349"/>
    </row>
    <row r="350" spans="8:83">
      <c r="H350"/>
      <c r="I350"/>
      <c r="J350"/>
      <c r="U350"/>
      <c r="V350"/>
      <c r="W350"/>
      <c r="AE350"/>
      <c r="AF350"/>
      <c r="AG350"/>
      <c r="AO350"/>
      <c r="AP350"/>
      <c r="AQ350"/>
      <c r="AY350"/>
      <c r="AZ350"/>
      <c r="BA350"/>
      <c r="BI350"/>
      <c r="BJ350"/>
      <c r="BK350"/>
      <c r="BS350"/>
      <c r="BT350"/>
      <c r="BU350"/>
      <c r="CC350"/>
      <c r="CD350"/>
      <c r="CE350"/>
    </row>
    <row r="351" spans="8:83">
      <c r="H351"/>
      <c r="I351"/>
      <c r="J351"/>
      <c r="U351"/>
      <c r="V351"/>
      <c r="W351"/>
      <c r="AE351"/>
      <c r="AF351"/>
      <c r="AG351"/>
      <c r="AO351"/>
      <c r="AP351"/>
      <c r="AQ351"/>
      <c r="AY351"/>
      <c r="AZ351"/>
      <c r="BA351"/>
      <c r="BI351"/>
      <c r="BJ351"/>
      <c r="BK351"/>
      <c r="BS351"/>
      <c r="BT351"/>
      <c r="BU351"/>
      <c r="CC351"/>
      <c r="CD351"/>
      <c r="CE351"/>
    </row>
    <row r="352" spans="8:83">
      <c r="H352"/>
      <c r="I352"/>
      <c r="J352"/>
      <c r="U352"/>
      <c r="V352"/>
      <c r="W352"/>
      <c r="AE352"/>
      <c r="AF352"/>
      <c r="AG352"/>
      <c r="AO352"/>
      <c r="AP352"/>
      <c r="AQ352"/>
      <c r="AY352"/>
      <c r="AZ352"/>
      <c r="BA352"/>
      <c r="BI352"/>
      <c r="BJ352"/>
      <c r="BK352"/>
      <c r="BS352"/>
      <c r="BT352"/>
      <c r="BU352"/>
      <c r="CC352"/>
      <c r="CD352"/>
      <c r="CE352"/>
    </row>
    <row r="353" spans="8:83">
      <c r="H353"/>
      <c r="I353"/>
      <c r="J353"/>
      <c r="U353"/>
      <c r="V353"/>
      <c r="W353"/>
      <c r="AE353"/>
      <c r="AF353"/>
      <c r="AG353"/>
      <c r="AO353"/>
      <c r="AP353"/>
      <c r="AQ353"/>
      <c r="AY353"/>
      <c r="AZ353"/>
      <c r="BA353"/>
      <c r="BI353"/>
      <c r="BJ353"/>
      <c r="BK353"/>
      <c r="BS353"/>
      <c r="BT353"/>
      <c r="BU353"/>
      <c r="CC353"/>
      <c r="CD353"/>
      <c r="CE353"/>
    </row>
    <row r="354" spans="8:83">
      <c r="H354"/>
      <c r="I354"/>
      <c r="J354"/>
      <c r="U354"/>
      <c r="V354"/>
      <c r="W354"/>
      <c r="AE354"/>
      <c r="AF354"/>
      <c r="AG354"/>
      <c r="AO354"/>
      <c r="AP354"/>
      <c r="AQ354"/>
      <c r="AY354"/>
      <c r="AZ354"/>
      <c r="BA354"/>
      <c r="BI354"/>
      <c r="BJ354"/>
      <c r="BK354"/>
      <c r="BS354"/>
      <c r="BT354"/>
      <c r="BU354"/>
      <c r="CC354"/>
      <c r="CD354"/>
      <c r="CE354"/>
    </row>
    <row r="355" spans="8:83">
      <c r="H355"/>
      <c r="I355"/>
      <c r="J355"/>
      <c r="U355"/>
      <c r="V355"/>
      <c r="W355"/>
      <c r="AE355"/>
      <c r="AF355"/>
      <c r="AG355"/>
      <c r="AO355"/>
      <c r="AP355"/>
      <c r="AQ355"/>
      <c r="AY355"/>
      <c r="AZ355"/>
      <c r="BA355"/>
      <c r="BI355"/>
      <c r="BJ355"/>
      <c r="BK355"/>
      <c r="BS355"/>
      <c r="BT355"/>
      <c r="BU355"/>
      <c r="CC355"/>
      <c r="CD355"/>
      <c r="CE355"/>
    </row>
    <row r="356" spans="8:83">
      <c r="H356"/>
      <c r="I356"/>
      <c r="J356"/>
      <c r="U356"/>
      <c r="V356"/>
      <c r="W356"/>
      <c r="AE356"/>
      <c r="AF356"/>
      <c r="AG356"/>
      <c r="AO356"/>
      <c r="AP356"/>
      <c r="AQ356"/>
      <c r="AY356"/>
      <c r="AZ356"/>
      <c r="BA356"/>
      <c r="BI356"/>
      <c r="BJ356"/>
      <c r="BK356"/>
      <c r="BS356"/>
      <c r="BT356"/>
      <c r="BU356"/>
      <c r="CC356"/>
      <c r="CD356"/>
      <c r="CE356"/>
    </row>
    <row r="357" spans="8:83">
      <c r="H357"/>
      <c r="I357"/>
      <c r="J357"/>
      <c r="U357"/>
      <c r="V357"/>
      <c r="W357"/>
      <c r="AE357"/>
      <c r="AF357"/>
      <c r="AG357"/>
      <c r="AO357"/>
      <c r="AP357"/>
      <c r="AQ357"/>
      <c r="AY357"/>
      <c r="AZ357"/>
      <c r="BA357"/>
      <c r="BI357"/>
      <c r="BJ357"/>
      <c r="BK357"/>
      <c r="BS357"/>
      <c r="BT357"/>
      <c r="BU357"/>
      <c r="CC357"/>
      <c r="CD357"/>
      <c r="CE357"/>
    </row>
    <row r="358" spans="8:83">
      <c r="H358"/>
      <c r="I358"/>
      <c r="J358"/>
      <c r="U358"/>
      <c r="V358"/>
      <c r="W358"/>
      <c r="AE358"/>
      <c r="AF358"/>
      <c r="AG358"/>
      <c r="AO358"/>
      <c r="AP358"/>
      <c r="AQ358"/>
      <c r="AY358"/>
      <c r="AZ358"/>
      <c r="BA358"/>
      <c r="BI358"/>
      <c r="BJ358"/>
      <c r="BK358"/>
      <c r="BS358"/>
      <c r="BT358"/>
      <c r="BU358"/>
      <c r="CC358"/>
      <c r="CD358"/>
      <c r="CE358"/>
    </row>
    <row r="359" spans="8:83">
      <c r="H359"/>
      <c r="I359"/>
      <c r="J359"/>
      <c r="U359"/>
      <c r="V359"/>
      <c r="W359"/>
      <c r="AE359"/>
      <c r="AF359"/>
      <c r="AG359"/>
      <c r="AO359"/>
      <c r="AP359"/>
      <c r="AQ359"/>
      <c r="AY359"/>
      <c r="AZ359"/>
      <c r="BA359"/>
      <c r="BI359"/>
      <c r="BJ359"/>
      <c r="BK359"/>
      <c r="BS359"/>
      <c r="BT359"/>
      <c r="BU359"/>
      <c r="CC359"/>
      <c r="CD359"/>
      <c r="CE359"/>
    </row>
    <row r="360" spans="8:83">
      <c r="H360"/>
      <c r="I360"/>
      <c r="J360"/>
      <c r="U360"/>
      <c r="V360"/>
      <c r="W360"/>
      <c r="AE360"/>
      <c r="AF360"/>
      <c r="AG360"/>
      <c r="AO360"/>
      <c r="AP360"/>
      <c r="AQ360"/>
      <c r="AY360"/>
      <c r="AZ360"/>
      <c r="BA360"/>
      <c r="BI360"/>
      <c r="BJ360"/>
      <c r="BK360"/>
      <c r="BS360"/>
      <c r="BT360"/>
      <c r="BU360"/>
      <c r="CC360"/>
      <c r="CD360"/>
      <c r="CE360"/>
    </row>
    <row r="361" spans="8:83">
      <c r="H361"/>
      <c r="I361"/>
      <c r="J361"/>
      <c r="U361"/>
      <c r="V361"/>
      <c r="W361"/>
      <c r="AE361"/>
      <c r="AF361"/>
      <c r="AG361"/>
      <c r="AO361"/>
      <c r="AP361"/>
      <c r="AQ361"/>
      <c r="AY361"/>
      <c r="AZ361"/>
      <c r="BA361"/>
      <c r="BI361"/>
      <c r="BJ361"/>
      <c r="BK361"/>
      <c r="BS361"/>
      <c r="BT361"/>
      <c r="BU361"/>
      <c r="CC361"/>
      <c r="CD361"/>
      <c r="CE361"/>
    </row>
    <row r="362" spans="8:83">
      <c r="H362"/>
      <c r="I362"/>
      <c r="J362"/>
      <c r="U362"/>
      <c r="V362"/>
      <c r="W362"/>
      <c r="AE362"/>
      <c r="AF362"/>
      <c r="AG362"/>
      <c r="AO362"/>
      <c r="AP362"/>
      <c r="AQ362"/>
      <c r="AY362"/>
      <c r="AZ362"/>
      <c r="BA362"/>
      <c r="BI362"/>
      <c r="BJ362"/>
      <c r="BK362"/>
      <c r="BS362"/>
      <c r="BT362"/>
      <c r="BU362"/>
      <c r="CC362"/>
      <c r="CD362"/>
      <c r="CE362"/>
    </row>
    <row r="363" spans="8:83">
      <c r="H363"/>
      <c r="I363"/>
      <c r="J363"/>
      <c r="U363"/>
      <c r="V363"/>
      <c r="W363"/>
      <c r="AE363"/>
      <c r="AF363"/>
      <c r="AG363"/>
      <c r="AO363"/>
      <c r="AP363"/>
      <c r="AQ363"/>
      <c r="AY363"/>
      <c r="AZ363"/>
      <c r="BA363"/>
      <c r="BI363"/>
      <c r="BJ363"/>
      <c r="BK363"/>
      <c r="BS363"/>
      <c r="BT363"/>
      <c r="BU363"/>
      <c r="CC363"/>
      <c r="CD363"/>
      <c r="CE363"/>
    </row>
    <row r="364" spans="8:83">
      <c r="H364"/>
      <c r="I364"/>
      <c r="J364"/>
      <c r="U364"/>
      <c r="V364"/>
      <c r="W364"/>
      <c r="AE364"/>
      <c r="AF364"/>
      <c r="AG364"/>
      <c r="AO364"/>
      <c r="AP364"/>
      <c r="AQ364"/>
      <c r="AY364"/>
      <c r="AZ364"/>
      <c r="BA364"/>
      <c r="BI364"/>
      <c r="BJ364"/>
      <c r="BK364"/>
      <c r="BS364"/>
      <c r="BT364"/>
      <c r="BU364"/>
      <c r="CC364"/>
      <c r="CD364"/>
      <c r="CE364"/>
    </row>
    <row r="365" spans="8:83">
      <c r="H365"/>
      <c r="I365"/>
      <c r="J365"/>
      <c r="U365"/>
      <c r="V365"/>
      <c r="W365"/>
      <c r="AE365"/>
      <c r="AF365"/>
      <c r="AG365"/>
      <c r="AO365"/>
      <c r="AP365"/>
      <c r="AQ365"/>
      <c r="AY365"/>
      <c r="AZ365"/>
      <c r="BA365"/>
      <c r="BI365"/>
      <c r="BJ365"/>
      <c r="BK365"/>
      <c r="BS365"/>
      <c r="BT365"/>
      <c r="BU365"/>
      <c r="CC365"/>
      <c r="CD365"/>
      <c r="CE365"/>
    </row>
    <row r="366" spans="8:83">
      <c r="H366"/>
      <c r="I366"/>
      <c r="J366"/>
      <c r="U366"/>
      <c r="V366"/>
      <c r="W366"/>
      <c r="AE366"/>
      <c r="AF366"/>
      <c r="AG366"/>
      <c r="AO366"/>
      <c r="AP366"/>
      <c r="AQ366"/>
      <c r="AY366"/>
      <c r="AZ366"/>
      <c r="BA366"/>
      <c r="BI366"/>
      <c r="BJ366"/>
      <c r="BK366"/>
      <c r="BS366"/>
      <c r="BT366"/>
      <c r="BU366"/>
      <c r="CC366"/>
      <c r="CD366"/>
      <c r="CE366"/>
    </row>
    <row r="367" spans="8:83">
      <c r="H367"/>
      <c r="I367"/>
      <c r="J367"/>
      <c r="U367"/>
      <c r="V367"/>
      <c r="W367"/>
      <c r="AE367"/>
      <c r="AF367"/>
      <c r="AG367"/>
      <c r="AO367"/>
      <c r="AP367"/>
      <c r="AQ367"/>
      <c r="AY367"/>
      <c r="AZ367"/>
      <c r="BA367"/>
      <c r="BI367"/>
      <c r="BJ367"/>
      <c r="BK367"/>
      <c r="BS367"/>
      <c r="BT367"/>
      <c r="BU367"/>
      <c r="CC367"/>
      <c r="CD367"/>
      <c r="CE367"/>
    </row>
    <row r="368" spans="8:83">
      <c r="H368"/>
      <c r="I368"/>
      <c r="J368"/>
      <c r="U368"/>
      <c r="V368"/>
      <c r="W368"/>
      <c r="AE368"/>
      <c r="AF368"/>
      <c r="AG368"/>
      <c r="AO368"/>
      <c r="AP368"/>
      <c r="AQ368"/>
      <c r="AY368"/>
      <c r="AZ368"/>
      <c r="BA368"/>
      <c r="BI368"/>
      <c r="BJ368"/>
      <c r="BK368"/>
      <c r="BS368"/>
      <c r="BT368"/>
      <c r="BU368"/>
      <c r="CC368"/>
      <c r="CD368"/>
      <c r="CE368"/>
    </row>
    <row r="369" spans="8:83">
      <c r="H369"/>
      <c r="I369"/>
      <c r="J369"/>
      <c r="U369"/>
      <c r="V369"/>
      <c r="W369"/>
      <c r="AE369"/>
      <c r="AF369"/>
      <c r="AG369"/>
      <c r="AO369"/>
      <c r="AP369"/>
      <c r="AQ369"/>
      <c r="AY369"/>
      <c r="AZ369"/>
      <c r="BA369"/>
      <c r="BI369"/>
      <c r="BJ369"/>
      <c r="BK369"/>
      <c r="BS369"/>
      <c r="BT369"/>
      <c r="BU369"/>
      <c r="CC369"/>
      <c r="CD369"/>
      <c r="CE369"/>
    </row>
    <row r="370" spans="8:83">
      <c r="H370"/>
      <c r="I370"/>
      <c r="J370"/>
      <c r="U370"/>
      <c r="V370"/>
      <c r="W370"/>
      <c r="AE370"/>
      <c r="AF370"/>
      <c r="AG370"/>
      <c r="AO370"/>
      <c r="AP370"/>
      <c r="AQ370"/>
      <c r="AY370"/>
      <c r="AZ370"/>
      <c r="BA370"/>
      <c r="BI370"/>
      <c r="BJ370"/>
      <c r="BK370"/>
      <c r="BS370"/>
      <c r="BT370"/>
      <c r="BU370"/>
      <c r="CC370"/>
      <c r="CD370"/>
      <c r="CE370"/>
    </row>
    <row r="371" spans="8:83">
      <c r="H371"/>
      <c r="I371"/>
      <c r="J371"/>
      <c r="U371"/>
      <c r="V371"/>
      <c r="W371"/>
      <c r="AE371"/>
      <c r="AF371"/>
      <c r="AG371"/>
      <c r="AO371"/>
      <c r="AP371"/>
      <c r="AQ371"/>
      <c r="AY371"/>
      <c r="AZ371"/>
      <c r="BA371"/>
      <c r="BI371"/>
      <c r="BJ371"/>
      <c r="BK371"/>
      <c r="BS371"/>
      <c r="BT371"/>
      <c r="BU371"/>
      <c r="CC371"/>
      <c r="CD371"/>
      <c r="CE371"/>
    </row>
    <row r="372" spans="8:83">
      <c r="H372"/>
      <c r="I372"/>
      <c r="J372"/>
      <c r="U372"/>
      <c r="V372"/>
      <c r="W372"/>
      <c r="AE372"/>
      <c r="AF372"/>
      <c r="AG372"/>
      <c r="AO372"/>
      <c r="AP372"/>
      <c r="AQ372"/>
      <c r="AY372"/>
      <c r="AZ372"/>
      <c r="BA372"/>
      <c r="BI372"/>
      <c r="BJ372"/>
      <c r="BK372"/>
      <c r="BS372"/>
      <c r="BT372"/>
      <c r="BU372"/>
      <c r="CC372"/>
      <c r="CD372"/>
      <c r="CE372"/>
    </row>
    <row r="373" spans="8:83">
      <c r="H373"/>
      <c r="I373"/>
      <c r="J373"/>
      <c r="U373"/>
      <c r="V373"/>
      <c r="W373"/>
      <c r="AE373"/>
      <c r="AF373"/>
      <c r="AG373"/>
      <c r="AO373"/>
      <c r="AP373"/>
      <c r="AQ373"/>
      <c r="AY373"/>
      <c r="AZ373"/>
      <c r="BA373"/>
      <c r="BI373"/>
      <c r="BJ373"/>
      <c r="BK373"/>
      <c r="BS373"/>
      <c r="BT373"/>
      <c r="BU373"/>
      <c r="CC373"/>
      <c r="CD373"/>
      <c r="CE373"/>
    </row>
    <row r="374" spans="8:83">
      <c r="H374"/>
      <c r="I374"/>
      <c r="J374"/>
      <c r="U374"/>
      <c r="V374"/>
      <c r="W374"/>
      <c r="AE374"/>
      <c r="AF374"/>
      <c r="AG374"/>
      <c r="AO374"/>
      <c r="AP374"/>
      <c r="AQ374"/>
      <c r="AY374"/>
      <c r="AZ374"/>
      <c r="BA374"/>
      <c r="BI374"/>
      <c r="BJ374"/>
      <c r="BK374"/>
      <c r="BS374"/>
      <c r="BT374"/>
      <c r="BU374"/>
      <c r="CC374"/>
      <c r="CD374"/>
      <c r="CE374"/>
    </row>
    <row r="375" spans="8:83">
      <c r="H375"/>
      <c r="I375"/>
      <c r="J375"/>
      <c r="U375"/>
      <c r="V375"/>
      <c r="W375"/>
      <c r="AE375"/>
      <c r="AF375"/>
      <c r="AG375"/>
      <c r="AO375"/>
      <c r="AP375"/>
      <c r="AQ375"/>
      <c r="AY375"/>
      <c r="AZ375"/>
      <c r="BA375"/>
      <c r="BI375"/>
      <c r="BJ375"/>
      <c r="BK375"/>
      <c r="BS375"/>
      <c r="BT375"/>
      <c r="BU375"/>
      <c r="CC375"/>
      <c r="CD375"/>
      <c r="CE375"/>
    </row>
    <row r="376" spans="8:83">
      <c r="H376"/>
      <c r="I376"/>
      <c r="J376"/>
      <c r="U376"/>
      <c r="V376"/>
      <c r="W376"/>
      <c r="AE376"/>
      <c r="AF376"/>
      <c r="AG376"/>
      <c r="AO376"/>
      <c r="AP376"/>
      <c r="AQ376"/>
      <c r="AY376"/>
      <c r="AZ376"/>
      <c r="BA376"/>
      <c r="BI376"/>
      <c r="BJ376"/>
      <c r="BK376"/>
      <c r="BS376"/>
      <c r="BT376"/>
      <c r="BU376"/>
      <c r="CC376"/>
      <c r="CD376"/>
      <c r="CE376"/>
    </row>
    <row r="377" spans="8:83">
      <c r="H377"/>
      <c r="I377"/>
      <c r="J377"/>
      <c r="U377"/>
      <c r="V377"/>
      <c r="W377"/>
      <c r="AE377"/>
      <c r="AF377"/>
      <c r="AG377"/>
      <c r="AO377"/>
      <c r="AP377"/>
      <c r="AQ377"/>
      <c r="AY377"/>
      <c r="AZ377"/>
      <c r="BA377"/>
      <c r="BI377"/>
      <c r="BJ377"/>
      <c r="BK377"/>
      <c r="BS377"/>
      <c r="BT377"/>
      <c r="BU377"/>
      <c r="CC377"/>
      <c r="CD377"/>
      <c r="CE377"/>
    </row>
    <row r="378" spans="8:83">
      <c r="H378"/>
      <c r="I378"/>
      <c r="J378"/>
      <c r="U378"/>
      <c r="V378"/>
      <c r="W378"/>
      <c r="AE378"/>
      <c r="AF378"/>
      <c r="AG378"/>
      <c r="AO378"/>
      <c r="AP378"/>
      <c r="AQ378"/>
      <c r="AY378"/>
      <c r="AZ378"/>
      <c r="BA378"/>
      <c r="BI378"/>
      <c r="BJ378"/>
      <c r="BK378"/>
      <c r="BS378"/>
      <c r="BT378"/>
      <c r="BU378"/>
      <c r="CC378"/>
      <c r="CD378"/>
      <c r="CE378"/>
    </row>
    <row r="379" spans="8:83">
      <c r="H379"/>
      <c r="I379"/>
      <c r="J379"/>
      <c r="U379"/>
      <c r="V379"/>
      <c r="W379"/>
      <c r="AE379"/>
      <c r="AF379"/>
      <c r="AG379"/>
      <c r="AO379"/>
      <c r="AP379"/>
      <c r="AQ379"/>
      <c r="AY379"/>
      <c r="AZ379"/>
      <c r="BA379"/>
      <c r="BI379"/>
      <c r="BJ379"/>
      <c r="BK379"/>
      <c r="BS379"/>
      <c r="BT379"/>
      <c r="BU379"/>
      <c r="CC379"/>
      <c r="CD379"/>
      <c r="CE379"/>
    </row>
    <row r="380" spans="8:83">
      <c r="H380"/>
      <c r="I380"/>
      <c r="J380"/>
      <c r="U380"/>
      <c r="V380"/>
      <c r="W380"/>
      <c r="AE380"/>
      <c r="AF380"/>
      <c r="AG380"/>
      <c r="AO380"/>
      <c r="AP380"/>
      <c r="AQ380"/>
      <c r="AY380"/>
      <c r="AZ380"/>
      <c r="BA380"/>
      <c r="BI380"/>
      <c r="BJ380"/>
      <c r="BK380"/>
      <c r="BS380"/>
      <c r="BT380"/>
      <c r="BU380"/>
      <c r="CC380"/>
      <c r="CD380"/>
      <c r="CE380"/>
    </row>
    <row r="381" spans="8:83">
      <c r="H381"/>
      <c r="I381"/>
      <c r="J381"/>
      <c r="U381"/>
      <c r="V381"/>
      <c r="W381"/>
      <c r="AE381"/>
      <c r="AF381"/>
      <c r="AG381"/>
      <c r="AO381"/>
      <c r="AP381"/>
      <c r="AQ381"/>
      <c r="AY381"/>
      <c r="AZ381"/>
      <c r="BA381"/>
      <c r="BI381"/>
      <c r="BJ381"/>
      <c r="BK381"/>
      <c r="BS381"/>
      <c r="BT381"/>
      <c r="BU381"/>
      <c r="CC381"/>
      <c r="CD381"/>
      <c r="CE381"/>
    </row>
    <row r="382" spans="8:83">
      <c r="H382"/>
      <c r="I382"/>
      <c r="J382"/>
      <c r="U382"/>
      <c r="V382"/>
      <c r="W382"/>
      <c r="AE382"/>
      <c r="AF382"/>
      <c r="AG382"/>
      <c r="AO382"/>
      <c r="AP382"/>
      <c r="AQ382"/>
      <c r="AY382"/>
      <c r="AZ382"/>
      <c r="BA382"/>
      <c r="BI382"/>
      <c r="BJ382"/>
      <c r="BK382"/>
      <c r="BS382"/>
      <c r="BT382"/>
      <c r="BU382"/>
      <c r="CC382"/>
      <c r="CD382"/>
      <c r="CE382"/>
    </row>
    <row r="383" spans="8:83">
      <c r="H383"/>
      <c r="I383"/>
      <c r="J383"/>
      <c r="U383"/>
      <c r="V383"/>
      <c r="W383"/>
      <c r="AE383"/>
      <c r="AF383"/>
      <c r="AG383"/>
      <c r="AO383"/>
      <c r="AP383"/>
      <c r="AQ383"/>
      <c r="AY383"/>
      <c r="AZ383"/>
      <c r="BA383"/>
      <c r="BI383"/>
      <c r="BJ383"/>
      <c r="BK383"/>
      <c r="BS383"/>
      <c r="BT383"/>
      <c r="BU383"/>
      <c r="CC383"/>
      <c r="CD383"/>
      <c r="CE383"/>
    </row>
    <row r="384" spans="8:83">
      <c r="H384"/>
      <c r="I384"/>
      <c r="J384"/>
      <c r="U384"/>
      <c r="V384"/>
      <c r="W384"/>
      <c r="AE384"/>
      <c r="AF384"/>
      <c r="AG384"/>
      <c r="AO384"/>
      <c r="AP384"/>
      <c r="AQ384"/>
      <c r="AY384"/>
      <c r="AZ384"/>
      <c r="BA384"/>
      <c r="BI384"/>
      <c r="BJ384"/>
      <c r="BK384"/>
      <c r="BS384"/>
      <c r="BT384"/>
      <c r="BU384"/>
      <c r="CC384"/>
      <c r="CD384"/>
      <c r="CE384"/>
    </row>
    <row r="385" spans="8:83">
      <c r="H385"/>
      <c r="I385"/>
      <c r="J385"/>
      <c r="U385"/>
      <c r="V385"/>
      <c r="W385"/>
      <c r="AE385"/>
      <c r="AF385"/>
      <c r="AG385"/>
      <c r="AO385"/>
      <c r="AP385"/>
      <c r="AQ385"/>
      <c r="AY385"/>
      <c r="AZ385"/>
      <c r="BA385"/>
      <c r="BI385"/>
      <c r="BJ385"/>
      <c r="BK385"/>
      <c r="BS385"/>
      <c r="BT385"/>
      <c r="BU385"/>
      <c r="CC385"/>
      <c r="CD385"/>
      <c r="CE385"/>
    </row>
    <row r="386" spans="8:83">
      <c r="H386"/>
      <c r="I386"/>
      <c r="J386"/>
      <c r="U386"/>
      <c r="V386"/>
      <c r="W386"/>
      <c r="AE386"/>
      <c r="AF386"/>
      <c r="AG386"/>
      <c r="AO386"/>
      <c r="AP386"/>
      <c r="AQ386"/>
      <c r="AY386"/>
      <c r="AZ386"/>
      <c r="BA386"/>
      <c r="BI386"/>
      <c r="BJ386"/>
      <c r="BK386"/>
      <c r="BS386"/>
      <c r="BT386"/>
      <c r="BU386"/>
      <c r="CC386"/>
      <c r="CD386"/>
      <c r="CE386"/>
    </row>
    <row r="387" spans="8:83">
      <c r="H387"/>
      <c r="I387"/>
      <c r="J387"/>
      <c r="U387"/>
      <c r="V387"/>
      <c r="W387"/>
      <c r="AE387"/>
      <c r="AF387"/>
      <c r="AG387"/>
      <c r="AO387"/>
      <c r="AP387"/>
      <c r="AQ387"/>
      <c r="AY387"/>
      <c r="AZ387"/>
      <c r="BA387"/>
      <c r="BI387"/>
      <c r="BJ387"/>
      <c r="BK387"/>
      <c r="BS387"/>
      <c r="BT387"/>
      <c r="BU387"/>
      <c r="CC387"/>
      <c r="CD387"/>
      <c r="CE387"/>
    </row>
    <row r="388" spans="8:83">
      <c r="H388"/>
      <c r="I388"/>
      <c r="J388"/>
      <c r="U388"/>
      <c r="V388"/>
      <c r="W388"/>
      <c r="AE388"/>
      <c r="AF388"/>
      <c r="AG388"/>
      <c r="AO388"/>
      <c r="AP388"/>
      <c r="AQ388"/>
      <c r="AY388"/>
      <c r="AZ388"/>
      <c r="BA388"/>
      <c r="BI388"/>
      <c r="BJ388"/>
      <c r="BK388"/>
      <c r="BS388"/>
      <c r="BT388"/>
      <c r="BU388"/>
      <c r="CC388"/>
      <c r="CD388"/>
      <c r="CE388"/>
    </row>
    <row r="389" spans="8:83">
      <c r="H389"/>
      <c r="I389"/>
      <c r="J389"/>
      <c r="U389"/>
      <c r="V389"/>
      <c r="W389"/>
      <c r="AE389"/>
      <c r="AF389"/>
      <c r="AG389"/>
      <c r="AO389"/>
      <c r="AP389"/>
      <c r="AQ389"/>
      <c r="AY389"/>
      <c r="AZ389"/>
      <c r="BA389"/>
      <c r="BI389"/>
      <c r="BJ389"/>
      <c r="BK389"/>
      <c r="BS389"/>
      <c r="BT389"/>
      <c r="BU389"/>
      <c r="CC389"/>
      <c r="CD389"/>
      <c r="CE389"/>
    </row>
    <row r="390" spans="8:83">
      <c r="H390"/>
      <c r="I390"/>
      <c r="J390"/>
      <c r="U390"/>
      <c r="V390"/>
      <c r="W390"/>
      <c r="AE390"/>
      <c r="AF390"/>
      <c r="AG390"/>
      <c r="AO390"/>
      <c r="AP390"/>
      <c r="AQ390"/>
      <c r="AY390"/>
      <c r="AZ390"/>
      <c r="BA390"/>
      <c r="BI390"/>
      <c r="BJ390"/>
      <c r="BK390"/>
      <c r="BS390"/>
      <c r="BT390"/>
      <c r="BU390"/>
      <c r="CC390"/>
      <c r="CD390"/>
      <c r="CE390"/>
    </row>
    <row r="391" spans="8:83">
      <c r="H391"/>
      <c r="I391"/>
      <c r="J391"/>
      <c r="U391"/>
      <c r="V391"/>
      <c r="W391"/>
      <c r="AE391"/>
      <c r="AF391"/>
      <c r="AG391"/>
      <c r="AO391"/>
      <c r="AP391"/>
      <c r="AQ391"/>
      <c r="AY391"/>
      <c r="AZ391"/>
      <c r="BA391"/>
      <c r="BI391"/>
      <c r="BJ391"/>
      <c r="BK391"/>
      <c r="BS391"/>
      <c r="BT391"/>
      <c r="BU391"/>
      <c r="CC391"/>
      <c r="CD391"/>
      <c r="CE391"/>
    </row>
    <row r="392" spans="8:83">
      <c r="H392"/>
      <c r="I392"/>
      <c r="J392"/>
      <c r="U392"/>
      <c r="V392"/>
      <c r="W392"/>
      <c r="AE392"/>
      <c r="AF392"/>
      <c r="AG392"/>
      <c r="AO392"/>
      <c r="AP392"/>
      <c r="AQ392"/>
      <c r="AY392"/>
      <c r="AZ392"/>
      <c r="BA392"/>
      <c r="BI392"/>
      <c r="BJ392"/>
      <c r="BK392"/>
      <c r="BS392"/>
      <c r="BT392"/>
      <c r="BU392"/>
      <c r="CC392"/>
      <c r="CD392"/>
      <c r="CE392"/>
    </row>
    <row r="393" spans="8:83">
      <c r="H393"/>
      <c r="I393"/>
      <c r="J393"/>
      <c r="U393"/>
      <c r="V393"/>
      <c r="W393"/>
      <c r="AE393"/>
      <c r="AF393"/>
      <c r="AG393"/>
      <c r="AO393"/>
      <c r="AP393"/>
      <c r="AQ393"/>
      <c r="AY393"/>
      <c r="AZ393"/>
      <c r="BA393"/>
      <c r="BI393"/>
      <c r="BJ393"/>
      <c r="BK393"/>
      <c r="BS393"/>
      <c r="BT393"/>
      <c r="BU393"/>
      <c r="CC393"/>
      <c r="CD393"/>
      <c r="CE393"/>
    </row>
    <row r="394" spans="8:83">
      <c r="H394"/>
      <c r="I394"/>
      <c r="J394"/>
      <c r="U394"/>
      <c r="V394"/>
      <c r="W394"/>
      <c r="AE394"/>
      <c r="AF394"/>
      <c r="AG394"/>
      <c r="AO394"/>
      <c r="AP394"/>
      <c r="AQ394"/>
      <c r="AY394"/>
      <c r="AZ394"/>
      <c r="BA394"/>
      <c r="BI394"/>
      <c r="BJ394"/>
      <c r="BK394"/>
      <c r="BS394"/>
      <c r="BT394"/>
      <c r="BU394"/>
      <c r="CC394"/>
      <c r="CD394"/>
      <c r="CE394"/>
    </row>
    <row r="395" spans="8:83">
      <c r="H395"/>
      <c r="I395"/>
      <c r="J395"/>
      <c r="U395"/>
      <c r="V395"/>
      <c r="W395"/>
      <c r="AE395"/>
      <c r="AF395"/>
      <c r="AG395"/>
      <c r="AO395"/>
      <c r="AP395"/>
      <c r="AQ395"/>
      <c r="AY395"/>
      <c r="AZ395"/>
      <c r="BA395"/>
      <c r="BI395"/>
      <c r="BJ395"/>
      <c r="BK395"/>
      <c r="BS395"/>
      <c r="BT395"/>
      <c r="BU395"/>
      <c r="CC395"/>
      <c r="CD395"/>
      <c r="CE395"/>
    </row>
    <row r="396" spans="8:83">
      <c r="H396"/>
      <c r="I396"/>
      <c r="J396"/>
      <c r="U396"/>
      <c r="V396"/>
      <c r="W396"/>
      <c r="AE396"/>
      <c r="AF396"/>
      <c r="AG396"/>
      <c r="AO396"/>
      <c r="AP396"/>
      <c r="AQ396"/>
      <c r="AY396"/>
      <c r="AZ396"/>
      <c r="BA396"/>
      <c r="BI396"/>
      <c r="BJ396"/>
      <c r="BK396"/>
      <c r="BS396"/>
      <c r="BT396"/>
      <c r="BU396"/>
      <c r="CC396"/>
      <c r="CD396"/>
      <c r="CE396"/>
    </row>
    <row r="397" spans="8:83">
      <c r="H397"/>
      <c r="I397"/>
      <c r="J397"/>
      <c r="U397"/>
      <c r="V397"/>
      <c r="W397"/>
      <c r="AE397"/>
      <c r="AF397"/>
      <c r="AG397"/>
      <c r="AO397"/>
      <c r="AP397"/>
      <c r="AQ397"/>
      <c r="AY397"/>
      <c r="AZ397"/>
      <c r="BA397"/>
      <c r="BI397"/>
      <c r="BJ397"/>
      <c r="BK397"/>
      <c r="BS397"/>
      <c r="BT397"/>
      <c r="BU397"/>
      <c r="CC397"/>
      <c r="CD397"/>
      <c r="CE397"/>
    </row>
    <row r="398" spans="8:83">
      <c r="H398"/>
      <c r="I398"/>
      <c r="J398"/>
      <c r="U398"/>
      <c r="V398"/>
      <c r="W398"/>
      <c r="AE398"/>
      <c r="AF398"/>
      <c r="AG398"/>
      <c r="AO398"/>
      <c r="AP398"/>
      <c r="AQ398"/>
      <c r="AY398"/>
      <c r="AZ398"/>
      <c r="BA398"/>
      <c r="BI398"/>
      <c r="BJ398"/>
      <c r="BK398"/>
      <c r="BS398"/>
      <c r="BT398"/>
      <c r="BU398"/>
      <c r="CC398"/>
      <c r="CD398"/>
      <c r="CE398"/>
    </row>
    <row r="399" spans="8:83">
      <c r="H399"/>
      <c r="I399"/>
      <c r="J399"/>
      <c r="U399"/>
      <c r="V399"/>
      <c r="W399"/>
      <c r="AE399"/>
      <c r="AF399"/>
      <c r="AG399"/>
      <c r="AO399"/>
      <c r="AP399"/>
      <c r="AQ399"/>
      <c r="AY399"/>
      <c r="AZ399"/>
      <c r="BA399"/>
      <c r="BI399"/>
      <c r="BJ399"/>
      <c r="BK399"/>
      <c r="BS399"/>
      <c r="BT399"/>
      <c r="BU399"/>
      <c r="CC399"/>
      <c r="CD399"/>
      <c r="CE399"/>
    </row>
    <row r="400" spans="8:83">
      <c r="H400"/>
      <c r="I400"/>
      <c r="J400"/>
      <c r="U400"/>
      <c r="V400"/>
      <c r="W400"/>
      <c r="AE400"/>
      <c r="AF400"/>
      <c r="AG400"/>
      <c r="AO400"/>
      <c r="AP400"/>
      <c r="AQ400"/>
      <c r="AY400"/>
      <c r="AZ400"/>
      <c r="BA400"/>
      <c r="BI400"/>
      <c r="BJ400"/>
      <c r="BK400"/>
      <c r="BS400"/>
      <c r="BT400"/>
      <c r="BU400"/>
      <c r="CC400"/>
      <c r="CD400"/>
      <c r="CE400"/>
    </row>
    <row r="401" spans="8:83">
      <c r="H401"/>
      <c r="I401"/>
      <c r="J401"/>
      <c r="U401"/>
      <c r="V401"/>
      <c r="W401"/>
      <c r="AE401"/>
      <c r="AF401"/>
      <c r="AG401"/>
      <c r="AO401"/>
      <c r="AP401"/>
      <c r="AQ401"/>
      <c r="AY401"/>
      <c r="AZ401"/>
      <c r="BA401"/>
      <c r="BI401"/>
      <c r="BJ401"/>
      <c r="BK401"/>
      <c r="BS401"/>
      <c r="BT401"/>
      <c r="BU401"/>
      <c r="CC401"/>
      <c r="CD401"/>
      <c r="CE401"/>
    </row>
    <row r="402" spans="8:83">
      <c r="H402"/>
      <c r="I402"/>
      <c r="J402"/>
      <c r="U402"/>
      <c r="V402"/>
      <c r="W402"/>
      <c r="AE402"/>
      <c r="AF402"/>
      <c r="AG402"/>
      <c r="AO402"/>
      <c r="AP402"/>
      <c r="AQ402"/>
      <c r="AY402"/>
      <c r="AZ402"/>
      <c r="BA402"/>
      <c r="BI402"/>
      <c r="BJ402"/>
      <c r="BK402"/>
      <c r="BS402"/>
      <c r="BT402"/>
      <c r="BU402"/>
      <c r="CC402"/>
      <c r="CD402"/>
      <c r="CE402"/>
    </row>
    <row r="403" spans="8:83">
      <c r="H403"/>
      <c r="I403"/>
      <c r="J403"/>
      <c r="U403"/>
      <c r="V403"/>
      <c r="W403"/>
      <c r="AE403"/>
      <c r="AF403"/>
      <c r="AG403"/>
      <c r="AO403"/>
      <c r="AP403"/>
      <c r="AQ403"/>
      <c r="AY403"/>
      <c r="AZ403"/>
      <c r="BA403"/>
      <c r="BI403"/>
      <c r="BJ403"/>
      <c r="BK403"/>
      <c r="BS403"/>
      <c r="BT403"/>
      <c r="BU403"/>
      <c r="CC403"/>
      <c r="CD403"/>
      <c r="CE403"/>
    </row>
    <row r="404" spans="8:83">
      <c r="H404"/>
      <c r="I404"/>
      <c r="J404"/>
      <c r="U404"/>
      <c r="V404"/>
      <c r="W404"/>
      <c r="AE404"/>
      <c r="AF404"/>
      <c r="AG404"/>
      <c r="AO404"/>
      <c r="AP404"/>
      <c r="AQ404"/>
      <c r="AY404"/>
      <c r="AZ404"/>
      <c r="BA404"/>
      <c r="BI404"/>
      <c r="BJ404"/>
      <c r="BK404"/>
      <c r="BS404"/>
      <c r="BT404"/>
      <c r="BU404"/>
      <c r="CC404"/>
      <c r="CD404"/>
      <c r="CE404"/>
    </row>
    <row r="405" spans="8:83">
      <c r="H405"/>
      <c r="I405"/>
      <c r="J405"/>
      <c r="U405"/>
      <c r="V405"/>
      <c r="W405"/>
      <c r="AE405"/>
      <c r="AF405"/>
      <c r="AG405"/>
      <c r="AO405"/>
      <c r="AP405"/>
      <c r="AQ405"/>
      <c r="AY405"/>
      <c r="AZ405"/>
      <c r="BA405"/>
      <c r="BI405"/>
      <c r="BJ405"/>
      <c r="BK405"/>
      <c r="BS405"/>
      <c r="BT405"/>
      <c r="BU405"/>
      <c r="CC405"/>
      <c r="CD405"/>
      <c r="CE405"/>
    </row>
    <row r="406" spans="8:83">
      <c r="H406"/>
      <c r="I406"/>
      <c r="J406"/>
      <c r="U406"/>
      <c r="V406"/>
      <c r="W406"/>
      <c r="AE406"/>
      <c r="AF406"/>
      <c r="AG406"/>
      <c r="AO406"/>
      <c r="AP406"/>
      <c r="AQ406"/>
      <c r="AY406"/>
      <c r="AZ406"/>
      <c r="BA406"/>
      <c r="BI406"/>
      <c r="BJ406"/>
      <c r="BK406"/>
      <c r="BS406"/>
      <c r="BT406"/>
      <c r="BU406"/>
      <c r="CC406"/>
      <c r="CD406"/>
      <c r="CE406"/>
    </row>
    <row r="407" spans="8:83">
      <c r="H407"/>
      <c r="I407"/>
      <c r="J407"/>
      <c r="U407"/>
      <c r="V407"/>
      <c r="W407"/>
      <c r="AE407"/>
      <c r="AF407"/>
      <c r="AG407"/>
      <c r="AO407"/>
      <c r="AP407"/>
      <c r="AQ407"/>
      <c r="AY407"/>
      <c r="AZ407"/>
      <c r="BA407"/>
      <c r="BI407"/>
      <c r="BJ407"/>
      <c r="BK407"/>
      <c r="BS407"/>
      <c r="BT407"/>
      <c r="BU407"/>
      <c r="CC407"/>
      <c r="CD407"/>
      <c r="CE407"/>
    </row>
    <row r="408" spans="8:83">
      <c r="H408"/>
      <c r="I408"/>
      <c r="J408"/>
      <c r="U408"/>
      <c r="V408"/>
      <c r="W408"/>
      <c r="AE408"/>
      <c r="AF408"/>
      <c r="AG408"/>
      <c r="AO408"/>
      <c r="AP408"/>
      <c r="AQ408"/>
      <c r="AY408"/>
      <c r="AZ408"/>
      <c r="BA408"/>
      <c r="BI408"/>
      <c r="BJ408"/>
      <c r="BK408"/>
      <c r="BS408"/>
      <c r="BT408"/>
      <c r="BU408"/>
      <c r="CC408"/>
      <c r="CD408"/>
      <c r="CE408"/>
    </row>
    <row r="409" spans="8:83">
      <c r="H409"/>
      <c r="I409"/>
      <c r="J409"/>
      <c r="U409"/>
      <c r="V409"/>
      <c r="W409"/>
      <c r="AE409"/>
      <c r="AF409"/>
      <c r="AG409"/>
      <c r="AO409"/>
      <c r="AP409"/>
      <c r="AQ409"/>
      <c r="AY409"/>
      <c r="AZ409"/>
      <c r="BA409"/>
      <c r="BI409"/>
      <c r="BJ409"/>
      <c r="BK409"/>
      <c r="BS409"/>
      <c r="BT409"/>
      <c r="BU409"/>
      <c r="CC409"/>
      <c r="CD409"/>
      <c r="CE409"/>
    </row>
    <row r="410" spans="8:83">
      <c r="H410"/>
      <c r="I410"/>
      <c r="J410"/>
      <c r="U410"/>
      <c r="V410"/>
      <c r="W410"/>
      <c r="AE410"/>
      <c r="AF410"/>
      <c r="AG410"/>
      <c r="AO410"/>
      <c r="AP410"/>
      <c r="AQ410"/>
      <c r="AY410"/>
      <c r="AZ410"/>
      <c r="BA410"/>
      <c r="BI410"/>
      <c r="BJ410"/>
      <c r="BK410"/>
      <c r="BS410"/>
      <c r="BT410"/>
      <c r="BU410"/>
      <c r="CC410"/>
      <c r="CD410"/>
      <c r="CE410"/>
    </row>
    <row r="411" spans="8:83">
      <c r="H411"/>
      <c r="I411"/>
      <c r="J411"/>
      <c r="U411"/>
      <c r="V411"/>
      <c r="W411"/>
      <c r="AE411"/>
      <c r="AF411"/>
      <c r="AG411"/>
      <c r="AO411"/>
      <c r="AP411"/>
      <c r="AQ411"/>
      <c r="AY411"/>
      <c r="AZ411"/>
      <c r="BA411"/>
      <c r="BI411"/>
      <c r="BJ411"/>
      <c r="BK411"/>
      <c r="BS411"/>
      <c r="BT411"/>
      <c r="BU411"/>
      <c r="CC411"/>
      <c r="CD411"/>
      <c r="CE411"/>
    </row>
    <row r="412" spans="8:83">
      <c r="H412"/>
      <c r="I412"/>
      <c r="J412"/>
      <c r="U412"/>
      <c r="V412"/>
      <c r="W412"/>
      <c r="AE412"/>
      <c r="AF412"/>
      <c r="AG412"/>
      <c r="AO412"/>
      <c r="AP412"/>
      <c r="AQ412"/>
      <c r="AY412"/>
      <c r="AZ412"/>
      <c r="BA412"/>
      <c r="BI412"/>
      <c r="BJ412"/>
      <c r="BK412"/>
      <c r="BS412"/>
      <c r="BT412"/>
      <c r="BU412"/>
      <c r="CC412"/>
      <c r="CD412"/>
      <c r="CE412"/>
    </row>
    <row r="413" spans="8:83">
      <c r="H413"/>
      <c r="I413"/>
      <c r="J413"/>
      <c r="U413"/>
      <c r="V413"/>
      <c r="W413"/>
      <c r="AE413"/>
      <c r="AF413"/>
      <c r="AG413"/>
      <c r="AO413"/>
      <c r="AP413"/>
      <c r="AQ413"/>
      <c r="AY413"/>
      <c r="AZ413"/>
      <c r="BA413"/>
      <c r="BI413"/>
      <c r="BJ413"/>
      <c r="BK413"/>
      <c r="BS413"/>
      <c r="BT413"/>
      <c r="BU413"/>
      <c r="CC413"/>
      <c r="CD413"/>
      <c r="CE413"/>
    </row>
    <row r="414" spans="8:83">
      <c r="H414"/>
      <c r="I414"/>
      <c r="J414"/>
      <c r="U414"/>
      <c r="V414"/>
      <c r="W414"/>
      <c r="AE414"/>
      <c r="AF414"/>
      <c r="AG414"/>
      <c r="AO414"/>
      <c r="AP414"/>
      <c r="AQ414"/>
      <c r="AY414"/>
      <c r="AZ414"/>
      <c r="BA414"/>
      <c r="BI414"/>
      <c r="BJ414"/>
      <c r="BK414"/>
      <c r="BS414"/>
      <c r="BT414"/>
      <c r="BU414"/>
      <c r="CC414"/>
      <c r="CD414"/>
      <c r="CE414"/>
    </row>
    <row r="415" spans="8:83">
      <c r="H415"/>
      <c r="I415"/>
      <c r="J415"/>
      <c r="U415"/>
      <c r="V415"/>
      <c r="W415"/>
      <c r="AE415"/>
      <c r="AF415"/>
      <c r="AG415"/>
      <c r="AO415"/>
      <c r="AP415"/>
      <c r="AQ415"/>
      <c r="AY415"/>
      <c r="AZ415"/>
      <c r="BA415"/>
      <c r="BI415"/>
      <c r="BJ415"/>
      <c r="BK415"/>
      <c r="BS415"/>
      <c r="BT415"/>
      <c r="BU415"/>
      <c r="CC415"/>
      <c r="CD415"/>
      <c r="CE415"/>
    </row>
    <row r="416" spans="8:83">
      <c r="H416"/>
      <c r="I416"/>
      <c r="J416"/>
      <c r="U416"/>
      <c r="V416"/>
      <c r="W416"/>
      <c r="AE416"/>
      <c r="AF416"/>
      <c r="AG416"/>
      <c r="AO416"/>
      <c r="AP416"/>
      <c r="AQ416"/>
      <c r="AY416"/>
      <c r="AZ416"/>
      <c r="BA416"/>
      <c r="BI416"/>
      <c r="BJ416"/>
      <c r="BK416"/>
      <c r="BS416"/>
      <c r="BT416"/>
      <c r="BU416"/>
      <c r="CC416"/>
      <c r="CD416"/>
      <c r="CE416"/>
    </row>
    <row r="417" spans="8:83">
      <c r="H417"/>
      <c r="I417"/>
      <c r="J417"/>
      <c r="U417"/>
      <c r="V417"/>
      <c r="W417"/>
      <c r="AE417"/>
      <c r="AF417"/>
      <c r="AG417"/>
      <c r="AO417"/>
      <c r="AP417"/>
      <c r="AQ417"/>
      <c r="AY417"/>
      <c r="AZ417"/>
      <c r="BA417"/>
      <c r="BI417"/>
      <c r="BJ417"/>
      <c r="BK417"/>
      <c r="BS417"/>
      <c r="BT417"/>
      <c r="BU417"/>
      <c r="CC417"/>
      <c r="CD417"/>
      <c r="CE417"/>
    </row>
    <row r="418" spans="8:83">
      <c r="H418"/>
      <c r="I418"/>
      <c r="J418"/>
      <c r="U418"/>
      <c r="V418"/>
      <c r="W418"/>
      <c r="AE418"/>
      <c r="AF418"/>
      <c r="AG418"/>
      <c r="AO418"/>
      <c r="AP418"/>
      <c r="AQ418"/>
      <c r="AY418"/>
      <c r="AZ418"/>
      <c r="BA418"/>
      <c r="BI418"/>
      <c r="BJ418"/>
      <c r="BK418"/>
      <c r="BS418"/>
      <c r="BT418"/>
      <c r="BU418"/>
      <c r="CC418"/>
      <c r="CD418"/>
      <c r="CE418"/>
    </row>
    <row r="419" spans="8:83">
      <c r="H419"/>
      <c r="I419"/>
      <c r="J419"/>
      <c r="U419"/>
      <c r="V419"/>
      <c r="W419"/>
      <c r="AE419"/>
      <c r="AF419"/>
      <c r="AG419"/>
      <c r="AO419"/>
      <c r="AP419"/>
      <c r="AQ419"/>
      <c r="AY419"/>
      <c r="AZ419"/>
      <c r="BA419"/>
      <c r="BI419"/>
      <c r="BJ419"/>
      <c r="BK419"/>
      <c r="BS419"/>
      <c r="BT419"/>
      <c r="BU419"/>
      <c r="CC419"/>
      <c r="CD419"/>
      <c r="CE419"/>
    </row>
    <row r="420" spans="8:83">
      <c r="H420"/>
      <c r="I420"/>
      <c r="J420"/>
      <c r="U420"/>
      <c r="V420"/>
      <c r="W420"/>
      <c r="AE420"/>
      <c r="AF420"/>
      <c r="AG420"/>
      <c r="AO420"/>
      <c r="AP420"/>
      <c r="AQ420"/>
      <c r="AY420"/>
      <c r="AZ420"/>
      <c r="BA420"/>
      <c r="BI420"/>
      <c r="BJ420"/>
      <c r="BK420"/>
      <c r="BS420"/>
      <c r="BT420"/>
      <c r="BU420"/>
      <c r="CC420"/>
      <c r="CD420"/>
      <c r="CE420"/>
    </row>
    <row r="421" spans="8:83">
      <c r="H421"/>
      <c r="I421"/>
      <c r="J421"/>
      <c r="U421"/>
      <c r="V421"/>
      <c r="W421"/>
      <c r="AE421"/>
      <c r="AF421"/>
      <c r="AG421"/>
      <c r="AO421"/>
      <c r="AP421"/>
      <c r="AQ421"/>
      <c r="AY421"/>
      <c r="AZ421"/>
      <c r="BA421"/>
      <c r="BI421"/>
      <c r="BJ421"/>
      <c r="BK421"/>
      <c r="BS421"/>
      <c r="BT421"/>
      <c r="BU421"/>
      <c r="CC421"/>
      <c r="CD421"/>
      <c r="CE421"/>
    </row>
    <row r="422" spans="8:83">
      <c r="H422"/>
      <c r="I422"/>
      <c r="J422"/>
      <c r="U422"/>
      <c r="V422"/>
      <c r="W422"/>
      <c r="AE422"/>
      <c r="AF422"/>
      <c r="AG422"/>
      <c r="AO422"/>
      <c r="AP422"/>
      <c r="AQ422"/>
      <c r="AY422"/>
      <c r="AZ422"/>
      <c r="BA422"/>
      <c r="BI422"/>
      <c r="BJ422"/>
      <c r="BK422"/>
      <c r="BS422"/>
      <c r="BT422"/>
      <c r="BU422"/>
      <c r="CC422"/>
      <c r="CD422"/>
      <c r="CE422"/>
    </row>
    <row r="423" spans="8:83">
      <c r="H423"/>
      <c r="I423"/>
      <c r="J423"/>
      <c r="U423"/>
      <c r="V423"/>
      <c r="W423"/>
      <c r="AE423"/>
      <c r="AF423"/>
      <c r="AG423"/>
      <c r="AO423"/>
      <c r="AP423"/>
      <c r="AQ423"/>
      <c r="AY423"/>
      <c r="AZ423"/>
      <c r="BA423"/>
      <c r="BI423"/>
      <c r="BJ423"/>
      <c r="BK423"/>
      <c r="BS423"/>
      <c r="BT423"/>
      <c r="BU423"/>
      <c r="CC423"/>
      <c r="CD423"/>
      <c r="CE423"/>
    </row>
    <row r="424" spans="8:83">
      <c r="H424"/>
      <c r="I424"/>
      <c r="J424"/>
      <c r="U424"/>
      <c r="V424"/>
      <c r="W424"/>
      <c r="AE424"/>
      <c r="AF424"/>
      <c r="AG424"/>
      <c r="AO424"/>
      <c r="AP424"/>
      <c r="AQ424"/>
      <c r="AY424"/>
      <c r="AZ424"/>
      <c r="BA424"/>
      <c r="BI424"/>
      <c r="BJ424"/>
      <c r="BK424"/>
      <c r="BS424"/>
      <c r="BT424"/>
      <c r="BU424"/>
      <c r="CC424"/>
      <c r="CD424"/>
      <c r="CE424"/>
    </row>
    <row r="425" spans="8:83">
      <c r="H425"/>
      <c r="I425"/>
      <c r="J425"/>
      <c r="U425"/>
      <c r="V425"/>
      <c r="W425"/>
      <c r="AE425"/>
      <c r="AF425"/>
      <c r="AG425"/>
      <c r="AO425"/>
      <c r="AP425"/>
      <c r="AQ425"/>
      <c r="AY425"/>
      <c r="AZ425"/>
      <c r="BA425"/>
      <c r="BI425"/>
      <c r="BJ425"/>
      <c r="BK425"/>
      <c r="BS425"/>
      <c r="BT425"/>
      <c r="BU425"/>
      <c r="CC425"/>
      <c r="CD425"/>
      <c r="CE425"/>
    </row>
    <row r="426" spans="8:83">
      <c r="H426"/>
      <c r="I426"/>
      <c r="J426"/>
      <c r="U426"/>
      <c r="V426"/>
      <c r="W426"/>
      <c r="AE426"/>
      <c r="AF426"/>
      <c r="AG426"/>
      <c r="AO426"/>
      <c r="AP426"/>
      <c r="AQ426"/>
      <c r="AY426"/>
      <c r="AZ426"/>
      <c r="BA426"/>
      <c r="BI426"/>
      <c r="BJ426"/>
      <c r="BK426"/>
      <c r="BS426"/>
      <c r="BT426"/>
      <c r="BU426"/>
      <c r="CC426"/>
      <c r="CD426"/>
      <c r="CE426"/>
    </row>
    <row r="427" spans="8:83">
      <c r="H427"/>
      <c r="I427"/>
      <c r="J427"/>
      <c r="U427"/>
      <c r="V427"/>
      <c r="W427"/>
      <c r="AE427"/>
      <c r="AF427"/>
      <c r="AG427"/>
      <c r="AO427"/>
      <c r="AP427"/>
      <c r="AQ427"/>
      <c r="AY427"/>
      <c r="AZ427"/>
      <c r="BA427"/>
      <c r="BI427"/>
      <c r="BJ427"/>
      <c r="BK427"/>
      <c r="BS427"/>
      <c r="BT427"/>
      <c r="BU427"/>
      <c r="CC427"/>
      <c r="CD427"/>
      <c r="CE427"/>
    </row>
    <row r="428" spans="8:83">
      <c r="H428"/>
      <c r="I428"/>
      <c r="J428"/>
      <c r="U428"/>
      <c r="V428"/>
      <c r="W428"/>
      <c r="AE428"/>
      <c r="AF428"/>
      <c r="AG428"/>
      <c r="AO428"/>
      <c r="AP428"/>
      <c r="AQ428"/>
      <c r="AY428"/>
      <c r="AZ428"/>
      <c r="BA428"/>
      <c r="BI428"/>
      <c r="BJ428"/>
      <c r="BK428"/>
      <c r="BS428"/>
      <c r="BT428"/>
      <c r="BU428"/>
      <c r="CC428"/>
      <c r="CD428"/>
      <c r="CE428"/>
    </row>
    <row r="429" spans="8:83">
      <c r="H429"/>
      <c r="I429"/>
      <c r="J429"/>
      <c r="U429"/>
      <c r="V429"/>
      <c r="W429"/>
      <c r="AE429"/>
      <c r="AF429"/>
      <c r="AG429"/>
      <c r="AO429"/>
      <c r="AP429"/>
      <c r="AQ429"/>
      <c r="AY429"/>
      <c r="AZ429"/>
      <c r="BA429"/>
      <c r="BI429"/>
      <c r="BJ429"/>
      <c r="BK429"/>
      <c r="BS429"/>
      <c r="BT429"/>
      <c r="BU429"/>
      <c r="CC429"/>
      <c r="CD429"/>
      <c r="CE429"/>
    </row>
    <row r="430" spans="8:83">
      <c r="H430"/>
      <c r="I430"/>
      <c r="J430"/>
      <c r="U430"/>
      <c r="V430"/>
      <c r="W430"/>
      <c r="AE430"/>
      <c r="AF430"/>
      <c r="AG430"/>
      <c r="AO430"/>
      <c r="AP430"/>
      <c r="AQ430"/>
      <c r="AY430"/>
      <c r="AZ430"/>
      <c r="BA430"/>
      <c r="BI430"/>
      <c r="BJ430"/>
      <c r="BK430"/>
      <c r="BS430"/>
      <c r="BT430"/>
      <c r="BU430"/>
      <c r="CC430"/>
      <c r="CD430"/>
      <c r="CE430"/>
    </row>
    <row r="431" spans="8:83">
      <c r="H431"/>
      <c r="I431"/>
      <c r="J431"/>
      <c r="U431"/>
      <c r="V431"/>
      <c r="W431"/>
      <c r="AE431"/>
      <c r="AF431"/>
      <c r="AG431"/>
      <c r="AO431"/>
      <c r="AP431"/>
      <c r="AQ431"/>
      <c r="AY431"/>
      <c r="AZ431"/>
      <c r="BA431"/>
      <c r="BI431"/>
      <c r="BJ431"/>
      <c r="BK431"/>
      <c r="BS431"/>
      <c r="BT431"/>
      <c r="BU431"/>
      <c r="CC431"/>
      <c r="CD431"/>
      <c r="CE431"/>
    </row>
    <row r="432" spans="8:83">
      <c r="H432"/>
      <c r="I432"/>
      <c r="J432"/>
      <c r="U432"/>
      <c r="V432"/>
      <c r="W432"/>
      <c r="AE432"/>
      <c r="AF432"/>
      <c r="AG432"/>
      <c r="AO432"/>
      <c r="AP432"/>
      <c r="AQ432"/>
      <c r="AY432"/>
      <c r="AZ432"/>
      <c r="BA432"/>
      <c r="BI432"/>
      <c r="BJ432"/>
      <c r="BK432"/>
      <c r="BS432"/>
      <c r="BT432"/>
      <c r="BU432"/>
      <c r="CC432"/>
      <c r="CD432"/>
      <c r="CE432"/>
    </row>
    <row r="433" spans="8:83">
      <c r="H433"/>
      <c r="I433"/>
      <c r="J433"/>
      <c r="U433"/>
      <c r="V433"/>
      <c r="W433"/>
      <c r="AE433"/>
      <c r="AF433"/>
      <c r="AG433"/>
      <c r="AO433"/>
      <c r="AP433"/>
      <c r="AQ433"/>
      <c r="AY433"/>
      <c r="AZ433"/>
      <c r="BA433"/>
      <c r="BI433"/>
      <c r="BJ433"/>
      <c r="BK433"/>
      <c r="BS433"/>
      <c r="BT433"/>
      <c r="BU433"/>
      <c r="CC433"/>
      <c r="CD433"/>
      <c r="CE433"/>
    </row>
    <row r="434" spans="8:83">
      <c r="H434"/>
      <c r="I434"/>
      <c r="J434"/>
      <c r="U434"/>
      <c r="V434"/>
      <c r="W434"/>
      <c r="AE434"/>
      <c r="AF434"/>
      <c r="AG434"/>
      <c r="AO434"/>
      <c r="AP434"/>
      <c r="AQ434"/>
      <c r="AY434"/>
      <c r="AZ434"/>
      <c r="BA434"/>
      <c r="BI434"/>
      <c r="BJ434"/>
      <c r="BK434"/>
      <c r="BS434"/>
      <c r="BT434"/>
      <c r="BU434"/>
      <c r="CC434"/>
      <c r="CD434"/>
      <c r="CE434"/>
    </row>
    <row r="435" spans="8:83">
      <c r="H435"/>
      <c r="I435"/>
      <c r="J435"/>
      <c r="U435"/>
      <c r="V435"/>
      <c r="W435"/>
      <c r="AE435"/>
      <c r="AF435"/>
      <c r="AG435"/>
      <c r="AO435"/>
      <c r="AP435"/>
      <c r="AQ435"/>
      <c r="AY435"/>
      <c r="AZ435"/>
      <c r="BA435"/>
      <c r="BI435"/>
      <c r="BJ435"/>
      <c r="BK435"/>
      <c r="BS435"/>
      <c r="BT435"/>
      <c r="BU435"/>
      <c r="CC435"/>
      <c r="CD435"/>
      <c r="CE435"/>
    </row>
    <row r="436" spans="8:83">
      <c r="H436"/>
      <c r="I436"/>
      <c r="J436"/>
      <c r="U436"/>
      <c r="V436"/>
      <c r="W436"/>
      <c r="AE436"/>
      <c r="AF436"/>
      <c r="AG436"/>
      <c r="AO436"/>
      <c r="AP436"/>
      <c r="AQ436"/>
      <c r="AY436"/>
      <c r="AZ436"/>
      <c r="BA436"/>
      <c r="BI436"/>
      <c r="BJ436"/>
      <c r="BK436"/>
      <c r="BS436"/>
      <c r="BT436"/>
      <c r="BU436"/>
      <c r="CC436"/>
      <c r="CD436"/>
      <c r="CE436"/>
    </row>
    <row r="437" spans="8:83">
      <c r="H437"/>
      <c r="I437"/>
      <c r="J437"/>
      <c r="U437"/>
      <c r="V437"/>
      <c r="W437"/>
      <c r="AE437"/>
      <c r="AF437"/>
      <c r="AG437"/>
      <c r="AO437"/>
      <c r="AP437"/>
      <c r="AQ437"/>
      <c r="AY437"/>
      <c r="AZ437"/>
      <c r="BA437"/>
      <c r="BI437"/>
      <c r="BJ437"/>
      <c r="BK437"/>
      <c r="BS437"/>
      <c r="BT437"/>
      <c r="BU437"/>
      <c r="CC437"/>
      <c r="CD437"/>
      <c r="CE437"/>
    </row>
    <row r="438" spans="8:83">
      <c r="H438"/>
      <c r="I438"/>
      <c r="J438"/>
      <c r="U438"/>
      <c r="V438"/>
      <c r="W438"/>
      <c r="AE438"/>
      <c r="AF438"/>
      <c r="AG438"/>
      <c r="AO438"/>
      <c r="AP438"/>
      <c r="AQ438"/>
      <c r="AY438"/>
      <c r="AZ438"/>
      <c r="BA438"/>
      <c r="BI438"/>
      <c r="BJ438"/>
      <c r="BK438"/>
      <c r="BS438"/>
      <c r="BT438"/>
      <c r="BU438"/>
      <c r="CC438"/>
      <c r="CD438"/>
      <c r="CE438"/>
    </row>
    <row r="439" spans="8:83">
      <c r="H439"/>
      <c r="I439"/>
      <c r="J439"/>
      <c r="U439"/>
      <c r="V439"/>
      <c r="W439"/>
      <c r="AE439"/>
      <c r="AF439"/>
      <c r="AG439"/>
      <c r="AO439"/>
      <c r="AP439"/>
      <c r="AQ439"/>
      <c r="AY439"/>
      <c r="AZ439"/>
      <c r="BA439"/>
      <c r="BI439"/>
      <c r="BJ439"/>
      <c r="BK439"/>
      <c r="BS439"/>
      <c r="BT439"/>
      <c r="BU439"/>
      <c r="CC439"/>
      <c r="CD439"/>
      <c r="CE439"/>
    </row>
    <row r="440" spans="8:83">
      <c r="H440"/>
      <c r="I440"/>
      <c r="J440"/>
      <c r="U440"/>
      <c r="V440"/>
      <c r="W440"/>
      <c r="AE440"/>
      <c r="AF440"/>
      <c r="AG440"/>
      <c r="AO440"/>
      <c r="AP440"/>
      <c r="AQ440"/>
      <c r="AY440"/>
      <c r="AZ440"/>
      <c r="BA440"/>
      <c r="BI440"/>
      <c r="BJ440"/>
      <c r="BK440"/>
      <c r="BS440"/>
      <c r="BT440"/>
      <c r="BU440"/>
      <c r="CC440"/>
      <c r="CD440"/>
      <c r="CE440"/>
    </row>
    <row r="441" spans="8:83">
      <c r="H441"/>
      <c r="I441"/>
      <c r="J441"/>
      <c r="U441"/>
      <c r="V441"/>
      <c r="W441"/>
      <c r="AE441"/>
      <c r="AF441"/>
      <c r="AG441"/>
      <c r="AO441"/>
      <c r="AP441"/>
      <c r="AQ441"/>
      <c r="AY441"/>
      <c r="AZ441"/>
      <c r="BA441"/>
      <c r="BI441"/>
      <c r="BJ441"/>
      <c r="BK441"/>
      <c r="BS441"/>
      <c r="BT441"/>
      <c r="BU441"/>
      <c r="CC441"/>
      <c r="CD441"/>
      <c r="CE441"/>
    </row>
    <row r="442" spans="8:83">
      <c r="H442"/>
      <c r="I442"/>
      <c r="J442"/>
      <c r="U442"/>
      <c r="V442"/>
      <c r="W442"/>
      <c r="AE442"/>
      <c r="AF442"/>
      <c r="AG442"/>
      <c r="AO442"/>
      <c r="AP442"/>
      <c r="AQ442"/>
      <c r="AY442"/>
      <c r="AZ442"/>
      <c r="BA442"/>
      <c r="BI442"/>
      <c r="BJ442"/>
      <c r="BK442"/>
      <c r="BS442"/>
      <c r="BT442"/>
      <c r="BU442"/>
      <c r="CC442"/>
      <c r="CD442"/>
      <c r="CE442"/>
    </row>
    <row r="443" spans="8:83">
      <c r="H443"/>
      <c r="I443"/>
      <c r="J443"/>
      <c r="U443"/>
      <c r="V443"/>
      <c r="W443"/>
      <c r="AE443"/>
      <c r="AF443"/>
      <c r="AG443"/>
      <c r="AO443"/>
      <c r="AP443"/>
      <c r="AQ443"/>
      <c r="AY443"/>
      <c r="AZ443"/>
      <c r="BA443"/>
      <c r="BI443"/>
      <c r="BJ443"/>
      <c r="BK443"/>
      <c r="BS443"/>
      <c r="BT443"/>
      <c r="BU443"/>
      <c r="CC443"/>
      <c r="CD443"/>
      <c r="CE443"/>
    </row>
    <row r="444" spans="8:83">
      <c r="H444"/>
      <c r="I444"/>
      <c r="J444"/>
      <c r="U444"/>
      <c r="V444"/>
      <c r="W444"/>
      <c r="AE444"/>
      <c r="AF444"/>
      <c r="AG444"/>
      <c r="AO444"/>
      <c r="AP444"/>
      <c r="AQ444"/>
      <c r="AY444"/>
      <c r="AZ444"/>
      <c r="BA444"/>
      <c r="BI444"/>
      <c r="BJ444"/>
      <c r="BK444"/>
      <c r="BS444"/>
      <c r="BT444"/>
      <c r="BU444"/>
      <c r="CC444"/>
      <c r="CD444"/>
      <c r="CE444"/>
    </row>
    <row r="445" spans="8:83">
      <c r="H445"/>
      <c r="I445"/>
      <c r="J445"/>
      <c r="U445"/>
      <c r="V445"/>
      <c r="W445"/>
      <c r="AE445"/>
      <c r="AF445"/>
      <c r="AG445"/>
      <c r="AO445"/>
      <c r="AP445"/>
      <c r="AQ445"/>
      <c r="AY445"/>
      <c r="AZ445"/>
      <c r="BA445"/>
      <c r="BI445"/>
      <c r="BJ445"/>
      <c r="BK445"/>
      <c r="BS445"/>
      <c r="BT445"/>
      <c r="BU445"/>
      <c r="CC445"/>
      <c r="CD445"/>
      <c r="CE445"/>
    </row>
    <row r="446" spans="8:83">
      <c r="H446"/>
      <c r="I446"/>
      <c r="J446"/>
      <c r="U446"/>
      <c r="V446"/>
      <c r="W446"/>
      <c r="AE446"/>
      <c r="AF446"/>
      <c r="AG446"/>
      <c r="AO446"/>
      <c r="AP446"/>
      <c r="AQ446"/>
      <c r="AY446"/>
      <c r="AZ446"/>
      <c r="BA446"/>
      <c r="BI446"/>
      <c r="BJ446"/>
      <c r="BK446"/>
      <c r="BS446"/>
      <c r="BT446"/>
      <c r="BU446"/>
      <c r="CC446"/>
      <c r="CD446"/>
      <c r="CE446"/>
    </row>
    <row r="447" spans="8:83">
      <c r="H447"/>
      <c r="I447"/>
      <c r="J447"/>
      <c r="U447"/>
      <c r="V447"/>
      <c r="W447"/>
      <c r="AE447"/>
      <c r="AF447"/>
      <c r="AG447"/>
      <c r="AO447"/>
      <c r="AP447"/>
      <c r="AQ447"/>
      <c r="AY447"/>
      <c r="AZ447"/>
      <c r="BA447"/>
      <c r="BI447"/>
      <c r="BJ447"/>
      <c r="BK447"/>
      <c r="BS447"/>
      <c r="BT447"/>
      <c r="BU447"/>
      <c r="CC447"/>
      <c r="CD447"/>
      <c r="CE447"/>
    </row>
    <row r="448" spans="8:83">
      <c r="H448"/>
      <c r="I448"/>
      <c r="J448"/>
      <c r="U448"/>
      <c r="V448"/>
      <c r="W448"/>
      <c r="AE448"/>
      <c r="AF448"/>
      <c r="AG448"/>
      <c r="AO448"/>
      <c r="AP448"/>
      <c r="AQ448"/>
      <c r="AY448"/>
      <c r="AZ448"/>
      <c r="BA448"/>
      <c r="BI448"/>
      <c r="BJ448"/>
      <c r="BK448"/>
      <c r="BS448"/>
      <c r="BT448"/>
      <c r="BU448"/>
      <c r="CC448"/>
      <c r="CD448"/>
      <c r="CE448"/>
    </row>
    <row r="449" spans="8:83">
      <c r="H449"/>
      <c r="I449"/>
      <c r="J449"/>
      <c r="U449"/>
      <c r="V449"/>
      <c r="W449"/>
      <c r="AE449"/>
      <c r="AF449"/>
      <c r="AG449"/>
      <c r="AO449"/>
      <c r="AP449"/>
      <c r="AQ449"/>
      <c r="AY449"/>
      <c r="AZ449"/>
      <c r="BA449"/>
      <c r="BI449"/>
      <c r="BJ449"/>
      <c r="BK449"/>
      <c r="BS449"/>
      <c r="BT449"/>
      <c r="BU449"/>
      <c r="CC449"/>
      <c r="CD449"/>
      <c r="CE449"/>
    </row>
    <row r="450" spans="8:83">
      <c r="H450"/>
      <c r="I450"/>
      <c r="J450"/>
      <c r="U450"/>
      <c r="V450"/>
      <c r="W450"/>
      <c r="AE450"/>
      <c r="AF450"/>
      <c r="AG450"/>
      <c r="AO450"/>
      <c r="AP450"/>
      <c r="AQ450"/>
      <c r="AY450"/>
      <c r="AZ450"/>
      <c r="BA450"/>
      <c r="BI450"/>
      <c r="BJ450"/>
      <c r="BK450"/>
      <c r="BS450"/>
      <c r="BT450"/>
      <c r="BU450"/>
      <c r="CC450"/>
      <c r="CD450"/>
      <c r="CE450"/>
    </row>
    <row r="451" spans="8:83">
      <c r="H451"/>
      <c r="I451"/>
      <c r="J451"/>
      <c r="U451"/>
      <c r="V451"/>
      <c r="W451"/>
      <c r="AE451"/>
      <c r="AF451"/>
      <c r="AG451"/>
      <c r="AO451"/>
      <c r="AP451"/>
      <c r="AQ451"/>
      <c r="AY451"/>
      <c r="AZ451"/>
      <c r="BA451"/>
      <c r="BI451"/>
      <c r="BJ451"/>
      <c r="BK451"/>
      <c r="BS451"/>
      <c r="BT451"/>
      <c r="BU451"/>
      <c r="CC451"/>
      <c r="CD451"/>
      <c r="CE451"/>
    </row>
    <row r="452" spans="8:83">
      <c r="H452"/>
      <c r="I452"/>
      <c r="J452"/>
      <c r="U452"/>
      <c r="V452"/>
      <c r="W452"/>
      <c r="AE452"/>
      <c r="AF452"/>
      <c r="AG452"/>
      <c r="AO452"/>
      <c r="AP452"/>
      <c r="AQ452"/>
      <c r="AY452"/>
      <c r="AZ452"/>
      <c r="BA452"/>
      <c r="BI452"/>
      <c r="BJ452"/>
      <c r="BK452"/>
      <c r="BS452"/>
      <c r="BT452"/>
      <c r="BU452"/>
      <c r="CC452"/>
      <c r="CD452"/>
      <c r="CE452"/>
    </row>
    <row r="453" spans="8:83">
      <c r="H453"/>
      <c r="I453"/>
      <c r="J453"/>
      <c r="U453"/>
      <c r="V453"/>
      <c r="W453"/>
      <c r="AE453"/>
      <c r="AF453"/>
      <c r="AG453"/>
      <c r="AO453"/>
      <c r="AP453"/>
      <c r="AQ453"/>
      <c r="AY453"/>
      <c r="AZ453"/>
      <c r="BA453"/>
      <c r="BI453"/>
      <c r="BJ453"/>
      <c r="BK453"/>
      <c r="BS453"/>
      <c r="BT453"/>
      <c r="BU453"/>
      <c r="CC453"/>
      <c r="CD453"/>
      <c r="CE453"/>
    </row>
    <row r="454" spans="8:83">
      <c r="H454"/>
      <c r="I454"/>
      <c r="J454"/>
      <c r="U454"/>
      <c r="V454"/>
      <c r="W454"/>
      <c r="AE454"/>
      <c r="AF454"/>
      <c r="AG454"/>
      <c r="AO454"/>
      <c r="AP454"/>
      <c r="AQ454"/>
      <c r="AY454"/>
      <c r="AZ454"/>
      <c r="BA454"/>
      <c r="BI454"/>
      <c r="BJ454"/>
      <c r="BK454"/>
      <c r="BS454"/>
      <c r="BT454"/>
      <c r="BU454"/>
      <c r="CC454"/>
      <c r="CD454"/>
      <c r="CE454"/>
    </row>
    <row r="455" spans="8:83">
      <c r="H455"/>
      <c r="I455"/>
      <c r="J455"/>
      <c r="U455"/>
      <c r="V455"/>
      <c r="W455"/>
      <c r="AE455"/>
      <c r="AF455"/>
      <c r="AG455"/>
      <c r="AO455"/>
      <c r="AP455"/>
      <c r="AQ455"/>
      <c r="AY455"/>
      <c r="AZ455"/>
      <c r="BA455"/>
      <c r="BI455"/>
      <c r="BJ455"/>
      <c r="BK455"/>
      <c r="BS455"/>
      <c r="BT455"/>
      <c r="BU455"/>
      <c r="CC455"/>
      <c r="CD455"/>
      <c r="CE455"/>
    </row>
    <row r="456" spans="8:83">
      <c r="H456"/>
      <c r="I456"/>
      <c r="J456"/>
      <c r="U456"/>
      <c r="V456"/>
      <c r="W456"/>
      <c r="AE456"/>
      <c r="AF456"/>
      <c r="AG456"/>
      <c r="AO456"/>
      <c r="AP456"/>
      <c r="AQ456"/>
      <c r="AY456"/>
      <c r="AZ456"/>
      <c r="BA456"/>
      <c r="BI456"/>
      <c r="BJ456"/>
      <c r="BK456"/>
      <c r="BS456"/>
      <c r="BT456"/>
      <c r="BU456"/>
      <c r="CC456"/>
      <c r="CD456"/>
      <c r="CE456"/>
    </row>
    <row r="457" spans="8:83">
      <c r="H457"/>
      <c r="I457"/>
      <c r="J457"/>
      <c r="U457"/>
      <c r="V457"/>
      <c r="W457"/>
      <c r="AE457"/>
      <c r="AF457"/>
      <c r="AG457"/>
      <c r="AO457"/>
      <c r="AP457"/>
      <c r="AQ457"/>
      <c r="AY457"/>
      <c r="AZ457"/>
      <c r="BA457"/>
      <c r="BI457"/>
      <c r="BJ457"/>
      <c r="BK457"/>
      <c r="BS457"/>
      <c r="BT457"/>
      <c r="BU457"/>
      <c r="CC457"/>
      <c r="CD457"/>
      <c r="CE457"/>
    </row>
    <row r="458" spans="8:83">
      <c r="H458"/>
      <c r="I458"/>
      <c r="J458"/>
      <c r="U458"/>
      <c r="V458"/>
      <c r="W458"/>
      <c r="AE458"/>
      <c r="AF458"/>
      <c r="AG458"/>
      <c r="AO458"/>
      <c r="AP458"/>
      <c r="AQ458"/>
      <c r="AY458"/>
      <c r="AZ458"/>
      <c r="BA458"/>
      <c r="BI458"/>
      <c r="BJ458"/>
      <c r="BK458"/>
      <c r="BS458"/>
      <c r="BT458"/>
      <c r="BU458"/>
      <c r="CC458"/>
      <c r="CD458"/>
      <c r="CE458"/>
    </row>
    <row r="459" spans="8:83">
      <c r="H459"/>
      <c r="I459"/>
      <c r="J459"/>
      <c r="U459"/>
      <c r="V459"/>
      <c r="W459"/>
      <c r="AE459"/>
      <c r="AF459"/>
      <c r="AG459"/>
      <c r="AO459"/>
      <c r="AP459"/>
      <c r="AQ459"/>
      <c r="AY459"/>
      <c r="AZ459"/>
      <c r="BA459"/>
      <c r="BK459"/>
      <c r="BS459"/>
      <c r="BT459"/>
      <c r="BU459"/>
      <c r="CC459"/>
      <c r="CD459"/>
      <c r="CE459"/>
    </row>
    <row r="460" spans="8:83">
      <c r="H460"/>
      <c r="I460"/>
      <c r="J460"/>
      <c r="U460"/>
      <c r="V460"/>
      <c r="W460"/>
      <c r="AE460"/>
      <c r="AF460"/>
      <c r="AG460"/>
      <c r="AO460"/>
      <c r="AP460"/>
      <c r="AQ460"/>
      <c r="AY460"/>
      <c r="AZ460"/>
      <c r="BA460"/>
      <c r="BK460"/>
      <c r="BS460"/>
      <c r="BT460"/>
      <c r="BU460"/>
      <c r="CC460"/>
      <c r="CD460"/>
      <c r="CE460"/>
    </row>
    <row r="461" spans="8:83">
      <c r="H461"/>
      <c r="I461"/>
      <c r="J461"/>
      <c r="U461"/>
      <c r="V461"/>
      <c r="W461"/>
      <c r="AE461"/>
      <c r="AF461"/>
      <c r="AG461"/>
      <c r="AO461"/>
      <c r="AP461"/>
      <c r="AQ461"/>
      <c r="AY461"/>
      <c r="AZ461"/>
      <c r="BA461"/>
      <c r="BK461"/>
      <c r="BS461"/>
      <c r="BT461"/>
      <c r="BU461"/>
      <c r="CC461"/>
      <c r="CD461"/>
      <c r="CE461"/>
    </row>
    <row r="462" spans="8:83">
      <c r="H462"/>
      <c r="I462"/>
      <c r="J462"/>
      <c r="U462"/>
      <c r="V462"/>
      <c r="W462"/>
      <c r="AE462"/>
      <c r="AF462"/>
      <c r="AG462"/>
      <c r="AO462"/>
      <c r="AP462"/>
      <c r="AQ462"/>
      <c r="AY462"/>
      <c r="AZ462"/>
      <c r="BA462"/>
      <c r="BK462"/>
      <c r="BS462"/>
      <c r="BT462"/>
      <c r="BU462"/>
      <c r="CC462"/>
      <c r="CD462"/>
      <c r="CE462"/>
    </row>
    <row r="463" spans="8:83">
      <c r="H463"/>
      <c r="I463"/>
      <c r="J463"/>
      <c r="U463"/>
      <c r="V463"/>
      <c r="W463"/>
      <c r="AE463"/>
      <c r="AF463"/>
      <c r="AG463"/>
      <c r="AO463"/>
      <c r="AP463"/>
      <c r="AQ463"/>
      <c r="AY463"/>
      <c r="AZ463"/>
      <c r="BA463"/>
      <c r="BK463"/>
      <c r="BS463"/>
      <c r="BT463"/>
      <c r="BU463"/>
      <c r="CC463"/>
      <c r="CD463"/>
      <c r="CE463"/>
    </row>
    <row r="464" spans="8:83">
      <c r="H464"/>
      <c r="I464"/>
      <c r="J464"/>
      <c r="U464"/>
      <c r="V464"/>
      <c r="W464"/>
      <c r="AE464"/>
      <c r="AF464"/>
      <c r="AG464"/>
      <c r="AO464"/>
      <c r="AP464"/>
      <c r="AQ464"/>
      <c r="AY464"/>
      <c r="AZ464"/>
      <c r="BA464"/>
      <c r="BK464"/>
      <c r="BS464"/>
      <c r="BT464"/>
      <c r="BU464"/>
      <c r="CC464"/>
      <c r="CD464"/>
      <c r="CE464"/>
    </row>
    <row r="465" spans="8:83">
      <c r="H465"/>
      <c r="I465"/>
      <c r="J465"/>
      <c r="U465"/>
      <c r="V465"/>
      <c r="W465"/>
      <c r="AE465"/>
      <c r="AF465"/>
      <c r="AG465"/>
      <c r="AO465"/>
      <c r="AP465"/>
      <c r="AQ465"/>
      <c r="AY465"/>
      <c r="AZ465"/>
      <c r="BA465"/>
      <c r="BK465"/>
      <c r="BS465"/>
      <c r="BT465"/>
      <c r="BU465"/>
      <c r="CC465"/>
      <c r="CD465"/>
      <c r="CE465"/>
    </row>
    <row r="466" spans="8:83">
      <c r="H466"/>
      <c r="I466"/>
      <c r="J466"/>
      <c r="U466"/>
      <c r="V466"/>
      <c r="W466"/>
      <c r="AE466"/>
      <c r="AF466"/>
      <c r="AG466"/>
      <c r="AO466"/>
      <c r="AP466"/>
      <c r="AQ466"/>
      <c r="AY466"/>
      <c r="AZ466"/>
      <c r="BA466"/>
      <c r="BK466"/>
      <c r="BS466"/>
      <c r="BT466"/>
      <c r="BU466"/>
      <c r="CC466"/>
      <c r="CD466"/>
      <c r="CE466"/>
    </row>
    <row r="467" spans="8:83">
      <c r="H467"/>
      <c r="I467"/>
      <c r="J467"/>
      <c r="U467"/>
      <c r="V467"/>
      <c r="W467"/>
      <c r="AE467"/>
      <c r="AF467"/>
      <c r="AG467"/>
      <c r="AO467"/>
      <c r="AP467"/>
      <c r="AQ467"/>
      <c r="AY467"/>
      <c r="AZ467"/>
      <c r="BA467"/>
      <c r="BK467"/>
      <c r="BS467"/>
      <c r="BT467"/>
      <c r="BU467"/>
      <c r="CC467"/>
      <c r="CD467"/>
      <c r="CE467"/>
    </row>
    <row r="468" spans="8:83">
      <c r="H468"/>
      <c r="I468"/>
      <c r="J468"/>
      <c r="U468"/>
      <c r="V468"/>
      <c r="W468"/>
      <c r="AE468"/>
      <c r="AF468"/>
      <c r="AG468"/>
      <c r="AO468"/>
      <c r="AP468"/>
      <c r="AQ468"/>
      <c r="AY468"/>
      <c r="AZ468"/>
      <c r="BA468"/>
      <c r="BK468"/>
      <c r="BS468"/>
      <c r="BT468"/>
      <c r="BU468"/>
      <c r="CC468"/>
      <c r="CD468"/>
      <c r="CE468"/>
    </row>
    <row r="469" spans="8:83">
      <c r="H469"/>
      <c r="I469"/>
      <c r="J469"/>
      <c r="U469"/>
      <c r="V469"/>
      <c r="W469"/>
      <c r="AE469"/>
      <c r="AF469"/>
      <c r="AG469"/>
      <c r="AO469"/>
      <c r="AP469"/>
      <c r="AQ469"/>
      <c r="AY469"/>
      <c r="AZ469"/>
      <c r="BA469"/>
      <c r="BK469"/>
      <c r="BS469"/>
      <c r="BT469"/>
      <c r="BU469"/>
      <c r="CC469"/>
      <c r="CD469"/>
      <c r="CE469"/>
    </row>
    <row r="470" spans="8:83">
      <c r="H470"/>
      <c r="I470"/>
      <c r="J470"/>
      <c r="U470"/>
      <c r="V470"/>
      <c r="W470"/>
      <c r="AE470"/>
      <c r="AF470"/>
      <c r="AG470"/>
      <c r="AO470"/>
      <c r="AP470"/>
      <c r="AQ470"/>
      <c r="AY470"/>
      <c r="AZ470"/>
      <c r="BA470"/>
      <c r="BK470"/>
      <c r="BS470"/>
      <c r="BT470"/>
      <c r="BU470"/>
      <c r="CC470"/>
      <c r="CD470"/>
      <c r="CE470"/>
    </row>
    <row r="471" spans="8:83">
      <c r="H471"/>
      <c r="I471"/>
      <c r="J471"/>
      <c r="U471"/>
      <c r="V471"/>
      <c r="W471"/>
      <c r="AE471"/>
      <c r="AF471"/>
      <c r="AG471"/>
      <c r="AO471"/>
      <c r="AP471"/>
      <c r="AQ471"/>
      <c r="AY471"/>
      <c r="AZ471"/>
      <c r="BA471"/>
      <c r="BK471"/>
      <c r="BS471"/>
      <c r="BT471"/>
      <c r="BU471"/>
      <c r="CC471"/>
      <c r="CD471"/>
      <c r="CE471"/>
    </row>
    <row r="472" spans="8:83">
      <c r="H472"/>
      <c r="I472"/>
      <c r="J472"/>
      <c r="U472"/>
      <c r="V472"/>
      <c r="W472"/>
      <c r="AE472"/>
      <c r="AF472"/>
      <c r="AG472"/>
      <c r="AO472"/>
      <c r="AP472"/>
      <c r="AQ472"/>
      <c r="AY472"/>
      <c r="AZ472"/>
      <c r="BA472"/>
      <c r="BK472"/>
      <c r="BS472"/>
      <c r="BT472"/>
      <c r="BU472"/>
      <c r="CC472"/>
      <c r="CD472"/>
      <c r="CE472"/>
    </row>
    <row r="473" spans="8:83">
      <c r="H473"/>
      <c r="I473"/>
      <c r="J473"/>
      <c r="U473"/>
      <c r="V473"/>
      <c r="W473"/>
      <c r="AE473"/>
      <c r="AF473"/>
      <c r="AG473"/>
      <c r="AO473"/>
      <c r="AP473"/>
      <c r="AQ473"/>
      <c r="AY473"/>
      <c r="AZ473"/>
      <c r="BA473"/>
      <c r="BK473"/>
      <c r="BS473"/>
      <c r="BT473"/>
      <c r="BU473"/>
      <c r="CC473"/>
      <c r="CD473"/>
      <c r="CE473"/>
    </row>
    <row r="474" spans="8:83">
      <c r="H474"/>
      <c r="I474"/>
      <c r="J474"/>
      <c r="U474"/>
      <c r="V474"/>
      <c r="W474"/>
      <c r="AE474"/>
      <c r="AF474"/>
      <c r="AG474"/>
      <c r="AO474"/>
      <c r="AP474"/>
      <c r="AQ474"/>
      <c r="AY474"/>
      <c r="AZ474"/>
      <c r="BA474"/>
      <c r="BK474"/>
      <c r="BS474"/>
      <c r="BT474"/>
      <c r="BU474"/>
      <c r="CC474"/>
      <c r="CD474"/>
      <c r="CE474"/>
    </row>
    <row r="475" spans="8:83">
      <c r="H475"/>
      <c r="I475"/>
      <c r="J475"/>
      <c r="U475"/>
      <c r="V475"/>
      <c r="W475"/>
      <c r="AE475"/>
      <c r="AF475"/>
      <c r="AG475"/>
      <c r="AO475"/>
      <c r="AP475"/>
      <c r="AQ475"/>
      <c r="AY475"/>
      <c r="AZ475"/>
      <c r="BA475"/>
      <c r="BK475"/>
      <c r="BS475"/>
      <c r="BT475"/>
      <c r="BU475"/>
      <c r="CC475"/>
      <c r="CD475"/>
      <c r="CE475"/>
    </row>
    <row r="476" spans="8:83">
      <c r="H476"/>
      <c r="I476"/>
      <c r="J476"/>
      <c r="U476"/>
      <c r="V476"/>
      <c r="W476"/>
      <c r="AE476"/>
      <c r="AF476"/>
      <c r="AG476"/>
      <c r="AO476"/>
      <c r="AP476"/>
      <c r="AQ476"/>
      <c r="AY476"/>
      <c r="AZ476"/>
      <c r="BA476"/>
      <c r="BK476"/>
      <c r="BS476"/>
      <c r="BT476"/>
      <c r="BU476"/>
      <c r="CC476"/>
      <c r="CD476"/>
      <c r="CE476"/>
    </row>
    <row r="477" spans="8:83">
      <c r="H477"/>
      <c r="I477"/>
      <c r="J477"/>
      <c r="U477"/>
      <c r="V477"/>
      <c r="W477"/>
      <c r="AE477"/>
      <c r="AF477"/>
      <c r="AG477"/>
      <c r="AO477"/>
      <c r="AP477"/>
      <c r="AQ477"/>
      <c r="AY477"/>
      <c r="AZ477"/>
      <c r="BA477"/>
      <c r="BK477"/>
      <c r="BS477"/>
      <c r="BT477"/>
      <c r="BU477"/>
      <c r="CC477"/>
      <c r="CD477"/>
      <c r="CE477"/>
    </row>
    <row r="478" spans="8:83">
      <c r="H478"/>
      <c r="I478"/>
      <c r="J478"/>
      <c r="U478"/>
      <c r="V478"/>
      <c r="W478"/>
      <c r="AE478"/>
      <c r="AF478"/>
      <c r="AG478"/>
      <c r="AO478"/>
      <c r="AP478"/>
      <c r="AQ478"/>
      <c r="AY478"/>
      <c r="AZ478"/>
      <c r="BA478"/>
      <c r="BK478"/>
      <c r="BS478"/>
      <c r="BT478"/>
      <c r="BU478"/>
      <c r="CC478"/>
      <c r="CD478"/>
      <c r="CE478"/>
    </row>
    <row r="479" spans="8:83">
      <c r="H479"/>
      <c r="I479"/>
      <c r="J479"/>
      <c r="U479"/>
      <c r="V479"/>
      <c r="W479"/>
      <c r="AE479"/>
      <c r="AF479"/>
      <c r="AG479"/>
      <c r="AO479"/>
      <c r="AP479"/>
      <c r="AQ479"/>
      <c r="AY479"/>
      <c r="AZ479"/>
      <c r="BA479"/>
      <c r="BK479"/>
      <c r="BS479"/>
      <c r="BT479"/>
      <c r="BU479"/>
      <c r="CC479"/>
      <c r="CD479"/>
      <c r="CE479"/>
    </row>
    <row r="480" spans="8:83">
      <c r="H480"/>
      <c r="I480"/>
      <c r="J480"/>
      <c r="U480"/>
      <c r="V480"/>
      <c r="W480"/>
      <c r="AE480"/>
      <c r="AF480"/>
      <c r="AG480"/>
      <c r="AO480"/>
      <c r="AP480"/>
      <c r="AQ480"/>
      <c r="AY480"/>
      <c r="AZ480"/>
      <c r="BA480"/>
      <c r="BK480"/>
      <c r="BS480"/>
      <c r="BT480"/>
      <c r="BU480"/>
      <c r="CC480"/>
      <c r="CD480"/>
      <c r="CE480"/>
    </row>
    <row r="481" spans="8:83">
      <c r="H481"/>
      <c r="I481"/>
      <c r="J481"/>
      <c r="U481"/>
      <c r="V481"/>
      <c r="W481"/>
      <c r="AE481"/>
      <c r="AF481"/>
      <c r="AG481"/>
      <c r="AO481"/>
      <c r="AP481"/>
      <c r="AQ481"/>
      <c r="AY481"/>
      <c r="AZ481"/>
      <c r="BA481"/>
      <c r="BK481"/>
      <c r="BS481"/>
      <c r="BT481"/>
      <c r="BU481"/>
      <c r="CC481"/>
      <c r="CD481"/>
      <c r="CE481"/>
    </row>
    <row r="482" spans="8:83">
      <c r="H482"/>
      <c r="I482"/>
      <c r="J482"/>
      <c r="U482"/>
      <c r="V482"/>
      <c r="W482"/>
      <c r="AE482"/>
      <c r="AF482"/>
      <c r="AG482"/>
      <c r="AO482"/>
      <c r="AP482"/>
      <c r="AQ482"/>
      <c r="AY482"/>
      <c r="AZ482"/>
      <c r="BA482"/>
      <c r="BK482"/>
      <c r="BS482"/>
      <c r="BT482"/>
      <c r="BU482"/>
      <c r="CC482"/>
      <c r="CD482"/>
      <c r="CE482"/>
    </row>
    <row r="483" spans="8:83">
      <c r="H483"/>
      <c r="I483"/>
      <c r="J483"/>
      <c r="U483"/>
      <c r="V483"/>
      <c r="W483"/>
      <c r="AE483"/>
      <c r="AF483"/>
      <c r="AG483"/>
      <c r="AO483"/>
      <c r="AP483"/>
      <c r="AQ483"/>
      <c r="AY483"/>
      <c r="AZ483"/>
      <c r="BA483"/>
      <c r="BK483"/>
      <c r="BS483"/>
      <c r="BT483"/>
      <c r="BU483"/>
      <c r="CC483"/>
      <c r="CD483"/>
      <c r="CE483"/>
    </row>
    <row r="484" spans="8:83">
      <c r="H484"/>
      <c r="I484"/>
      <c r="J484"/>
      <c r="U484"/>
      <c r="V484"/>
      <c r="W484"/>
      <c r="AE484"/>
      <c r="AF484"/>
      <c r="AG484"/>
      <c r="AO484"/>
      <c r="AP484"/>
      <c r="AQ484"/>
      <c r="AY484"/>
      <c r="AZ484"/>
      <c r="BA484"/>
      <c r="BK484"/>
      <c r="BS484"/>
      <c r="BT484"/>
      <c r="BU484"/>
      <c r="CC484"/>
      <c r="CD484"/>
      <c r="CE484"/>
    </row>
    <row r="485" spans="8:83">
      <c r="H485"/>
      <c r="I485"/>
      <c r="J485"/>
      <c r="U485"/>
      <c r="V485"/>
      <c r="W485"/>
      <c r="AE485"/>
      <c r="AF485"/>
      <c r="AG485"/>
      <c r="AO485"/>
      <c r="AP485"/>
      <c r="AQ485"/>
      <c r="AY485"/>
      <c r="AZ485"/>
      <c r="BA485"/>
      <c r="BK485"/>
      <c r="BS485"/>
      <c r="BT485"/>
      <c r="BU485"/>
      <c r="CC485"/>
      <c r="CD485"/>
      <c r="CE485"/>
    </row>
    <row r="486" spans="8:83">
      <c r="H486"/>
      <c r="I486"/>
      <c r="J486"/>
      <c r="U486"/>
      <c r="V486"/>
      <c r="W486"/>
      <c r="AE486"/>
      <c r="AF486"/>
      <c r="AG486"/>
      <c r="AO486"/>
      <c r="AP486"/>
      <c r="AQ486"/>
      <c r="AY486"/>
      <c r="AZ486"/>
      <c r="BA486"/>
      <c r="BK486"/>
      <c r="BS486"/>
      <c r="BT486"/>
      <c r="BU486"/>
      <c r="CC486"/>
      <c r="CD486"/>
      <c r="CE486"/>
    </row>
    <row r="487" spans="8:83">
      <c r="H487"/>
      <c r="I487"/>
      <c r="J487"/>
      <c r="U487"/>
      <c r="V487"/>
      <c r="W487"/>
      <c r="AE487"/>
      <c r="AF487"/>
      <c r="AG487"/>
      <c r="AO487"/>
      <c r="AP487"/>
      <c r="AQ487"/>
      <c r="AY487"/>
      <c r="AZ487"/>
      <c r="BA487"/>
      <c r="BK487"/>
      <c r="BS487"/>
      <c r="BT487"/>
      <c r="BU487"/>
      <c r="CC487"/>
      <c r="CD487"/>
      <c r="CE487"/>
    </row>
    <row r="488" spans="8:83">
      <c r="H488"/>
      <c r="I488"/>
      <c r="J488"/>
      <c r="U488"/>
      <c r="V488"/>
      <c r="W488"/>
      <c r="AE488"/>
      <c r="AF488"/>
      <c r="AG488"/>
      <c r="AO488"/>
      <c r="AP488"/>
      <c r="AQ488"/>
      <c r="AY488"/>
      <c r="AZ488"/>
      <c r="BA488"/>
      <c r="BK488"/>
      <c r="BS488"/>
      <c r="BT488"/>
      <c r="BU488"/>
      <c r="CC488"/>
      <c r="CD488"/>
      <c r="CE488"/>
    </row>
    <row r="489" spans="8:83">
      <c r="H489"/>
      <c r="I489"/>
      <c r="J489"/>
      <c r="U489"/>
      <c r="V489"/>
      <c r="W489"/>
      <c r="AE489"/>
      <c r="AF489"/>
      <c r="AG489"/>
      <c r="AO489"/>
      <c r="AP489"/>
      <c r="AQ489"/>
      <c r="AY489"/>
      <c r="AZ489"/>
      <c r="BA489"/>
      <c r="BK489"/>
      <c r="BS489"/>
      <c r="BT489"/>
      <c r="BU489"/>
      <c r="CC489"/>
      <c r="CD489"/>
      <c r="CE489"/>
    </row>
    <row r="490" spans="8:83">
      <c r="H490"/>
      <c r="I490"/>
      <c r="J490"/>
      <c r="U490"/>
      <c r="V490"/>
      <c r="W490"/>
      <c r="AE490"/>
      <c r="AF490"/>
      <c r="AG490"/>
      <c r="AO490"/>
      <c r="AP490"/>
      <c r="AQ490"/>
      <c r="AY490"/>
      <c r="AZ490"/>
      <c r="BA490"/>
      <c r="BK490"/>
      <c r="BS490"/>
      <c r="BT490"/>
      <c r="BU490"/>
      <c r="CC490"/>
      <c r="CD490"/>
      <c r="CE490"/>
    </row>
    <row r="491" spans="8:83">
      <c r="H491"/>
      <c r="I491"/>
      <c r="J491"/>
      <c r="U491"/>
      <c r="V491"/>
      <c r="W491"/>
      <c r="AE491"/>
      <c r="AF491"/>
      <c r="AG491"/>
      <c r="AO491"/>
      <c r="AP491"/>
      <c r="AQ491"/>
      <c r="AY491"/>
      <c r="AZ491"/>
      <c r="BA491"/>
      <c r="BK491"/>
      <c r="BS491"/>
      <c r="BT491"/>
      <c r="BU491"/>
      <c r="CC491"/>
      <c r="CD491"/>
      <c r="CE491"/>
    </row>
    <row r="492" spans="8:83">
      <c r="H492"/>
      <c r="I492"/>
      <c r="J492"/>
      <c r="U492"/>
      <c r="V492"/>
      <c r="W492"/>
      <c r="AE492"/>
      <c r="AF492"/>
      <c r="AG492"/>
      <c r="AO492"/>
      <c r="AP492"/>
      <c r="AQ492"/>
      <c r="AY492"/>
      <c r="AZ492"/>
      <c r="BA492"/>
      <c r="BK492"/>
      <c r="BS492"/>
      <c r="BT492"/>
      <c r="BU492"/>
      <c r="CC492"/>
      <c r="CD492"/>
      <c r="CE492"/>
    </row>
    <row r="493" spans="8:83">
      <c r="H493"/>
      <c r="I493"/>
      <c r="J493"/>
      <c r="U493"/>
      <c r="V493"/>
      <c r="W493"/>
      <c r="AE493"/>
      <c r="AF493"/>
      <c r="AG493"/>
      <c r="AO493"/>
      <c r="AP493"/>
      <c r="AQ493"/>
      <c r="AY493"/>
      <c r="AZ493"/>
      <c r="BA493"/>
      <c r="BK493"/>
      <c r="BS493"/>
      <c r="BT493"/>
      <c r="BU493"/>
      <c r="CC493"/>
      <c r="CD493"/>
      <c r="CE493"/>
    </row>
    <row r="494" spans="8:83">
      <c r="H494"/>
      <c r="I494"/>
      <c r="J494"/>
      <c r="U494"/>
      <c r="V494"/>
      <c r="W494"/>
      <c r="AE494"/>
      <c r="AF494"/>
      <c r="AG494"/>
      <c r="AO494"/>
      <c r="AP494"/>
      <c r="AQ494"/>
      <c r="AY494"/>
      <c r="AZ494"/>
      <c r="BA494"/>
      <c r="BK494"/>
      <c r="BS494"/>
      <c r="BT494"/>
      <c r="BU494"/>
      <c r="CC494"/>
      <c r="CD494"/>
      <c r="CE494"/>
    </row>
    <row r="495" spans="8:83">
      <c r="H495"/>
      <c r="I495"/>
      <c r="J495"/>
      <c r="U495"/>
      <c r="V495"/>
      <c r="W495"/>
      <c r="AE495"/>
      <c r="AF495"/>
      <c r="AG495"/>
      <c r="AO495"/>
      <c r="AP495"/>
      <c r="AQ495"/>
      <c r="AY495"/>
      <c r="AZ495"/>
      <c r="BA495"/>
      <c r="BK495"/>
      <c r="BS495"/>
      <c r="BT495"/>
      <c r="BU495"/>
      <c r="CC495"/>
      <c r="CD495"/>
      <c r="CE495"/>
    </row>
    <row r="496" spans="8:83">
      <c r="H496"/>
      <c r="I496"/>
      <c r="J496"/>
      <c r="U496"/>
      <c r="V496"/>
      <c r="W496"/>
      <c r="AE496"/>
      <c r="AF496"/>
      <c r="AG496"/>
      <c r="AO496"/>
      <c r="AP496"/>
      <c r="AQ496"/>
      <c r="AY496"/>
      <c r="AZ496"/>
      <c r="BA496"/>
      <c r="BK496"/>
      <c r="BS496"/>
      <c r="BT496"/>
      <c r="BU496"/>
      <c r="CC496"/>
      <c r="CD496"/>
      <c r="CE496"/>
    </row>
    <row r="497" spans="8:83">
      <c r="H497"/>
      <c r="I497"/>
      <c r="J497"/>
      <c r="U497"/>
      <c r="V497"/>
      <c r="W497"/>
      <c r="AE497"/>
      <c r="AF497"/>
      <c r="AG497"/>
      <c r="AO497"/>
      <c r="AP497"/>
      <c r="AQ497"/>
      <c r="AY497"/>
      <c r="AZ497"/>
      <c r="BA497"/>
      <c r="BK497"/>
      <c r="BS497"/>
      <c r="BT497"/>
      <c r="BU497"/>
      <c r="CC497"/>
      <c r="CD497"/>
      <c r="CE497"/>
    </row>
    <row r="498" spans="8:83">
      <c r="H498"/>
      <c r="I498"/>
      <c r="J498"/>
      <c r="U498"/>
      <c r="V498"/>
      <c r="W498"/>
      <c r="AE498"/>
      <c r="AF498"/>
      <c r="AG498"/>
      <c r="AO498"/>
      <c r="AP498"/>
      <c r="AQ498"/>
      <c r="AY498"/>
      <c r="AZ498"/>
      <c r="BA498"/>
      <c r="BK498"/>
      <c r="BS498"/>
      <c r="BT498"/>
      <c r="BU498"/>
      <c r="CC498"/>
      <c r="CD498"/>
      <c r="CE498"/>
    </row>
    <row r="499" spans="8:83">
      <c r="H499"/>
      <c r="I499"/>
      <c r="J499"/>
      <c r="U499"/>
      <c r="V499"/>
      <c r="W499"/>
      <c r="AE499"/>
      <c r="AF499"/>
      <c r="AG499"/>
      <c r="AO499"/>
      <c r="AP499"/>
      <c r="AQ499"/>
      <c r="AY499"/>
      <c r="AZ499"/>
      <c r="BA499"/>
      <c r="BK499"/>
      <c r="BS499"/>
      <c r="BT499"/>
      <c r="BU499"/>
      <c r="CC499"/>
      <c r="CD499"/>
      <c r="CE499"/>
    </row>
    <row r="500" spans="8:83">
      <c r="H500"/>
      <c r="I500"/>
      <c r="J500"/>
      <c r="U500"/>
      <c r="V500"/>
      <c r="W500"/>
      <c r="AE500"/>
      <c r="AF500"/>
      <c r="AG500"/>
      <c r="AO500"/>
      <c r="AP500"/>
      <c r="AQ500"/>
      <c r="AY500"/>
      <c r="AZ500"/>
      <c r="BA500"/>
      <c r="BK500"/>
      <c r="BS500"/>
      <c r="BT500"/>
      <c r="BU500"/>
      <c r="CC500"/>
      <c r="CD500"/>
      <c r="CE500"/>
    </row>
    <row r="501" spans="8:83">
      <c r="H501"/>
      <c r="I501"/>
      <c r="J501"/>
      <c r="U501"/>
      <c r="V501"/>
      <c r="W501"/>
      <c r="AE501"/>
      <c r="AF501"/>
      <c r="AG501"/>
      <c r="AO501"/>
      <c r="AP501"/>
      <c r="AQ501"/>
      <c r="AY501"/>
      <c r="AZ501"/>
      <c r="BA501"/>
      <c r="BI501"/>
      <c r="BJ501"/>
      <c r="BK501"/>
      <c r="BS501"/>
      <c r="BT501"/>
      <c r="BU501"/>
      <c r="CC501"/>
      <c r="CD501"/>
      <c r="CE501"/>
    </row>
    <row r="502" spans="8:83">
      <c r="H502"/>
      <c r="I502"/>
      <c r="J502"/>
      <c r="U502"/>
      <c r="V502"/>
      <c r="W502"/>
      <c r="AE502"/>
      <c r="AF502"/>
      <c r="AG502"/>
      <c r="AO502"/>
      <c r="AP502"/>
      <c r="AQ502"/>
      <c r="AY502"/>
      <c r="AZ502"/>
      <c r="BA502"/>
      <c r="BI502"/>
      <c r="BJ502"/>
      <c r="BK502"/>
      <c r="BS502"/>
      <c r="BT502"/>
      <c r="BU502"/>
      <c r="CC502"/>
      <c r="CD502"/>
      <c r="CE502"/>
    </row>
    <row r="503" spans="8:83">
      <c r="H503"/>
      <c r="I503"/>
      <c r="J503"/>
      <c r="U503"/>
      <c r="V503"/>
      <c r="W503"/>
      <c r="AE503"/>
      <c r="AF503"/>
      <c r="AG503"/>
      <c r="AO503"/>
      <c r="AP503"/>
      <c r="AQ503"/>
      <c r="AY503"/>
      <c r="AZ503"/>
      <c r="BA503"/>
      <c r="BI503"/>
      <c r="BJ503"/>
      <c r="BK503"/>
      <c r="BS503"/>
      <c r="BT503"/>
      <c r="BU503"/>
      <c r="CC503"/>
      <c r="CD503"/>
      <c r="CE503"/>
    </row>
    <row r="504" spans="8:83">
      <c r="H504"/>
      <c r="I504"/>
      <c r="J504"/>
      <c r="U504"/>
      <c r="V504"/>
      <c r="W504"/>
      <c r="AE504"/>
      <c r="AF504"/>
      <c r="AG504"/>
      <c r="AO504"/>
      <c r="AP504"/>
      <c r="AQ504"/>
      <c r="AY504"/>
      <c r="AZ504"/>
      <c r="BA504"/>
      <c r="BI504"/>
      <c r="BJ504"/>
      <c r="BK504"/>
      <c r="BS504"/>
      <c r="BT504"/>
      <c r="BU504"/>
      <c r="CC504"/>
      <c r="CD504"/>
      <c r="CE504"/>
    </row>
    <row r="505" spans="8:83">
      <c r="H505"/>
      <c r="I505"/>
      <c r="J505"/>
      <c r="U505"/>
      <c r="V505"/>
      <c r="W505"/>
      <c r="AE505"/>
      <c r="AF505"/>
      <c r="AG505"/>
      <c r="AO505"/>
      <c r="AP505"/>
      <c r="AQ505"/>
      <c r="AY505"/>
      <c r="AZ505"/>
      <c r="BA505"/>
      <c r="BI505"/>
      <c r="BJ505"/>
      <c r="BK505"/>
      <c r="BS505"/>
      <c r="BT505"/>
      <c r="BU505"/>
      <c r="CC505"/>
      <c r="CD505"/>
      <c r="CE505"/>
    </row>
    <row r="506" spans="8:83">
      <c r="H506"/>
      <c r="I506"/>
      <c r="J506"/>
      <c r="U506"/>
      <c r="V506"/>
      <c r="W506"/>
      <c r="AE506"/>
      <c r="AF506"/>
      <c r="AG506"/>
      <c r="AO506"/>
      <c r="AP506"/>
      <c r="AQ506"/>
      <c r="AY506"/>
      <c r="AZ506"/>
      <c r="BA506"/>
      <c r="BI506"/>
      <c r="BJ506"/>
      <c r="BK506"/>
      <c r="BS506"/>
      <c r="BT506"/>
      <c r="BU506"/>
      <c r="CC506"/>
      <c r="CD506"/>
      <c r="CE506"/>
    </row>
    <row r="507" spans="8:83">
      <c r="H507"/>
      <c r="I507"/>
      <c r="J507"/>
      <c r="U507"/>
      <c r="V507"/>
      <c r="W507"/>
      <c r="AE507"/>
      <c r="AF507"/>
      <c r="AG507"/>
      <c r="AO507"/>
      <c r="AP507"/>
      <c r="AQ507"/>
      <c r="AY507"/>
      <c r="AZ507"/>
      <c r="BA507"/>
      <c r="BI507"/>
      <c r="BJ507"/>
      <c r="BK507"/>
      <c r="BS507"/>
      <c r="BT507"/>
      <c r="BU507"/>
      <c r="CC507"/>
      <c r="CD507"/>
      <c r="CE507"/>
    </row>
    <row r="508" spans="8:83">
      <c r="H508"/>
      <c r="I508"/>
      <c r="J508"/>
      <c r="U508"/>
      <c r="V508"/>
      <c r="W508"/>
      <c r="AE508"/>
      <c r="AF508"/>
      <c r="AG508"/>
      <c r="AO508"/>
      <c r="AP508"/>
      <c r="AQ508"/>
      <c r="AY508"/>
      <c r="AZ508"/>
      <c r="BA508"/>
      <c r="BI508"/>
      <c r="BJ508"/>
      <c r="BK508"/>
      <c r="BS508"/>
      <c r="BT508"/>
      <c r="BU508"/>
      <c r="CC508"/>
      <c r="CD508"/>
      <c r="CE508"/>
    </row>
    <row r="509" spans="8:83">
      <c r="H509"/>
      <c r="I509"/>
      <c r="J509"/>
      <c r="U509"/>
      <c r="V509"/>
      <c r="W509"/>
      <c r="AE509"/>
      <c r="AF509"/>
      <c r="AG509"/>
      <c r="AO509"/>
      <c r="AP509"/>
      <c r="AQ509"/>
      <c r="AY509"/>
      <c r="AZ509"/>
      <c r="BA509"/>
      <c r="BI509"/>
      <c r="BJ509"/>
      <c r="BK509"/>
      <c r="BS509"/>
      <c r="BT509"/>
      <c r="BU509"/>
      <c r="CC509"/>
      <c r="CD509"/>
      <c r="CE509"/>
    </row>
    <row r="510" spans="8:83">
      <c r="H510"/>
      <c r="I510"/>
      <c r="J510"/>
      <c r="U510"/>
      <c r="V510"/>
      <c r="W510"/>
      <c r="AE510"/>
      <c r="AF510"/>
      <c r="AG510"/>
      <c r="AO510"/>
      <c r="AP510"/>
      <c r="AQ510"/>
      <c r="AY510"/>
      <c r="AZ510"/>
      <c r="BA510"/>
      <c r="BI510"/>
      <c r="BJ510"/>
      <c r="BK510"/>
      <c r="BS510"/>
      <c r="BT510"/>
      <c r="BU510"/>
      <c r="CC510"/>
      <c r="CD510"/>
      <c r="CE510"/>
    </row>
    <row r="511" spans="8:83">
      <c r="H511"/>
      <c r="I511"/>
      <c r="J511"/>
      <c r="U511"/>
      <c r="V511"/>
      <c r="W511"/>
      <c r="AE511"/>
      <c r="AF511"/>
      <c r="AG511"/>
      <c r="AO511"/>
      <c r="AP511"/>
      <c r="AQ511"/>
      <c r="AY511"/>
      <c r="AZ511"/>
      <c r="BA511"/>
      <c r="BI511"/>
      <c r="BJ511"/>
      <c r="BK511"/>
      <c r="BS511"/>
      <c r="BT511"/>
      <c r="BU511"/>
      <c r="CC511"/>
      <c r="CD511"/>
      <c r="CE511"/>
    </row>
    <row r="512" spans="8:83">
      <c r="H512"/>
      <c r="I512"/>
      <c r="J512"/>
      <c r="U512"/>
      <c r="V512"/>
      <c r="W512"/>
      <c r="AE512"/>
      <c r="AF512"/>
      <c r="AG512"/>
      <c r="AO512"/>
      <c r="AP512"/>
      <c r="AQ512"/>
      <c r="AY512"/>
      <c r="AZ512"/>
      <c r="BA512"/>
      <c r="BI512"/>
      <c r="BJ512"/>
      <c r="BK512"/>
      <c r="BS512"/>
      <c r="BT512"/>
      <c r="BU512"/>
      <c r="CC512"/>
      <c r="CD512"/>
      <c r="CE512"/>
    </row>
    <row r="513" spans="8:83">
      <c r="H513"/>
      <c r="I513"/>
      <c r="J513"/>
      <c r="U513"/>
      <c r="V513"/>
      <c r="W513"/>
      <c r="AE513"/>
      <c r="AF513"/>
      <c r="AG513"/>
      <c r="AO513"/>
      <c r="AP513"/>
      <c r="AQ513"/>
      <c r="AY513"/>
      <c r="AZ513"/>
      <c r="BA513"/>
      <c r="BI513"/>
      <c r="BJ513"/>
      <c r="BK513"/>
      <c r="BS513"/>
      <c r="BT513"/>
      <c r="BU513"/>
      <c r="CC513"/>
      <c r="CD513"/>
      <c r="CE513"/>
    </row>
    <row r="514" spans="8:83">
      <c r="H514"/>
      <c r="I514"/>
      <c r="J514"/>
      <c r="U514"/>
      <c r="V514"/>
      <c r="W514"/>
      <c r="AE514"/>
      <c r="AF514"/>
      <c r="AG514"/>
      <c r="AO514"/>
      <c r="AP514"/>
      <c r="AQ514"/>
      <c r="AY514"/>
      <c r="AZ514"/>
      <c r="BA514"/>
      <c r="BI514"/>
      <c r="BJ514"/>
      <c r="BK514"/>
      <c r="BS514"/>
      <c r="BT514"/>
      <c r="BU514"/>
      <c r="CC514"/>
      <c r="CD514"/>
      <c r="CE514"/>
    </row>
    <row r="515" spans="8:83">
      <c r="H515"/>
      <c r="I515"/>
      <c r="J515"/>
      <c r="U515"/>
      <c r="V515"/>
      <c r="W515"/>
      <c r="AE515"/>
      <c r="AF515"/>
      <c r="AG515"/>
      <c r="AO515"/>
      <c r="AP515"/>
      <c r="AQ515"/>
      <c r="AY515"/>
      <c r="AZ515"/>
      <c r="BA515"/>
      <c r="BI515"/>
      <c r="BJ515"/>
      <c r="BK515"/>
      <c r="BS515"/>
      <c r="BT515"/>
      <c r="BU515"/>
      <c r="CC515"/>
      <c r="CD515"/>
      <c r="CE515"/>
    </row>
    <row r="516" spans="8:83">
      <c r="H516"/>
      <c r="I516"/>
      <c r="J516"/>
      <c r="U516"/>
      <c r="V516"/>
      <c r="W516"/>
      <c r="AE516"/>
      <c r="AF516"/>
      <c r="AG516"/>
      <c r="AO516"/>
      <c r="AP516"/>
      <c r="AQ516"/>
      <c r="AY516"/>
      <c r="AZ516"/>
      <c r="BA516"/>
      <c r="BI516"/>
      <c r="BJ516"/>
      <c r="BK516"/>
      <c r="BS516"/>
      <c r="BT516"/>
      <c r="BU516"/>
      <c r="CC516"/>
      <c r="CD516"/>
      <c r="CE516"/>
    </row>
    <row r="517" spans="8:83">
      <c r="H517"/>
      <c r="I517"/>
      <c r="J517"/>
      <c r="U517"/>
      <c r="V517"/>
      <c r="W517"/>
      <c r="AE517"/>
      <c r="AF517"/>
      <c r="AG517"/>
      <c r="AO517"/>
      <c r="AP517"/>
      <c r="AQ517"/>
      <c r="AY517"/>
      <c r="AZ517"/>
      <c r="BA517"/>
      <c r="BI517"/>
      <c r="BJ517"/>
      <c r="BK517"/>
      <c r="BS517"/>
      <c r="BT517"/>
      <c r="BU517"/>
      <c r="CC517"/>
      <c r="CD517"/>
      <c r="CE517"/>
    </row>
    <row r="518" spans="8:83">
      <c r="H518"/>
      <c r="I518"/>
      <c r="J518"/>
      <c r="U518"/>
      <c r="V518"/>
      <c r="W518"/>
      <c r="AE518"/>
      <c r="AF518"/>
      <c r="AG518"/>
      <c r="AO518"/>
      <c r="AP518"/>
      <c r="AQ518"/>
      <c r="AY518"/>
      <c r="AZ518"/>
      <c r="BA518"/>
      <c r="BI518"/>
      <c r="BJ518"/>
      <c r="BK518"/>
      <c r="BS518"/>
      <c r="BT518"/>
      <c r="BU518"/>
      <c r="CC518"/>
      <c r="CD518"/>
      <c r="CE518"/>
    </row>
    <row r="519" spans="8:83">
      <c r="H519"/>
      <c r="I519"/>
      <c r="J519"/>
      <c r="U519"/>
      <c r="V519"/>
      <c r="W519"/>
      <c r="AE519"/>
      <c r="AF519"/>
      <c r="AG519"/>
      <c r="AO519"/>
      <c r="AP519"/>
      <c r="AQ519"/>
      <c r="AY519"/>
      <c r="AZ519"/>
      <c r="BA519"/>
      <c r="BI519"/>
      <c r="BJ519"/>
      <c r="BK519"/>
      <c r="BS519"/>
      <c r="BT519"/>
      <c r="BU519"/>
      <c r="CC519"/>
      <c r="CD519"/>
      <c r="CE519"/>
    </row>
    <row r="520" spans="8:83">
      <c r="H520"/>
      <c r="I520"/>
      <c r="J520"/>
      <c r="U520"/>
      <c r="V520"/>
      <c r="W520"/>
      <c r="AE520"/>
      <c r="AF520"/>
      <c r="AG520"/>
      <c r="AO520"/>
      <c r="AP520"/>
      <c r="AQ520"/>
      <c r="AY520"/>
      <c r="AZ520"/>
      <c r="BA520"/>
      <c r="BI520"/>
      <c r="BJ520"/>
      <c r="BK520"/>
      <c r="BS520"/>
      <c r="BT520"/>
      <c r="BU520"/>
      <c r="CC520"/>
      <c r="CD520"/>
      <c r="CE520"/>
    </row>
    <row r="521" spans="8:83">
      <c r="H521"/>
      <c r="I521"/>
      <c r="J521"/>
      <c r="U521"/>
      <c r="V521"/>
      <c r="W521"/>
      <c r="AE521"/>
      <c r="AF521"/>
      <c r="AG521"/>
      <c r="AO521"/>
      <c r="AP521"/>
      <c r="AQ521"/>
      <c r="AY521"/>
      <c r="AZ521"/>
      <c r="BA521"/>
      <c r="BI521"/>
      <c r="BJ521"/>
      <c r="BK521"/>
      <c r="BS521"/>
      <c r="BT521"/>
      <c r="BU521"/>
      <c r="CC521"/>
      <c r="CD521"/>
      <c r="CE521"/>
    </row>
    <row r="522" spans="8:83">
      <c r="H522"/>
      <c r="I522"/>
      <c r="J522"/>
      <c r="U522"/>
      <c r="V522"/>
      <c r="W522"/>
      <c r="AE522"/>
      <c r="AF522"/>
      <c r="AG522"/>
      <c r="AO522"/>
      <c r="AP522"/>
      <c r="AQ522"/>
      <c r="AY522"/>
      <c r="AZ522"/>
      <c r="BA522"/>
      <c r="BI522"/>
      <c r="BJ522"/>
      <c r="BK522"/>
      <c r="BS522"/>
      <c r="BT522"/>
      <c r="BU522"/>
      <c r="CC522"/>
      <c r="CD522"/>
      <c r="CE522"/>
    </row>
    <row r="523" spans="8:83">
      <c r="H523"/>
      <c r="I523"/>
      <c r="J523"/>
      <c r="U523"/>
      <c r="V523"/>
      <c r="W523"/>
      <c r="AE523"/>
      <c r="AF523"/>
      <c r="AG523"/>
      <c r="AO523"/>
      <c r="AP523"/>
      <c r="AQ523"/>
      <c r="AY523"/>
      <c r="AZ523"/>
      <c r="BA523"/>
      <c r="BI523"/>
      <c r="BJ523"/>
      <c r="BK523"/>
      <c r="BS523"/>
      <c r="BT523"/>
      <c r="BU523"/>
      <c r="CC523"/>
      <c r="CD523"/>
      <c r="CE523"/>
    </row>
    <row r="524" spans="8:83">
      <c r="H524"/>
      <c r="I524"/>
      <c r="J524"/>
      <c r="U524"/>
      <c r="V524"/>
      <c r="W524"/>
      <c r="AE524"/>
      <c r="AF524"/>
      <c r="AG524"/>
      <c r="AO524"/>
      <c r="AP524"/>
      <c r="AQ524"/>
      <c r="AY524"/>
      <c r="AZ524"/>
      <c r="BA524"/>
      <c r="BI524"/>
      <c r="BJ524"/>
      <c r="BK524"/>
      <c r="BS524"/>
      <c r="BT524"/>
      <c r="BU524"/>
      <c r="CC524"/>
      <c r="CD524"/>
      <c r="CE524"/>
    </row>
    <row r="525" spans="8:83">
      <c r="H525"/>
      <c r="I525"/>
      <c r="J525"/>
      <c r="U525"/>
      <c r="V525"/>
      <c r="W525"/>
      <c r="AE525"/>
      <c r="AF525"/>
      <c r="AG525"/>
      <c r="AO525"/>
      <c r="AP525"/>
      <c r="AQ525"/>
      <c r="AY525"/>
      <c r="AZ525"/>
      <c r="BA525"/>
      <c r="BI525"/>
      <c r="BJ525"/>
      <c r="BK525"/>
      <c r="BS525"/>
      <c r="BT525"/>
      <c r="BU525"/>
      <c r="CC525"/>
      <c r="CD525"/>
      <c r="CE525"/>
    </row>
    <row r="526" spans="8:83">
      <c r="H526"/>
      <c r="I526"/>
      <c r="J526"/>
      <c r="U526"/>
      <c r="V526"/>
      <c r="W526"/>
      <c r="AE526"/>
      <c r="AF526"/>
      <c r="AG526"/>
      <c r="AO526"/>
      <c r="AP526"/>
      <c r="AQ526"/>
      <c r="AY526"/>
      <c r="AZ526"/>
      <c r="BA526"/>
      <c r="BI526"/>
      <c r="BJ526"/>
      <c r="BK526"/>
      <c r="BS526"/>
      <c r="BT526"/>
      <c r="BU526"/>
      <c r="CC526"/>
      <c r="CD526"/>
      <c r="CE526"/>
    </row>
    <row r="527" spans="8:83">
      <c r="H527"/>
      <c r="I527"/>
      <c r="J527"/>
      <c r="U527"/>
      <c r="V527"/>
      <c r="W527"/>
      <c r="AE527"/>
      <c r="AF527"/>
      <c r="AG527"/>
      <c r="AO527"/>
      <c r="AP527"/>
      <c r="AQ527"/>
      <c r="AY527"/>
      <c r="AZ527"/>
      <c r="BA527"/>
      <c r="BI527"/>
      <c r="BJ527"/>
      <c r="BK527"/>
      <c r="BS527"/>
      <c r="BT527"/>
      <c r="BU527"/>
      <c r="CC527"/>
      <c r="CD527"/>
      <c r="CE527"/>
    </row>
    <row r="528" spans="8:83">
      <c r="H528"/>
      <c r="I528"/>
      <c r="J528"/>
      <c r="U528"/>
      <c r="V528"/>
      <c r="W528"/>
      <c r="AE528"/>
      <c r="AF528"/>
      <c r="AG528"/>
      <c r="AO528"/>
      <c r="AP528"/>
      <c r="AQ528"/>
      <c r="AY528"/>
      <c r="AZ528"/>
      <c r="BA528"/>
      <c r="BI528"/>
      <c r="BJ528"/>
      <c r="BK528"/>
      <c r="BS528"/>
      <c r="BT528"/>
      <c r="BU528"/>
      <c r="CC528"/>
      <c r="CD528"/>
      <c r="CE528"/>
    </row>
    <row r="529" spans="8:83">
      <c r="H529"/>
      <c r="I529"/>
      <c r="J529"/>
      <c r="U529"/>
      <c r="V529"/>
      <c r="W529"/>
      <c r="AE529"/>
      <c r="AF529"/>
      <c r="AG529"/>
      <c r="AO529"/>
      <c r="AP529"/>
      <c r="AQ529"/>
      <c r="AY529"/>
      <c r="AZ529"/>
      <c r="BA529"/>
      <c r="BI529"/>
      <c r="BJ529"/>
      <c r="BK529"/>
      <c r="BS529"/>
      <c r="BT529"/>
      <c r="BU529"/>
      <c r="CC529"/>
      <c r="CD529"/>
      <c r="CE529"/>
    </row>
    <row r="530" spans="8:83">
      <c r="H530"/>
      <c r="I530"/>
      <c r="J530"/>
      <c r="U530"/>
      <c r="V530"/>
      <c r="W530"/>
      <c r="AE530"/>
      <c r="AF530"/>
      <c r="AG530"/>
      <c r="AO530"/>
      <c r="AP530"/>
      <c r="AQ530"/>
      <c r="AY530"/>
      <c r="AZ530"/>
      <c r="BA530"/>
      <c r="BI530"/>
      <c r="BJ530"/>
      <c r="BK530"/>
      <c r="BS530"/>
      <c r="BT530"/>
      <c r="BU530"/>
      <c r="CC530"/>
      <c r="CD530"/>
      <c r="CE530"/>
    </row>
    <row r="531" spans="8:83">
      <c r="H531"/>
      <c r="I531"/>
      <c r="J531"/>
      <c r="U531"/>
      <c r="V531"/>
      <c r="W531"/>
      <c r="AE531"/>
      <c r="AF531"/>
      <c r="AG531"/>
      <c r="AO531"/>
      <c r="AP531"/>
      <c r="AQ531"/>
      <c r="AY531"/>
      <c r="AZ531"/>
      <c r="BA531"/>
      <c r="BI531"/>
      <c r="BJ531"/>
      <c r="BK531"/>
      <c r="BS531"/>
      <c r="BT531"/>
      <c r="BU531"/>
      <c r="CC531"/>
      <c r="CD531"/>
      <c r="CE531"/>
    </row>
    <row r="532" spans="8:83">
      <c r="H532"/>
      <c r="I532"/>
      <c r="J532"/>
      <c r="U532"/>
      <c r="V532"/>
      <c r="W532"/>
      <c r="AE532"/>
      <c r="AF532"/>
      <c r="AG532"/>
      <c r="AO532"/>
      <c r="AP532"/>
      <c r="AQ532"/>
      <c r="AY532"/>
      <c r="AZ532"/>
      <c r="BA532"/>
      <c r="BI532"/>
      <c r="BJ532"/>
      <c r="BK532"/>
      <c r="BS532"/>
      <c r="BT532"/>
      <c r="BU532"/>
      <c r="CC532"/>
      <c r="CD532"/>
      <c r="CE532"/>
    </row>
    <row r="533" spans="8:83">
      <c r="H533"/>
      <c r="I533"/>
      <c r="J533"/>
      <c r="U533"/>
      <c r="V533"/>
      <c r="W533"/>
      <c r="AE533"/>
      <c r="AF533"/>
      <c r="AG533"/>
      <c r="AO533"/>
      <c r="AP533"/>
      <c r="AQ533"/>
      <c r="AY533"/>
      <c r="AZ533"/>
      <c r="BA533"/>
      <c r="BI533"/>
      <c r="BJ533"/>
      <c r="BK533"/>
      <c r="BS533"/>
      <c r="BT533"/>
      <c r="BU533"/>
      <c r="CC533"/>
      <c r="CD533"/>
      <c r="CE533"/>
    </row>
    <row r="534" spans="8:83">
      <c r="H534"/>
      <c r="I534"/>
      <c r="J534"/>
      <c r="U534"/>
      <c r="V534"/>
      <c r="W534"/>
      <c r="AE534"/>
      <c r="AF534"/>
      <c r="AG534"/>
      <c r="AO534"/>
      <c r="AP534"/>
      <c r="AQ534"/>
      <c r="AY534"/>
      <c r="AZ534"/>
      <c r="BA534"/>
      <c r="BI534"/>
      <c r="BJ534"/>
      <c r="BK534"/>
      <c r="BS534"/>
      <c r="BT534"/>
      <c r="BU534"/>
      <c r="CC534"/>
      <c r="CD534"/>
      <c r="CE534"/>
    </row>
    <row r="535" spans="8:83">
      <c r="H535"/>
      <c r="I535"/>
      <c r="J535"/>
      <c r="U535"/>
      <c r="V535"/>
      <c r="W535"/>
      <c r="AE535"/>
      <c r="AF535"/>
      <c r="AG535"/>
      <c r="AO535"/>
      <c r="AP535"/>
      <c r="AQ535"/>
      <c r="AY535"/>
      <c r="AZ535"/>
      <c r="BA535"/>
      <c r="BI535"/>
      <c r="BJ535"/>
      <c r="BK535"/>
      <c r="BS535"/>
      <c r="BT535"/>
      <c r="BU535"/>
      <c r="CC535"/>
      <c r="CD535"/>
      <c r="CE535"/>
    </row>
    <row r="536" spans="8:83">
      <c r="H536"/>
      <c r="I536"/>
      <c r="J536"/>
      <c r="U536"/>
      <c r="V536"/>
      <c r="W536"/>
      <c r="AE536"/>
      <c r="AF536"/>
      <c r="AG536"/>
      <c r="AO536"/>
      <c r="AP536"/>
      <c r="AQ536"/>
      <c r="AY536"/>
      <c r="AZ536"/>
      <c r="BA536"/>
      <c r="BI536"/>
      <c r="BJ536"/>
      <c r="BK536"/>
      <c r="BS536"/>
      <c r="BT536"/>
      <c r="BU536"/>
      <c r="CC536"/>
      <c r="CD536"/>
      <c r="CE536"/>
    </row>
    <row r="537" spans="8:83">
      <c r="H537"/>
      <c r="I537"/>
      <c r="J537"/>
      <c r="U537"/>
      <c r="V537"/>
      <c r="W537"/>
      <c r="AE537"/>
      <c r="AF537"/>
      <c r="AG537"/>
      <c r="AO537"/>
      <c r="AP537"/>
      <c r="AQ537"/>
      <c r="AY537"/>
      <c r="AZ537"/>
      <c r="BA537"/>
      <c r="BI537"/>
      <c r="BJ537"/>
      <c r="BK537"/>
      <c r="BS537"/>
      <c r="BT537"/>
      <c r="BU537"/>
      <c r="CC537"/>
      <c r="CD537"/>
      <c r="CE537"/>
    </row>
    <row r="538" spans="8:83">
      <c r="H538"/>
      <c r="I538"/>
      <c r="J538"/>
      <c r="U538"/>
      <c r="V538"/>
      <c r="W538"/>
      <c r="AE538"/>
      <c r="AF538"/>
      <c r="AG538"/>
      <c r="AO538"/>
      <c r="AP538"/>
      <c r="AQ538"/>
      <c r="AY538"/>
      <c r="AZ538"/>
      <c r="BA538"/>
      <c r="BI538"/>
      <c r="BJ538"/>
      <c r="BK538"/>
      <c r="BS538"/>
      <c r="BT538"/>
      <c r="BU538"/>
      <c r="CC538"/>
      <c r="CD538"/>
      <c r="CE538"/>
    </row>
    <row r="539" spans="8:83">
      <c r="H539"/>
      <c r="I539"/>
      <c r="J539"/>
      <c r="U539"/>
      <c r="V539"/>
      <c r="W539"/>
      <c r="AE539"/>
      <c r="AF539"/>
      <c r="AG539"/>
      <c r="AO539"/>
      <c r="AP539"/>
      <c r="AQ539"/>
      <c r="AY539"/>
      <c r="AZ539"/>
      <c r="BA539"/>
      <c r="BI539"/>
      <c r="BJ539"/>
      <c r="BK539"/>
      <c r="BS539"/>
      <c r="BT539"/>
      <c r="BU539"/>
      <c r="CC539"/>
      <c r="CD539"/>
      <c r="CE539"/>
    </row>
    <row r="540" spans="8:83">
      <c r="H540"/>
      <c r="I540"/>
      <c r="J540"/>
      <c r="U540"/>
      <c r="V540"/>
      <c r="W540"/>
      <c r="AE540"/>
      <c r="AF540"/>
      <c r="AG540"/>
      <c r="AO540"/>
      <c r="AP540"/>
      <c r="AQ540"/>
      <c r="AY540"/>
      <c r="AZ540"/>
      <c r="BA540"/>
      <c r="BI540"/>
      <c r="BJ540"/>
      <c r="BK540"/>
      <c r="BS540"/>
      <c r="BT540"/>
      <c r="BU540"/>
      <c r="CC540"/>
      <c r="CD540"/>
      <c r="CE540"/>
    </row>
    <row r="541" spans="8:83">
      <c r="H541"/>
      <c r="I541"/>
      <c r="J541"/>
      <c r="U541"/>
      <c r="V541"/>
      <c r="W541"/>
      <c r="AE541"/>
      <c r="AF541"/>
      <c r="AG541"/>
      <c r="AO541"/>
      <c r="AP541"/>
      <c r="AQ541"/>
      <c r="AY541"/>
      <c r="AZ541"/>
      <c r="BA541"/>
      <c r="BI541"/>
      <c r="BJ541"/>
      <c r="BK541"/>
      <c r="BS541"/>
      <c r="BT541"/>
      <c r="BU541"/>
      <c r="CC541"/>
      <c r="CD541"/>
      <c r="CE541"/>
    </row>
    <row r="542" spans="8:83">
      <c r="H542"/>
      <c r="I542"/>
      <c r="J542"/>
      <c r="U542"/>
      <c r="V542"/>
      <c r="W542"/>
      <c r="AE542"/>
      <c r="AF542"/>
      <c r="AG542"/>
      <c r="AO542"/>
      <c r="AP542"/>
      <c r="AQ542"/>
      <c r="AY542"/>
      <c r="AZ542"/>
      <c r="BA542"/>
      <c r="BI542"/>
      <c r="BJ542"/>
      <c r="BK542"/>
      <c r="BS542"/>
      <c r="BT542"/>
      <c r="BU542"/>
      <c r="CC542"/>
      <c r="CD542"/>
      <c r="CE542"/>
    </row>
    <row r="543" spans="8:83">
      <c r="H543"/>
      <c r="I543"/>
      <c r="J543"/>
      <c r="U543"/>
      <c r="V543"/>
      <c r="W543"/>
      <c r="AE543"/>
      <c r="AF543"/>
      <c r="AG543"/>
      <c r="AO543"/>
      <c r="AP543"/>
      <c r="AQ543"/>
      <c r="AY543"/>
      <c r="AZ543"/>
      <c r="BA543"/>
      <c r="BI543"/>
      <c r="BJ543"/>
      <c r="BK543"/>
      <c r="BS543"/>
      <c r="BT543"/>
      <c r="BU543"/>
      <c r="CC543"/>
      <c r="CD543"/>
      <c r="CE543"/>
    </row>
    <row r="544" spans="8:83">
      <c r="H544"/>
      <c r="I544"/>
      <c r="J544"/>
      <c r="U544"/>
      <c r="V544"/>
      <c r="W544"/>
      <c r="AE544"/>
      <c r="AF544"/>
      <c r="AG544"/>
      <c r="AO544"/>
      <c r="AP544"/>
      <c r="AQ544"/>
      <c r="AY544"/>
      <c r="AZ544"/>
      <c r="BA544"/>
      <c r="BI544"/>
      <c r="BJ544"/>
      <c r="BK544"/>
      <c r="BS544"/>
      <c r="BT544"/>
      <c r="BU544"/>
      <c r="CC544"/>
      <c r="CD544"/>
      <c r="CE544"/>
    </row>
    <row r="545" spans="8:83">
      <c r="H545"/>
      <c r="I545"/>
      <c r="J545"/>
      <c r="U545"/>
      <c r="V545"/>
      <c r="W545"/>
      <c r="AE545"/>
      <c r="AF545"/>
      <c r="AG545"/>
      <c r="AO545"/>
      <c r="AP545"/>
      <c r="AQ545"/>
      <c r="AY545"/>
      <c r="AZ545"/>
      <c r="BA545"/>
      <c r="BI545"/>
      <c r="BJ545"/>
      <c r="BK545"/>
      <c r="BS545"/>
      <c r="BT545"/>
      <c r="BU545"/>
      <c r="CC545"/>
      <c r="CD545"/>
      <c r="CE545"/>
    </row>
    <row r="546" spans="8:83">
      <c r="H546"/>
      <c r="I546"/>
      <c r="J546"/>
      <c r="U546"/>
      <c r="V546"/>
      <c r="W546"/>
      <c r="AE546"/>
      <c r="AF546"/>
      <c r="AG546"/>
      <c r="AO546"/>
      <c r="AP546"/>
      <c r="AQ546"/>
      <c r="AY546"/>
      <c r="AZ546"/>
      <c r="BA546"/>
      <c r="BI546"/>
      <c r="BJ546"/>
      <c r="BK546"/>
      <c r="BS546"/>
      <c r="BT546"/>
      <c r="BU546"/>
      <c r="CC546"/>
      <c r="CD546"/>
      <c r="CE546"/>
    </row>
    <row r="547" spans="8:83">
      <c r="H547"/>
      <c r="I547"/>
      <c r="J547"/>
      <c r="U547"/>
      <c r="V547"/>
      <c r="W547"/>
      <c r="AE547"/>
      <c r="AF547"/>
      <c r="AG547"/>
      <c r="AO547"/>
      <c r="AP547"/>
      <c r="AQ547"/>
      <c r="AY547"/>
      <c r="AZ547"/>
      <c r="BA547"/>
      <c r="BI547"/>
      <c r="BJ547"/>
      <c r="BK547"/>
      <c r="BS547"/>
      <c r="BT547"/>
      <c r="BU547"/>
      <c r="CC547"/>
      <c r="CD547"/>
      <c r="CE547"/>
    </row>
    <row r="548" spans="8:83">
      <c r="H548"/>
      <c r="I548"/>
      <c r="J548"/>
      <c r="U548"/>
      <c r="V548"/>
      <c r="W548"/>
      <c r="AE548"/>
      <c r="AF548"/>
      <c r="AG548"/>
      <c r="AO548"/>
      <c r="AP548"/>
      <c r="AQ548"/>
      <c r="AY548"/>
      <c r="AZ548"/>
      <c r="BA548"/>
      <c r="BI548"/>
      <c r="BJ548"/>
      <c r="BK548"/>
      <c r="BS548"/>
      <c r="BT548"/>
      <c r="BU548"/>
      <c r="CC548"/>
      <c r="CD548"/>
      <c r="CE548"/>
    </row>
    <row r="549" spans="8:83">
      <c r="H549"/>
      <c r="I549"/>
      <c r="J549"/>
      <c r="U549"/>
      <c r="V549"/>
      <c r="W549"/>
      <c r="AE549"/>
      <c r="AF549"/>
      <c r="AG549"/>
      <c r="AO549"/>
      <c r="AP549"/>
      <c r="AQ549"/>
      <c r="AY549"/>
      <c r="AZ549"/>
      <c r="BA549"/>
      <c r="BI549"/>
      <c r="BJ549"/>
      <c r="BK549"/>
      <c r="BS549"/>
      <c r="BT549"/>
      <c r="BU549"/>
      <c r="CC549"/>
      <c r="CD549"/>
      <c r="CE549"/>
    </row>
    <row r="550" spans="8:83">
      <c r="H550"/>
      <c r="I550"/>
      <c r="J550"/>
      <c r="U550"/>
      <c r="V550"/>
      <c r="W550"/>
      <c r="AE550"/>
      <c r="AF550"/>
      <c r="AG550"/>
      <c r="AO550"/>
      <c r="AP550"/>
      <c r="AQ550"/>
      <c r="AY550"/>
      <c r="AZ550"/>
      <c r="BA550"/>
      <c r="BI550"/>
      <c r="BJ550"/>
      <c r="BK550"/>
      <c r="BS550"/>
      <c r="BT550"/>
      <c r="BU550"/>
      <c r="CC550"/>
      <c r="CD550"/>
      <c r="CE550"/>
    </row>
    <row r="551" spans="8:83">
      <c r="H551"/>
      <c r="I551"/>
      <c r="J551"/>
      <c r="U551"/>
      <c r="V551"/>
      <c r="W551"/>
      <c r="AE551"/>
      <c r="AF551"/>
      <c r="AG551"/>
      <c r="AO551"/>
      <c r="AP551"/>
      <c r="AQ551"/>
      <c r="AY551"/>
      <c r="AZ551"/>
      <c r="BA551"/>
      <c r="BI551"/>
      <c r="BJ551"/>
      <c r="BK551"/>
      <c r="BS551"/>
      <c r="BT551"/>
      <c r="BU551"/>
      <c r="CC551"/>
      <c r="CD551"/>
      <c r="CE551"/>
    </row>
    <row r="552" spans="8:83">
      <c r="H552"/>
      <c r="I552"/>
      <c r="J552"/>
      <c r="U552"/>
      <c r="V552"/>
      <c r="W552"/>
      <c r="AE552"/>
      <c r="AF552"/>
      <c r="AG552"/>
      <c r="AO552"/>
      <c r="AP552"/>
      <c r="AQ552"/>
      <c r="AY552"/>
      <c r="AZ552"/>
      <c r="BA552"/>
      <c r="BI552"/>
      <c r="BJ552"/>
      <c r="BK552"/>
      <c r="BS552"/>
      <c r="BT552"/>
      <c r="BU552"/>
      <c r="CC552"/>
      <c r="CD552"/>
      <c r="CE552"/>
    </row>
    <row r="553" spans="8:83">
      <c r="H553"/>
      <c r="I553"/>
      <c r="J553"/>
      <c r="U553"/>
      <c r="V553"/>
      <c r="W553"/>
      <c r="AE553"/>
      <c r="AF553"/>
      <c r="AG553"/>
      <c r="AO553"/>
      <c r="AP553"/>
      <c r="AQ553"/>
      <c r="AY553"/>
      <c r="AZ553"/>
      <c r="BA553"/>
      <c r="BI553"/>
      <c r="BJ553"/>
      <c r="BK553"/>
      <c r="BS553"/>
      <c r="BT553"/>
      <c r="BU553"/>
      <c r="CC553"/>
      <c r="CD553"/>
      <c r="CE553"/>
    </row>
    <row r="554" spans="8:83">
      <c r="H554"/>
      <c r="I554"/>
      <c r="J554"/>
      <c r="U554"/>
      <c r="V554"/>
      <c r="W554"/>
      <c r="AE554"/>
      <c r="AF554"/>
      <c r="AG554"/>
      <c r="AO554"/>
      <c r="AP554"/>
      <c r="AQ554"/>
      <c r="AY554"/>
      <c r="AZ554"/>
      <c r="BA554"/>
      <c r="BI554"/>
      <c r="BJ554"/>
      <c r="BK554"/>
      <c r="BS554"/>
      <c r="BT554"/>
      <c r="BU554"/>
      <c r="CC554"/>
      <c r="CD554"/>
      <c r="CE554"/>
    </row>
    <row r="555" spans="8:83">
      <c r="H555"/>
      <c r="I555"/>
      <c r="J555"/>
      <c r="U555"/>
      <c r="V555"/>
      <c r="W555"/>
      <c r="AE555"/>
      <c r="AF555"/>
      <c r="AG555"/>
      <c r="AO555"/>
      <c r="AP555"/>
      <c r="AQ555"/>
      <c r="AY555"/>
      <c r="AZ555"/>
      <c r="BA555"/>
      <c r="BI555"/>
      <c r="BJ555"/>
      <c r="BK555"/>
      <c r="BS555"/>
      <c r="BT555"/>
      <c r="BU555"/>
      <c r="CC555"/>
      <c r="CD555"/>
      <c r="CE555"/>
    </row>
    <row r="556" spans="8:83">
      <c r="H556"/>
      <c r="I556"/>
      <c r="J556"/>
      <c r="U556"/>
      <c r="V556"/>
      <c r="W556"/>
      <c r="AE556"/>
      <c r="AF556"/>
      <c r="AG556"/>
      <c r="AO556"/>
      <c r="AP556"/>
      <c r="AQ556"/>
      <c r="AY556"/>
      <c r="AZ556"/>
      <c r="BA556"/>
      <c r="BI556"/>
      <c r="BJ556"/>
      <c r="BK556"/>
      <c r="BS556"/>
      <c r="BT556"/>
      <c r="BU556"/>
      <c r="CC556"/>
      <c r="CD556"/>
      <c r="CE556"/>
    </row>
    <row r="557" spans="8:83">
      <c r="H557"/>
      <c r="I557"/>
      <c r="J557"/>
      <c r="U557"/>
      <c r="V557"/>
      <c r="W557"/>
      <c r="AE557"/>
      <c r="AF557"/>
      <c r="AG557"/>
      <c r="AO557"/>
      <c r="AP557"/>
      <c r="AQ557"/>
      <c r="AY557"/>
      <c r="AZ557"/>
      <c r="BA557"/>
      <c r="BI557"/>
      <c r="BJ557"/>
      <c r="BK557"/>
      <c r="BS557"/>
      <c r="BT557"/>
      <c r="BU557"/>
      <c r="CC557"/>
      <c r="CD557"/>
      <c r="CE557"/>
    </row>
    <row r="558" spans="8:83">
      <c r="H558"/>
      <c r="I558"/>
      <c r="J558"/>
      <c r="U558"/>
      <c r="V558"/>
      <c r="W558"/>
      <c r="AE558"/>
      <c r="AF558"/>
      <c r="AG558"/>
      <c r="AO558"/>
      <c r="AP558"/>
      <c r="AQ558"/>
      <c r="AY558"/>
      <c r="AZ558"/>
      <c r="BA558"/>
      <c r="BI558"/>
      <c r="BJ558"/>
      <c r="BK558"/>
      <c r="BS558"/>
      <c r="BT558"/>
      <c r="BU558"/>
      <c r="CC558"/>
      <c r="CD558"/>
      <c r="CE558"/>
    </row>
    <row r="559" spans="8:83">
      <c r="H559"/>
      <c r="I559"/>
      <c r="J559"/>
      <c r="U559"/>
      <c r="V559"/>
      <c r="W559"/>
      <c r="AE559"/>
      <c r="AF559"/>
      <c r="AG559"/>
      <c r="AO559"/>
      <c r="AP559"/>
      <c r="AQ559"/>
      <c r="AY559"/>
      <c r="AZ559"/>
      <c r="BA559"/>
      <c r="BI559"/>
      <c r="BJ559"/>
      <c r="BK559"/>
      <c r="BS559"/>
      <c r="BT559"/>
      <c r="BU559"/>
      <c r="CC559"/>
      <c r="CD559"/>
      <c r="CE559"/>
    </row>
    <row r="560" spans="8:83">
      <c r="H560"/>
      <c r="I560"/>
      <c r="J560"/>
      <c r="U560"/>
      <c r="V560"/>
      <c r="W560"/>
      <c r="AE560"/>
      <c r="AF560"/>
      <c r="AG560"/>
      <c r="AO560"/>
      <c r="AP560"/>
      <c r="AQ560"/>
      <c r="AY560"/>
      <c r="AZ560"/>
      <c r="BA560"/>
      <c r="BI560"/>
      <c r="BJ560"/>
      <c r="BK560"/>
      <c r="BS560"/>
      <c r="BT560"/>
      <c r="BU560"/>
      <c r="CC560"/>
      <c r="CD560"/>
      <c r="CE560"/>
    </row>
    <row r="561" spans="8:83">
      <c r="H561"/>
      <c r="I561"/>
      <c r="J561"/>
      <c r="U561"/>
      <c r="V561"/>
      <c r="W561"/>
      <c r="AE561"/>
      <c r="AF561"/>
      <c r="AG561"/>
      <c r="AO561"/>
      <c r="AP561"/>
      <c r="AQ561"/>
      <c r="AY561"/>
      <c r="AZ561"/>
      <c r="BA561"/>
      <c r="BI561"/>
      <c r="BJ561"/>
      <c r="BK561"/>
      <c r="BS561"/>
      <c r="BT561"/>
      <c r="BU561"/>
      <c r="CC561"/>
      <c r="CD561"/>
      <c r="CE561"/>
    </row>
    <row r="562" spans="8:83">
      <c r="H562"/>
      <c r="I562"/>
      <c r="J562"/>
      <c r="U562"/>
      <c r="V562"/>
      <c r="W562"/>
      <c r="AE562"/>
      <c r="AF562"/>
      <c r="AG562"/>
      <c r="AO562"/>
      <c r="AP562"/>
      <c r="AQ562"/>
      <c r="AY562"/>
      <c r="AZ562"/>
      <c r="BA562"/>
      <c r="BI562"/>
      <c r="BJ562"/>
      <c r="BK562"/>
      <c r="BS562"/>
      <c r="BT562"/>
      <c r="BU562"/>
      <c r="CC562"/>
      <c r="CD562"/>
      <c r="CE562"/>
    </row>
    <row r="563" spans="8:83">
      <c r="H563"/>
      <c r="I563"/>
      <c r="J563"/>
      <c r="U563"/>
      <c r="V563"/>
      <c r="W563"/>
      <c r="AE563"/>
      <c r="AF563"/>
      <c r="AG563"/>
      <c r="AO563"/>
      <c r="AP563"/>
      <c r="AQ563"/>
      <c r="AY563"/>
      <c r="AZ563"/>
      <c r="BA563"/>
      <c r="BI563"/>
      <c r="BJ563"/>
      <c r="BK563"/>
      <c r="BS563"/>
      <c r="BT563"/>
      <c r="BU563"/>
      <c r="CC563"/>
      <c r="CD563"/>
      <c r="CE563"/>
    </row>
    <row r="564" spans="8:83">
      <c r="H564"/>
      <c r="I564"/>
      <c r="J564"/>
      <c r="U564"/>
      <c r="V564"/>
      <c r="W564"/>
      <c r="AE564"/>
      <c r="AF564"/>
      <c r="AG564"/>
      <c r="AO564"/>
      <c r="AP564"/>
      <c r="AQ564"/>
      <c r="AY564"/>
      <c r="AZ564"/>
      <c r="BA564"/>
      <c r="BI564"/>
      <c r="BJ564"/>
      <c r="BK564"/>
      <c r="BS564"/>
      <c r="BT564"/>
      <c r="BU564"/>
      <c r="CC564"/>
      <c r="CD564"/>
      <c r="CE564"/>
    </row>
    <row r="565" spans="8:83">
      <c r="H565"/>
      <c r="I565"/>
      <c r="J565"/>
      <c r="U565"/>
      <c r="V565"/>
      <c r="W565"/>
      <c r="AE565"/>
      <c r="AF565"/>
      <c r="AG565"/>
      <c r="AO565"/>
      <c r="AP565"/>
      <c r="AQ565"/>
      <c r="AY565"/>
      <c r="AZ565"/>
      <c r="BA565"/>
      <c r="BI565"/>
      <c r="BJ565"/>
      <c r="BK565"/>
      <c r="BS565"/>
      <c r="BT565"/>
      <c r="BU565"/>
      <c r="CC565"/>
      <c r="CD565"/>
      <c r="CE565"/>
    </row>
    <row r="566" spans="8:83">
      <c r="H566"/>
      <c r="I566"/>
      <c r="J566"/>
      <c r="U566"/>
      <c r="V566"/>
      <c r="W566"/>
      <c r="AE566"/>
      <c r="AF566"/>
      <c r="AG566"/>
      <c r="AO566"/>
      <c r="AP566"/>
      <c r="AQ566"/>
      <c r="AY566"/>
      <c r="AZ566"/>
      <c r="BA566"/>
      <c r="BI566"/>
      <c r="BJ566"/>
      <c r="BK566"/>
      <c r="BS566"/>
      <c r="BT566"/>
      <c r="BU566"/>
      <c r="CC566"/>
      <c r="CD566"/>
      <c r="CE566"/>
    </row>
    <row r="567" spans="8:83">
      <c r="H567"/>
      <c r="I567"/>
      <c r="J567"/>
      <c r="U567"/>
      <c r="V567"/>
      <c r="W567"/>
      <c r="AE567"/>
      <c r="AF567"/>
      <c r="AG567"/>
      <c r="AO567"/>
      <c r="AP567"/>
      <c r="AQ567"/>
      <c r="AY567"/>
      <c r="AZ567"/>
      <c r="BA567"/>
      <c r="BI567"/>
      <c r="BJ567"/>
      <c r="BK567"/>
      <c r="BS567"/>
      <c r="BT567"/>
      <c r="BU567"/>
      <c r="CC567"/>
      <c r="CD567"/>
      <c r="CE567"/>
    </row>
    <row r="568" spans="8:83">
      <c r="H568"/>
      <c r="I568"/>
      <c r="J568"/>
      <c r="U568"/>
      <c r="V568"/>
      <c r="W568"/>
      <c r="AE568"/>
      <c r="AF568"/>
      <c r="AG568"/>
      <c r="AO568"/>
      <c r="AP568"/>
      <c r="AQ568"/>
      <c r="AY568"/>
      <c r="AZ568"/>
      <c r="BA568"/>
      <c r="BI568"/>
      <c r="BJ568"/>
      <c r="BK568"/>
      <c r="BS568"/>
      <c r="BT568"/>
      <c r="BU568"/>
      <c r="CC568"/>
      <c r="CD568"/>
      <c r="CE568"/>
    </row>
    <row r="569" spans="8:83">
      <c r="H569"/>
      <c r="I569"/>
      <c r="J569"/>
      <c r="U569"/>
      <c r="V569"/>
      <c r="W569"/>
      <c r="AE569"/>
      <c r="AF569"/>
      <c r="AG569"/>
      <c r="AO569"/>
      <c r="AP569"/>
      <c r="AQ569"/>
      <c r="AY569"/>
      <c r="AZ569"/>
      <c r="BA569"/>
      <c r="BI569"/>
      <c r="BJ569"/>
      <c r="BK569"/>
      <c r="BS569"/>
      <c r="BT569"/>
      <c r="BU569"/>
      <c r="CC569"/>
      <c r="CD569"/>
      <c r="CE569"/>
    </row>
    <row r="570" spans="8:83">
      <c r="H570"/>
      <c r="I570"/>
      <c r="J570"/>
      <c r="U570"/>
      <c r="V570"/>
      <c r="W570"/>
      <c r="AE570"/>
      <c r="AF570"/>
      <c r="AG570"/>
      <c r="AO570"/>
      <c r="AP570"/>
      <c r="AQ570"/>
      <c r="AY570"/>
      <c r="AZ570"/>
      <c r="BA570"/>
      <c r="BI570"/>
      <c r="BJ570"/>
      <c r="BK570"/>
      <c r="BS570"/>
      <c r="BT570"/>
      <c r="BU570"/>
      <c r="CC570"/>
      <c r="CD570"/>
      <c r="CE570"/>
    </row>
    <row r="571" spans="8:83">
      <c r="H571"/>
      <c r="I571"/>
      <c r="J571"/>
      <c r="U571"/>
      <c r="V571"/>
      <c r="W571"/>
      <c r="AE571"/>
      <c r="AF571"/>
      <c r="AG571"/>
      <c r="AO571"/>
      <c r="AP571"/>
      <c r="AQ571"/>
      <c r="AY571"/>
      <c r="AZ571"/>
      <c r="BA571"/>
      <c r="BI571"/>
      <c r="BJ571"/>
      <c r="BK571"/>
      <c r="BS571"/>
      <c r="BT571"/>
      <c r="BU571"/>
      <c r="CC571"/>
      <c r="CD571"/>
      <c r="CE571"/>
    </row>
    <row r="572" spans="8:83">
      <c r="H572"/>
      <c r="I572"/>
      <c r="J572"/>
      <c r="U572"/>
      <c r="V572"/>
      <c r="W572"/>
      <c r="AE572"/>
      <c r="AF572"/>
      <c r="AG572"/>
      <c r="AO572"/>
      <c r="AP572"/>
      <c r="AQ572"/>
      <c r="AY572"/>
      <c r="AZ572"/>
      <c r="BA572"/>
      <c r="BI572"/>
      <c r="BJ572"/>
      <c r="BK572"/>
      <c r="BS572"/>
      <c r="BT572"/>
      <c r="BU572"/>
      <c r="CC572"/>
      <c r="CD572"/>
      <c r="CE572"/>
    </row>
    <row r="573" spans="8:83">
      <c r="H573"/>
      <c r="I573"/>
      <c r="J573"/>
      <c r="U573"/>
      <c r="V573"/>
      <c r="W573"/>
      <c r="AE573"/>
      <c r="AF573"/>
      <c r="AG573"/>
      <c r="AO573"/>
      <c r="AP573"/>
      <c r="AQ573"/>
      <c r="AY573"/>
      <c r="AZ573"/>
      <c r="BA573"/>
      <c r="BI573"/>
      <c r="BJ573"/>
      <c r="BK573"/>
      <c r="BS573"/>
      <c r="BT573"/>
      <c r="BU573"/>
      <c r="CC573"/>
      <c r="CD573"/>
      <c r="CE573"/>
    </row>
    <row r="574" spans="8:83">
      <c r="H574"/>
      <c r="I574"/>
      <c r="J574"/>
      <c r="U574"/>
      <c r="V574"/>
      <c r="W574"/>
      <c r="AE574"/>
      <c r="AF574"/>
      <c r="AG574"/>
      <c r="AO574"/>
      <c r="AP574"/>
      <c r="AQ574"/>
      <c r="AY574"/>
      <c r="AZ574"/>
      <c r="BA574"/>
      <c r="BI574"/>
      <c r="BJ574"/>
      <c r="BK574"/>
      <c r="BS574"/>
      <c r="BT574"/>
      <c r="BU574"/>
      <c r="CC574"/>
      <c r="CD574"/>
      <c r="CE574"/>
    </row>
    <row r="575" spans="8:83">
      <c r="H575"/>
      <c r="I575"/>
      <c r="J575"/>
      <c r="U575"/>
      <c r="V575"/>
      <c r="W575"/>
      <c r="AE575"/>
      <c r="AF575"/>
      <c r="AG575"/>
      <c r="AO575"/>
      <c r="AP575"/>
      <c r="AQ575"/>
      <c r="AY575"/>
      <c r="AZ575"/>
      <c r="BA575"/>
      <c r="BI575"/>
      <c r="BJ575"/>
      <c r="BK575"/>
      <c r="BS575"/>
      <c r="BT575"/>
      <c r="BU575"/>
      <c r="CC575"/>
      <c r="CD575"/>
      <c r="CE575"/>
    </row>
    <row r="576" spans="8:83">
      <c r="H576"/>
      <c r="I576"/>
      <c r="J576"/>
      <c r="U576"/>
      <c r="V576"/>
      <c r="W576"/>
      <c r="AE576"/>
      <c r="AF576"/>
      <c r="AG576"/>
      <c r="AO576"/>
      <c r="AP576"/>
      <c r="AQ576"/>
      <c r="AY576"/>
      <c r="AZ576"/>
      <c r="BA576"/>
      <c r="BI576"/>
      <c r="BJ576"/>
      <c r="BK576"/>
      <c r="BS576"/>
      <c r="BT576"/>
      <c r="BU576"/>
      <c r="CC576"/>
      <c r="CD576"/>
      <c r="CE576"/>
    </row>
    <row r="577" spans="8:83">
      <c r="H577"/>
      <c r="I577"/>
      <c r="J577"/>
      <c r="U577"/>
      <c r="V577"/>
      <c r="W577"/>
      <c r="AE577"/>
      <c r="AF577"/>
      <c r="AG577"/>
      <c r="AO577"/>
      <c r="AP577"/>
      <c r="AQ577"/>
      <c r="AY577"/>
      <c r="AZ577"/>
      <c r="BA577"/>
      <c r="BI577"/>
      <c r="BJ577"/>
      <c r="BK577"/>
      <c r="BS577"/>
      <c r="BT577"/>
      <c r="BU577"/>
      <c r="CC577"/>
      <c r="CD577"/>
      <c r="CE577"/>
    </row>
    <row r="578" spans="8:83">
      <c r="H578"/>
      <c r="I578"/>
      <c r="J578"/>
      <c r="U578"/>
      <c r="V578"/>
      <c r="W578"/>
      <c r="AE578"/>
      <c r="AF578"/>
      <c r="AG578"/>
      <c r="AO578"/>
      <c r="AP578"/>
      <c r="AQ578"/>
      <c r="AY578"/>
      <c r="AZ578"/>
      <c r="BA578"/>
      <c r="BI578"/>
      <c r="BJ578"/>
      <c r="BK578"/>
      <c r="BS578"/>
      <c r="BT578"/>
      <c r="BU578"/>
      <c r="CC578"/>
      <c r="CD578"/>
      <c r="CE578"/>
    </row>
    <row r="579" spans="8:83">
      <c r="H579"/>
      <c r="I579"/>
      <c r="J579"/>
      <c r="U579"/>
      <c r="V579"/>
      <c r="W579"/>
      <c r="AE579"/>
      <c r="AF579"/>
      <c r="AG579"/>
      <c r="AO579"/>
      <c r="AP579"/>
      <c r="AQ579"/>
      <c r="AY579"/>
      <c r="AZ579"/>
      <c r="BA579"/>
      <c r="BI579"/>
      <c r="BJ579"/>
      <c r="BK579"/>
      <c r="BS579"/>
      <c r="BT579"/>
      <c r="BU579"/>
      <c r="CC579"/>
      <c r="CD579"/>
      <c r="CE579"/>
    </row>
    <row r="580" spans="8:83">
      <c r="H580"/>
      <c r="I580"/>
      <c r="J580"/>
      <c r="U580"/>
      <c r="V580"/>
      <c r="W580"/>
      <c r="AE580"/>
      <c r="AF580"/>
      <c r="AG580"/>
      <c r="AO580"/>
      <c r="AP580"/>
      <c r="AQ580"/>
      <c r="AY580"/>
      <c r="AZ580"/>
      <c r="BA580"/>
      <c r="BI580"/>
      <c r="BJ580"/>
      <c r="BK580"/>
      <c r="BS580"/>
      <c r="BT580"/>
      <c r="BU580"/>
      <c r="CC580"/>
      <c r="CD580"/>
      <c r="CE580"/>
    </row>
    <row r="581" spans="8:83">
      <c r="H581"/>
      <c r="I581"/>
      <c r="J581"/>
      <c r="U581"/>
      <c r="V581"/>
      <c r="W581"/>
      <c r="AE581"/>
      <c r="AF581"/>
      <c r="AG581"/>
      <c r="AO581"/>
      <c r="AP581"/>
      <c r="AQ581"/>
      <c r="AY581"/>
      <c r="AZ581"/>
      <c r="BA581"/>
      <c r="BI581"/>
      <c r="BJ581"/>
      <c r="BK581"/>
      <c r="BS581"/>
      <c r="BT581"/>
      <c r="BU581"/>
      <c r="CC581"/>
      <c r="CD581"/>
      <c r="CE581"/>
    </row>
    <row r="582" spans="8:83">
      <c r="H582"/>
      <c r="I582"/>
      <c r="J582"/>
      <c r="U582"/>
      <c r="V582"/>
      <c r="W582"/>
      <c r="AE582"/>
      <c r="AF582"/>
      <c r="AG582"/>
      <c r="AO582"/>
      <c r="AP582"/>
      <c r="AQ582"/>
      <c r="AY582"/>
      <c r="AZ582"/>
      <c r="BA582"/>
      <c r="BI582"/>
      <c r="BJ582"/>
      <c r="BK582"/>
      <c r="BS582"/>
      <c r="BT582"/>
      <c r="BU582"/>
      <c r="CC582"/>
      <c r="CD582"/>
      <c r="CE582"/>
    </row>
    <row r="583" spans="8:83">
      <c r="H583"/>
      <c r="I583"/>
      <c r="J583"/>
      <c r="U583"/>
      <c r="V583"/>
      <c r="W583"/>
      <c r="AE583"/>
      <c r="AF583"/>
      <c r="AG583"/>
      <c r="AO583"/>
      <c r="AP583"/>
      <c r="AQ583"/>
      <c r="AY583"/>
      <c r="AZ583"/>
      <c r="BA583"/>
      <c r="BI583"/>
      <c r="BJ583"/>
      <c r="BK583"/>
      <c r="BS583"/>
      <c r="BT583"/>
      <c r="BU583"/>
      <c r="CC583"/>
      <c r="CD583"/>
      <c r="CE583"/>
    </row>
    <row r="584" spans="8:83">
      <c r="H584"/>
      <c r="I584"/>
      <c r="J584"/>
      <c r="U584"/>
      <c r="V584"/>
      <c r="W584"/>
      <c r="AE584"/>
      <c r="AF584"/>
      <c r="AG584"/>
      <c r="AO584"/>
      <c r="AP584"/>
      <c r="AQ584"/>
      <c r="AY584"/>
      <c r="AZ584"/>
      <c r="BA584"/>
      <c r="BI584"/>
      <c r="BJ584"/>
      <c r="BK584"/>
      <c r="BS584"/>
      <c r="BT584"/>
      <c r="BU584"/>
      <c r="CC584"/>
      <c r="CD584"/>
      <c r="CE584"/>
    </row>
    <row r="585" spans="8:83">
      <c r="H585"/>
      <c r="I585"/>
      <c r="J585"/>
      <c r="U585"/>
      <c r="V585"/>
      <c r="W585"/>
      <c r="AE585"/>
      <c r="AF585"/>
      <c r="AG585"/>
      <c r="AO585"/>
      <c r="AP585"/>
      <c r="AQ585"/>
      <c r="AY585"/>
      <c r="AZ585"/>
      <c r="BA585"/>
      <c r="BI585"/>
      <c r="BJ585"/>
      <c r="BK585"/>
      <c r="BS585"/>
      <c r="BT585"/>
      <c r="BU585"/>
      <c r="CC585"/>
      <c r="CD585"/>
      <c r="CE585"/>
    </row>
    <row r="586" spans="8:83">
      <c r="H586"/>
      <c r="I586"/>
      <c r="J586"/>
      <c r="U586"/>
      <c r="V586"/>
      <c r="W586"/>
      <c r="AE586"/>
      <c r="AF586"/>
      <c r="AG586"/>
      <c r="AO586"/>
      <c r="AP586"/>
      <c r="AQ586"/>
      <c r="AY586"/>
      <c r="AZ586"/>
      <c r="BA586"/>
      <c r="BI586"/>
      <c r="BJ586"/>
      <c r="BK586"/>
      <c r="BS586"/>
      <c r="BT586"/>
      <c r="BU586"/>
      <c r="CC586"/>
      <c r="CD586"/>
      <c r="CE586"/>
    </row>
    <row r="587" spans="8:83">
      <c r="H587"/>
      <c r="I587"/>
      <c r="J587"/>
      <c r="U587"/>
      <c r="V587"/>
      <c r="W587"/>
      <c r="AE587"/>
      <c r="AF587"/>
      <c r="AG587"/>
      <c r="AO587"/>
      <c r="AP587"/>
      <c r="AQ587"/>
      <c r="AY587"/>
      <c r="AZ587"/>
      <c r="BA587"/>
      <c r="BI587"/>
      <c r="BJ587"/>
      <c r="BK587"/>
      <c r="BS587"/>
      <c r="BT587"/>
      <c r="BU587"/>
      <c r="CC587"/>
      <c r="CD587"/>
      <c r="CE587"/>
    </row>
    <row r="588" spans="8:83">
      <c r="H588"/>
      <c r="I588"/>
      <c r="J588"/>
      <c r="U588"/>
      <c r="V588"/>
      <c r="W588"/>
      <c r="AE588"/>
      <c r="AF588"/>
      <c r="AG588"/>
      <c r="AO588"/>
      <c r="AP588"/>
      <c r="AQ588"/>
      <c r="AY588"/>
      <c r="AZ588"/>
      <c r="BA588"/>
      <c r="BI588"/>
      <c r="BJ588"/>
      <c r="BK588"/>
      <c r="BS588"/>
      <c r="BT588"/>
      <c r="BU588"/>
      <c r="CC588"/>
      <c r="CD588"/>
      <c r="CE588"/>
    </row>
    <row r="589" spans="8:83">
      <c r="H589"/>
      <c r="I589"/>
      <c r="J589"/>
      <c r="U589"/>
      <c r="V589"/>
      <c r="W589"/>
      <c r="AE589"/>
      <c r="AF589"/>
      <c r="AG589"/>
      <c r="AO589"/>
      <c r="AP589"/>
      <c r="AQ589"/>
      <c r="AY589"/>
      <c r="AZ589"/>
      <c r="BA589"/>
      <c r="BI589"/>
      <c r="BJ589"/>
      <c r="BK589"/>
      <c r="BS589"/>
      <c r="BT589"/>
      <c r="BU589"/>
      <c r="CC589"/>
      <c r="CD589"/>
      <c r="CE589"/>
    </row>
    <row r="590" spans="8:83">
      <c r="H590"/>
      <c r="I590"/>
      <c r="J590"/>
      <c r="U590"/>
      <c r="V590"/>
      <c r="W590"/>
      <c r="AE590"/>
      <c r="AF590"/>
      <c r="AG590"/>
      <c r="AO590"/>
      <c r="AP590"/>
      <c r="AQ590"/>
      <c r="AY590"/>
      <c r="AZ590"/>
      <c r="BA590"/>
      <c r="BI590"/>
      <c r="BJ590"/>
      <c r="BK590"/>
      <c r="BS590"/>
      <c r="BT590"/>
      <c r="BU590"/>
      <c r="CC590"/>
      <c r="CD590"/>
      <c r="CE590"/>
    </row>
    <row r="591" spans="8:83">
      <c r="H591"/>
      <c r="I591"/>
      <c r="J591"/>
      <c r="U591"/>
      <c r="V591"/>
      <c r="W591"/>
      <c r="AE591"/>
      <c r="AF591"/>
      <c r="AG591"/>
      <c r="AO591"/>
      <c r="AP591"/>
      <c r="AQ591"/>
      <c r="AY591"/>
      <c r="AZ591"/>
      <c r="BA591"/>
      <c r="BI591"/>
      <c r="BJ591"/>
      <c r="BK591"/>
      <c r="BS591"/>
      <c r="BT591"/>
      <c r="BU591"/>
      <c r="CC591"/>
      <c r="CD591"/>
      <c r="CE591"/>
    </row>
    <row r="592" spans="8:83">
      <c r="H592"/>
      <c r="I592"/>
      <c r="J592"/>
      <c r="U592"/>
      <c r="V592"/>
      <c r="W592"/>
      <c r="AE592"/>
      <c r="AF592"/>
      <c r="AG592"/>
      <c r="AO592"/>
      <c r="AP592"/>
      <c r="AQ592"/>
      <c r="AY592"/>
      <c r="AZ592"/>
      <c r="BA592"/>
      <c r="BI592"/>
      <c r="BJ592"/>
      <c r="BK592"/>
      <c r="BS592"/>
      <c r="BT592"/>
      <c r="BU592"/>
      <c r="CC592"/>
      <c r="CD592"/>
      <c r="CE592"/>
    </row>
    <row r="593" spans="8:83">
      <c r="H593"/>
      <c r="I593"/>
      <c r="J593"/>
      <c r="U593"/>
      <c r="V593"/>
      <c r="W593"/>
      <c r="AE593"/>
      <c r="AF593"/>
      <c r="AG593"/>
      <c r="AO593"/>
      <c r="AP593"/>
      <c r="AQ593"/>
      <c r="AY593"/>
      <c r="AZ593"/>
      <c r="BA593"/>
      <c r="BI593"/>
      <c r="BJ593"/>
      <c r="BK593"/>
      <c r="BS593"/>
      <c r="BT593"/>
      <c r="BU593"/>
      <c r="CC593"/>
      <c r="CD593"/>
      <c r="CE593"/>
    </row>
    <row r="594" spans="8:83">
      <c r="H594"/>
      <c r="I594"/>
      <c r="J594"/>
      <c r="U594"/>
      <c r="V594"/>
      <c r="W594"/>
      <c r="AE594"/>
      <c r="AF594"/>
      <c r="AG594"/>
      <c r="AO594"/>
      <c r="AP594"/>
      <c r="AQ594"/>
      <c r="AY594"/>
      <c r="AZ594"/>
      <c r="BA594"/>
      <c r="BI594"/>
      <c r="BJ594"/>
      <c r="BK594"/>
      <c r="BS594"/>
      <c r="BT594"/>
      <c r="BU594"/>
      <c r="CC594"/>
      <c r="CD594"/>
      <c r="CE594"/>
    </row>
    <row r="595" spans="8:83">
      <c r="H595"/>
      <c r="I595"/>
      <c r="J595"/>
      <c r="U595"/>
      <c r="V595"/>
      <c r="W595"/>
      <c r="AE595"/>
      <c r="AF595"/>
      <c r="AG595"/>
      <c r="AO595"/>
      <c r="AP595"/>
      <c r="AQ595"/>
      <c r="AY595"/>
      <c r="AZ595"/>
      <c r="BA595"/>
      <c r="BI595"/>
      <c r="BJ595"/>
      <c r="BK595"/>
      <c r="BS595"/>
      <c r="BT595"/>
      <c r="BU595"/>
      <c r="CC595"/>
      <c r="CD595"/>
      <c r="CE595"/>
    </row>
    <row r="596" spans="8:83">
      <c r="H596"/>
      <c r="I596"/>
      <c r="J596"/>
      <c r="U596"/>
      <c r="V596"/>
      <c r="W596"/>
      <c r="AE596"/>
      <c r="AF596"/>
      <c r="AG596"/>
      <c r="AO596"/>
      <c r="AP596"/>
      <c r="AQ596"/>
      <c r="AY596"/>
      <c r="AZ596"/>
      <c r="BA596"/>
      <c r="BI596"/>
      <c r="BJ596"/>
      <c r="BK596"/>
      <c r="BS596"/>
      <c r="BT596"/>
      <c r="BU596"/>
      <c r="CC596"/>
      <c r="CD596"/>
      <c r="CE596"/>
    </row>
    <row r="597" spans="8:83">
      <c r="H597"/>
      <c r="I597"/>
      <c r="J597"/>
      <c r="U597"/>
      <c r="V597"/>
      <c r="W597"/>
      <c r="AE597"/>
      <c r="AF597"/>
      <c r="AG597"/>
      <c r="AO597"/>
      <c r="AP597"/>
      <c r="AQ597"/>
      <c r="AY597"/>
      <c r="AZ597"/>
      <c r="BA597"/>
      <c r="BI597"/>
      <c r="BJ597"/>
      <c r="BK597"/>
      <c r="BS597"/>
      <c r="BT597"/>
      <c r="BU597"/>
      <c r="CC597"/>
      <c r="CD597"/>
      <c r="CE597"/>
    </row>
    <row r="598" spans="8:83">
      <c r="H598"/>
      <c r="I598"/>
      <c r="J598"/>
      <c r="U598"/>
      <c r="V598"/>
      <c r="W598"/>
      <c r="AE598"/>
      <c r="AF598"/>
      <c r="AG598"/>
      <c r="AO598"/>
      <c r="AP598"/>
      <c r="AQ598"/>
      <c r="AY598"/>
      <c r="AZ598"/>
      <c r="BA598"/>
      <c r="BI598"/>
      <c r="BJ598"/>
      <c r="BK598"/>
      <c r="BS598"/>
      <c r="BT598"/>
      <c r="BU598"/>
      <c r="CC598"/>
      <c r="CD598"/>
      <c r="CE598"/>
    </row>
    <row r="599" spans="8:83">
      <c r="H599"/>
      <c r="I599"/>
      <c r="J599"/>
      <c r="U599"/>
      <c r="V599"/>
      <c r="W599"/>
      <c r="AE599"/>
      <c r="AF599"/>
      <c r="AG599"/>
      <c r="AO599"/>
      <c r="AP599"/>
      <c r="AQ599"/>
      <c r="AY599"/>
      <c r="AZ599"/>
      <c r="BA599"/>
      <c r="BI599"/>
      <c r="BJ599"/>
      <c r="BK599"/>
      <c r="BS599"/>
      <c r="BT599"/>
      <c r="BU599"/>
      <c r="CC599"/>
      <c r="CD599"/>
      <c r="CE599"/>
    </row>
    <row r="600" spans="8:83">
      <c r="H600"/>
      <c r="I600"/>
      <c r="J600"/>
      <c r="U600"/>
      <c r="V600"/>
      <c r="W600"/>
      <c r="AE600"/>
      <c r="AF600"/>
      <c r="AG600"/>
      <c r="AO600"/>
      <c r="AP600"/>
      <c r="AQ600"/>
      <c r="AY600"/>
      <c r="AZ600"/>
      <c r="BA600"/>
      <c r="BI600"/>
      <c r="BJ600"/>
      <c r="BK600"/>
      <c r="BS600"/>
      <c r="BT600"/>
      <c r="BU600"/>
      <c r="CC600"/>
      <c r="CD600"/>
      <c r="CE600"/>
    </row>
    <row r="601" spans="8:83">
      <c r="H601"/>
      <c r="I601"/>
      <c r="J601"/>
      <c r="U601"/>
      <c r="V601"/>
      <c r="W601"/>
      <c r="AE601"/>
      <c r="AF601"/>
      <c r="AG601"/>
      <c r="AO601"/>
      <c r="AP601"/>
      <c r="AQ601"/>
      <c r="AY601"/>
      <c r="AZ601"/>
      <c r="BA601"/>
      <c r="BI601"/>
      <c r="BJ601"/>
      <c r="BK601"/>
      <c r="BS601"/>
      <c r="BT601"/>
      <c r="BU601"/>
      <c r="CC601"/>
      <c r="CD601"/>
      <c r="CE601"/>
    </row>
    <row r="602" spans="8:83">
      <c r="H602"/>
      <c r="I602"/>
      <c r="J602"/>
      <c r="U602"/>
      <c r="V602"/>
      <c r="W602"/>
      <c r="AE602"/>
      <c r="AF602"/>
      <c r="AG602"/>
      <c r="AO602"/>
      <c r="AP602"/>
      <c r="AQ602"/>
      <c r="AY602"/>
      <c r="AZ602"/>
      <c r="BA602"/>
      <c r="BI602"/>
      <c r="BJ602"/>
      <c r="BK602"/>
      <c r="BS602"/>
      <c r="BT602"/>
      <c r="BU602"/>
      <c r="CC602"/>
      <c r="CD602"/>
      <c r="CE602"/>
    </row>
    <row r="603" spans="8:83">
      <c r="H603"/>
      <c r="I603"/>
      <c r="J603"/>
      <c r="U603"/>
      <c r="V603"/>
      <c r="W603"/>
      <c r="AE603"/>
      <c r="AF603"/>
      <c r="AG603"/>
      <c r="AO603"/>
      <c r="AP603"/>
      <c r="AQ603"/>
      <c r="AY603"/>
      <c r="AZ603"/>
      <c r="BA603"/>
      <c r="BI603"/>
      <c r="BJ603"/>
      <c r="BK603"/>
      <c r="BS603"/>
      <c r="BT603"/>
      <c r="BU603"/>
      <c r="CC603"/>
      <c r="CD603"/>
      <c r="CE603"/>
    </row>
    <row r="604" spans="8:83">
      <c r="H604"/>
      <c r="I604"/>
      <c r="J604"/>
      <c r="U604"/>
      <c r="V604"/>
      <c r="W604"/>
      <c r="AE604"/>
      <c r="AF604"/>
      <c r="AG604"/>
      <c r="AO604"/>
      <c r="AP604"/>
      <c r="AQ604"/>
      <c r="AY604"/>
      <c r="AZ604"/>
      <c r="BA604"/>
      <c r="BI604"/>
      <c r="BJ604"/>
      <c r="BK604"/>
      <c r="BS604"/>
      <c r="BT604"/>
      <c r="BU604"/>
      <c r="CC604"/>
      <c r="CD604"/>
      <c r="CE604"/>
    </row>
    <row r="605" spans="8:83">
      <c r="H605"/>
      <c r="I605"/>
      <c r="J605"/>
      <c r="U605"/>
      <c r="V605"/>
      <c r="W605"/>
      <c r="AE605"/>
      <c r="AF605"/>
      <c r="AG605"/>
      <c r="AO605"/>
      <c r="AP605"/>
      <c r="AQ605"/>
      <c r="AY605"/>
      <c r="AZ605"/>
      <c r="BA605"/>
      <c r="BI605"/>
      <c r="BJ605"/>
      <c r="BK605"/>
      <c r="BS605"/>
      <c r="BT605"/>
      <c r="BU605"/>
      <c r="CC605"/>
      <c r="CD605"/>
      <c r="CE605"/>
    </row>
    <row r="606" spans="8:83">
      <c r="H606"/>
      <c r="I606"/>
      <c r="J606"/>
      <c r="U606"/>
      <c r="V606"/>
      <c r="W606"/>
      <c r="AE606"/>
      <c r="AF606"/>
      <c r="AG606"/>
      <c r="AO606"/>
      <c r="AP606"/>
      <c r="AQ606"/>
      <c r="AY606"/>
      <c r="AZ606"/>
      <c r="BA606"/>
      <c r="BI606"/>
      <c r="BJ606"/>
      <c r="BK606"/>
      <c r="BS606"/>
      <c r="BT606"/>
      <c r="BU606"/>
      <c r="CC606"/>
      <c r="CD606"/>
      <c r="CE606"/>
    </row>
    <row r="607" spans="8:83">
      <c r="H607"/>
      <c r="I607"/>
      <c r="J607"/>
      <c r="U607"/>
      <c r="V607"/>
      <c r="W607"/>
      <c r="AE607"/>
      <c r="AF607"/>
      <c r="AG607"/>
      <c r="AO607"/>
      <c r="AP607"/>
      <c r="AQ607"/>
      <c r="AY607"/>
      <c r="AZ607"/>
      <c r="BA607"/>
      <c r="BI607"/>
      <c r="BJ607"/>
      <c r="BK607"/>
      <c r="BS607"/>
      <c r="BT607"/>
      <c r="BU607"/>
      <c r="CC607"/>
      <c r="CD607"/>
      <c r="CE607"/>
    </row>
    <row r="608" spans="8:83">
      <c r="H608"/>
      <c r="I608"/>
      <c r="J608"/>
      <c r="U608"/>
      <c r="V608"/>
      <c r="W608"/>
      <c r="AE608"/>
      <c r="AF608"/>
      <c r="AG608"/>
      <c r="AO608"/>
      <c r="AP608"/>
      <c r="AQ608"/>
      <c r="AY608"/>
      <c r="AZ608"/>
      <c r="BA608"/>
      <c r="BI608"/>
      <c r="BJ608"/>
      <c r="BK608"/>
      <c r="BS608"/>
      <c r="BT608"/>
      <c r="BU608"/>
      <c r="CC608"/>
      <c r="CD608"/>
      <c r="CE608"/>
    </row>
    <row r="609" spans="8:83">
      <c r="H609"/>
      <c r="I609"/>
      <c r="J609"/>
      <c r="U609"/>
      <c r="V609"/>
      <c r="W609"/>
      <c r="AE609"/>
      <c r="AF609"/>
      <c r="AG609"/>
      <c r="AO609"/>
      <c r="AP609"/>
      <c r="AQ609"/>
      <c r="AY609"/>
      <c r="AZ609"/>
      <c r="BA609"/>
      <c r="BI609"/>
      <c r="BJ609"/>
      <c r="BK609"/>
      <c r="BS609"/>
      <c r="BT609"/>
      <c r="BU609"/>
      <c r="CC609"/>
      <c r="CD609"/>
      <c r="CE609"/>
    </row>
    <row r="610" spans="8:83">
      <c r="H610"/>
      <c r="I610"/>
      <c r="J610"/>
      <c r="U610"/>
      <c r="V610"/>
      <c r="W610"/>
      <c r="AE610"/>
      <c r="AF610"/>
      <c r="AG610"/>
      <c r="AO610"/>
      <c r="AP610"/>
      <c r="AQ610"/>
      <c r="AY610"/>
      <c r="AZ610"/>
      <c r="BA610"/>
      <c r="BI610"/>
      <c r="BJ610"/>
      <c r="BK610"/>
      <c r="BS610"/>
      <c r="BT610"/>
      <c r="BU610"/>
      <c r="CC610"/>
      <c r="CD610"/>
      <c r="CE610"/>
    </row>
    <row r="611" spans="8:83">
      <c r="H611"/>
      <c r="I611"/>
      <c r="J611"/>
      <c r="U611"/>
      <c r="V611"/>
      <c r="W611"/>
      <c r="AE611"/>
      <c r="AF611"/>
      <c r="AG611"/>
      <c r="AO611"/>
      <c r="AP611"/>
      <c r="AQ611"/>
      <c r="AY611"/>
      <c r="AZ611"/>
      <c r="BA611"/>
      <c r="BI611"/>
      <c r="BJ611"/>
      <c r="BK611"/>
      <c r="BS611"/>
      <c r="BT611"/>
      <c r="BU611"/>
      <c r="CC611"/>
      <c r="CD611"/>
      <c r="CE611"/>
    </row>
    <row r="612" spans="8:83">
      <c r="H612"/>
      <c r="I612"/>
      <c r="J612"/>
      <c r="U612"/>
      <c r="V612"/>
      <c r="W612"/>
      <c r="AE612"/>
      <c r="AF612"/>
      <c r="AG612"/>
      <c r="AO612"/>
      <c r="AP612"/>
      <c r="AQ612"/>
      <c r="AY612"/>
      <c r="AZ612"/>
      <c r="BA612"/>
      <c r="BI612"/>
      <c r="BJ612"/>
      <c r="BK612"/>
      <c r="BS612"/>
      <c r="BT612"/>
      <c r="BU612"/>
      <c r="CC612"/>
      <c r="CD612"/>
      <c r="CE612"/>
    </row>
    <row r="613" spans="8:83">
      <c r="H613"/>
      <c r="I613"/>
      <c r="J613"/>
      <c r="U613"/>
      <c r="V613"/>
      <c r="W613"/>
      <c r="AE613"/>
      <c r="AF613"/>
      <c r="AG613"/>
      <c r="AO613"/>
      <c r="AP613"/>
      <c r="AQ613"/>
      <c r="AY613"/>
      <c r="AZ613"/>
      <c r="BA613"/>
      <c r="BI613"/>
      <c r="BJ613"/>
      <c r="BK613"/>
      <c r="BS613"/>
      <c r="BT613"/>
      <c r="BU613"/>
      <c r="CC613"/>
      <c r="CD613"/>
      <c r="CE613"/>
    </row>
    <row r="614" spans="8:83">
      <c r="H614"/>
      <c r="I614"/>
      <c r="J614"/>
      <c r="U614"/>
      <c r="V614"/>
      <c r="W614"/>
      <c r="AE614"/>
      <c r="AF614"/>
      <c r="AG614"/>
      <c r="AO614"/>
      <c r="AP614"/>
      <c r="AQ614"/>
      <c r="AY614"/>
      <c r="AZ614"/>
      <c r="BA614"/>
      <c r="BI614"/>
      <c r="BJ614"/>
      <c r="BK614"/>
      <c r="BS614"/>
      <c r="BT614"/>
      <c r="BU614"/>
      <c r="CC614"/>
      <c r="CD614"/>
      <c r="CE614"/>
    </row>
    <row r="615" spans="8:83">
      <c r="H615"/>
      <c r="I615"/>
      <c r="J615"/>
      <c r="U615"/>
      <c r="V615"/>
      <c r="W615"/>
      <c r="AE615"/>
      <c r="AF615"/>
      <c r="AG615"/>
      <c r="AO615"/>
      <c r="AP615"/>
      <c r="AQ615"/>
      <c r="AY615"/>
      <c r="AZ615"/>
      <c r="BA615"/>
      <c r="BI615"/>
      <c r="BJ615"/>
      <c r="BK615"/>
      <c r="BS615"/>
      <c r="BT615"/>
      <c r="BU615"/>
      <c r="CC615"/>
      <c r="CD615"/>
      <c r="CE615"/>
    </row>
    <row r="616" spans="8:83">
      <c r="H616"/>
      <c r="I616"/>
      <c r="J616"/>
      <c r="U616"/>
      <c r="V616"/>
      <c r="W616"/>
      <c r="AE616"/>
      <c r="AF616"/>
      <c r="AG616"/>
      <c r="AO616"/>
      <c r="AP616"/>
      <c r="AQ616"/>
      <c r="AY616"/>
      <c r="AZ616"/>
      <c r="BA616"/>
      <c r="BI616"/>
      <c r="BJ616"/>
      <c r="BK616"/>
      <c r="BS616"/>
      <c r="BT616"/>
      <c r="BU616"/>
      <c r="CC616"/>
      <c r="CD616"/>
      <c r="CE616"/>
    </row>
    <row r="617" spans="8:83">
      <c r="H617"/>
      <c r="I617"/>
      <c r="J617"/>
      <c r="U617"/>
      <c r="V617"/>
      <c r="W617"/>
      <c r="AE617"/>
      <c r="AF617"/>
      <c r="AG617"/>
      <c r="AO617"/>
      <c r="AP617"/>
      <c r="AQ617"/>
      <c r="AY617"/>
      <c r="AZ617"/>
      <c r="BA617"/>
      <c r="BI617"/>
      <c r="BJ617"/>
      <c r="BK617"/>
      <c r="BS617"/>
      <c r="BT617"/>
      <c r="BU617"/>
      <c r="CC617"/>
      <c r="CD617"/>
      <c r="CE617"/>
    </row>
    <row r="618" spans="8:83">
      <c r="H618"/>
      <c r="I618"/>
      <c r="J618"/>
      <c r="U618"/>
      <c r="V618"/>
      <c r="W618"/>
      <c r="AE618"/>
      <c r="AF618"/>
      <c r="AG618"/>
      <c r="AO618"/>
      <c r="AP618"/>
      <c r="AQ618"/>
      <c r="AY618"/>
      <c r="AZ618"/>
      <c r="BA618"/>
      <c r="BI618"/>
      <c r="BJ618"/>
      <c r="BK618"/>
      <c r="BS618"/>
      <c r="BT618"/>
      <c r="BU618"/>
      <c r="CC618"/>
      <c r="CD618"/>
      <c r="CE618"/>
    </row>
    <row r="619" spans="8:83">
      <c r="H619"/>
      <c r="I619"/>
      <c r="J619"/>
      <c r="U619"/>
      <c r="V619"/>
      <c r="W619"/>
      <c r="AE619"/>
      <c r="AF619"/>
      <c r="AG619"/>
      <c r="AO619"/>
      <c r="AP619"/>
      <c r="AQ619"/>
      <c r="AY619"/>
      <c r="AZ619"/>
      <c r="BA619"/>
      <c r="BI619"/>
      <c r="BJ619"/>
      <c r="BK619"/>
      <c r="BS619"/>
      <c r="BT619"/>
      <c r="BU619"/>
      <c r="CC619"/>
      <c r="CD619"/>
      <c r="CE619"/>
    </row>
    <row r="620" spans="8:83">
      <c r="H620"/>
      <c r="I620"/>
      <c r="J620"/>
      <c r="U620"/>
      <c r="V620"/>
      <c r="W620"/>
      <c r="AE620"/>
      <c r="AF620"/>
      <c r="AG620"/>
      <c r="AO620"/>
      <c r="AP620"/>
      <c r="AQ620"/>
      <c r="AY620"/>
      <c r="AZ620"/>
      <c r="BA620"/>
      <c r="BI620"/>
      <c r="BJ620"/>
      <c r="BK620"/>
      <c r="BS620"/>
      <c r="BT620"/>
      <c r="BU620"/>
      <c r="CC620"/>
      <c r="CD620"/>
      <c r="CE620"/>
    </row>
    <row r="621" spans="8:83">
      <c r="H621"/>
      <c r="I621"/>
      <c r="J621"/>
      <c r="U621"/>
      <c r="V621"/>
      <c r="W621"/>
      <c r="AE621"/>
      <c r="AF621"/>
      <c r="AG621"/>
      <c r="AO621"/>
      <c r="AP621"/>
      <c r="AQ621"/>
      <c r="AY621"/>
      <c r="AZ621"/>
      <c r="BA621"/>
      <c r="BI621"/>
      <c r="BJ621"/>
      <c r="BK621"/>
      <c r="BS621"/>
      <c r="BT621"/>
      <c r="BU621"/>
      <c r="CC621"/>
      <c r="CD621"/>
      <c r="CE621"/>
    </row>
    <row r="622" spans="8:83">
      <c r="H622"/>
      <c r="I622"/>
      <c r="J622"/>
      <c r="U622"/>
      <c r="V622"/>
      <c r="W622"/>
      <c r="AE622"/>
      <c r="AF622"/>
      <c r="AG622"/>
      <c r="AO622"/>
      <c r="AP622"/>
      <c r="AQ622"/>
      <c r="AY622"/>
      <c r="AZ622"/>
      <c r="BA622"/>
      <c r="BI622"/>
      <c r="BJ622"/>
      <c r="BK622"/>
      <c r="BS622"/>
      <c r="BT622"/>
      <c r="BU622"/>
      <c r="CC622"/>
      <c r="CD622"/>
      <c r="CE622"/>
    </row>
    <row r="623" spans="8:83">
      <c r="H623"/>
      <c r="I623"/>
      <c r="J623"/>
      <c r="U623"/>
      <c r="V623"/>
      <c r="W623"/>
      <c r="AE623"/>
      <c r="AF623"/>
      <c r="AG623"/>
      <c r="AO623"/>
      <c r="AP623"/>
      <c r="AQ623"/>
      <c r="AY623"/>
      <c r="AZ623"/>
      <c r="BA623"/>
      <c r="BI623"/>
      <c r="BJ623"/>
      <c r="BK623"/>
      <c r="BS623"/>
      <c r="BT623"/>
      <c r="BU623"/>
      <c r="CC623"/>
      <c r="CD623"/>
      <c r="CE623"/>
    </row>
    <row r="624" spans="8:83">
      <c r="H624"/>
      <c r="I624"/>
      <c r="J624"/>
      <c r="U624"/>
      <c r="V624"/>
      <c r="W624"/>
      <c r="AE624"/>
      <c r="AF624"/>
      <c r="AG624"/>
      <c r="AO624"/>
      <c r="AP624"/>
      <c r="AQ624"/>
      <c r="AY624"/>
      <c r="AZ624"/>
      <c r="BA624"/>
      <c r="BI624"/>
      <c r="BJ624"/>
      <c r="BK624"/>
      <c r="BS624"/>
      <c r="BT624"/>
      <c r="BU624"/>
      <c r="CC624"/>
      <c r="CD624"/>
      <c r="CE624"/>
    </row>
    <row r="625" spans="8:83">
      <c r="H625"/>
      <c r="I625"/>
      <c r="J625"/>
      <c r="U625"/>
      <c r="V625"/>
      <c r="W625"/>
      <c r="AE625"/>
      <c r="AF625"/>
      <c r="AG625"/>
      <c r="AO625"/>
      <c r="AP625"/>
      <c r="AQ625"/>
      <c r="AY625"/>
      <c r="AZ625"/>
      <c r="BA625"/>
      <c r="BI625"/>
      <c r="BJ625"/>
      <c r="BK625"/>
      <c r="BS625"/>
      <c r="BT625"/>
      <c r="BU625"/>
      <c r="CC625"/>
      <c r="CD625"/>
      <c r="CE625"/>
    </row>
    <row r="626" spans="8:83">
      <c r="H626"/>
      <c r="I626"/>
      <c r="J626"/>
      <c r="U626"/>
      <c r="V626"/>
      <c r="W626"/>
      <c r="AE626"/>
      <c r="AF626"/>
      <c r="AG626"/>
      <c r="AO626"/>
      <c r="AP626"/>
      <c r="AQ626"/>
      <c r="AY626"/>
      <c r="AZ626"/>
      <c r="BA626"/>
      <c r="BI626"/>
      <c r="BJ626"/>
      <c r="BK626"/>
      <c r="BS626"/>
      <c r="BT626"/>
      <c r="BU626"/>
      <c r="CC626"/>
      <c r="CD626"/>
      <c r="CE626"/>
    </row>
    <row r="627" spans="8:83">
      <c r="H627"/>
      <c r="I627"/>
      <c r="J627"/>
      <c r="U627"/>
      <c r="V627"/>
      <c r="W627"/>
      <c r="AE627"/>
      <c r="AF627"/>
      <c r="AG627"/>
      <c r="AO627"/>
      <c r="AP627"/>
      <c r="AQ627"/>
      <c r="AY627"/>
      <c r="AZ627"/>
      <c r="BA627"/>
      <c r="BI627"/>
      <c r="BJ627"/>
      <c r="BK627"/>
      <c r="BS627"/>
      <c r="BT627"/>
      <c r="BU627"/>
      <c r="CC627"/>
      <c r="CD627"/>
      <c r="CE627"/>
    </row>
    <row r="628" spans="8:83">
      <c r="H628"/>
      <c r="I628"/>
      <c r="J628"/>
      <c r="U628"/>
      <c r="V628"/>
      <c r="W628"/>
      <c r="AE628"/>
      <c r="AF628"/>
      <c r="AG628"/>
      <c r="AO628"/>
      <c r="AP628"/>
      <c r="AQ628"/>
      <c r="AY628"/>
      <c r="AZ628"/>
      <c r="BA628"/>
      <c r="BI628"/>
      <c r="BJ628"/>
      <c r="BK628"/>
      <c r="BS628"/>
      <c r="BT628"/>
      <c r="BU628"/>
      <c r="CC628"/>
      <c r="CD628"/>
      <c r="CE628"/>
    </row>
    <row r="629" spans="8:83">
      <c r="H629"/>
      <c r="I629"/>
      <c r="J629"/>
      <c r="U629"/>
      <c r="V629"/>
      <c r="W629"/>
      <c r="AE629"/>
      <c r="AF629"/>
      <c r="AG629"/>
      <c r="AO629"/>
      <c r="AP629"/>
      <c r="AQ629"/>
      <c r="AY629"/>
      <c r="AZ629"/>
      <c r="BA629"/>
      <c r="BI629"/>
      <c r="BJ629"/>
      <c r="BK629"/>
      <c r="BS629"/>
      <c r="BT629"/>
      <c r="BU629"/>
      <c r="CC629"/>
      <c r="CD629"/>
      <c r="CE629"/>
    </row>
    <row r="630" spans="8:83">
      <c r="H630"/>
      <c r="I630"/>
      <c r="J630"/>
      <c r="U630"/>
      <c r="V630"/>
      <c r="W630"/>
      <c r="AE630"/>
      <c r="AF630"/>
      <c r="AG630"/>
      <c r="AO630"/>
      <c r="AP630"/>
      <c r="AQ630"/>
      <c r="AY630"/>
      <c r="AZ630"/>
      <c r="BA630"/>
      <c r="BI630"/>
      <c r="BJ630"/>
      <c r="BK630"/>
      <c r="BS630"/>
      <c r="BT630"/>
      <c r="BU630"/>
      <c r="CC630"/>
      <c r="CD630"/>
      <c r="CE630"/>
    </row>
    <row r="631" spans="8:83">
      <c r="U631"/>
      <c r="V631"/>
      <c r="W631"/>
      <c r="AE631"/>
      <c r="AF631"/>
      <c r="AG631"/>
      <c r="AO631"/>
      <c r="AP631"/>
      <c r="AQ631"/>
      <c r="AY631"/>
      <c r="AZ631"/>
      <c r="BA631"/>
      <c r="BI631"/>
      <c r="BJ631"/>
      <c r="BK631"/>
      <c r="BS631"/>
      <c r="BT631"/>
      <c r="BU631"/>
      <c r="CC631"/>
      <c r="CD631"/>
      <c r="CE631"/>
    </row>
    <row r="632" spans="8:83">
      <c r="U632"/>
      <c r="V632"/>
      <c r="W632"/>
      <c r="AE632"/>
      <c r="AF632"/>
      <c r="AG632"/>
      <c r="AO632"/>
      <c r="AP632"/>
      <c r="AQ632"/>
      <c r="AY632"/>
      <c r="AZ632"/>
      <c r="BA632"/>
      <c r="BI632"/>
      <c r="BJ632"/>
      <c r="BK632"/>
      <c r="BS632"/>
      <c r="BT632"/>
      <c r="BU632"/>
      <c r="CC632"/>
      <c r="CD632"/>
      <c r="CE632"/>
    </row>
    <row r="633" spans="8:83">
      <c r="U633"/>
      <c r="V633"/>
      <c r="W633"/>
      <c r="AE633"/>
      <c r="AF633"/>
      <c r="AG633"/>
      <c r="AO633"/>
      <c r="AP633"/>
      <c r="AQ633"/>
      <c r="AY633"/>
      <c r="AZ633"/>
      <c r="BA633"/>
      <c r="BI633"/>
      <c r="BJ633"/>
      <c r="BK633"/>
      <c r="BS633"/>
      <c r="BT633"/>
      <c r="BU633"/>
      <c r="CC633"/>
      <c r="CD633"/>
      <c r="CE633"/>
    </row>
    <row r="634" spans="8:83">
      <c r="U634"/>
      <c r="V634"/>
      <c r="W634"/>
      <c r="AE634"/>
      <c r="AF634"/>
      <c r="AG634"/>
      <c r="AO634"/>
      <c r="AP634"/>
      <c r="AQ634"/>
      <c r="AY634"/>
      <c r="AZ634"/>
      <c r="BA634"/>
      <c r="BI634"/>
      <c r="BJ634"/>
      <c r="BK634"/>
      <c r="BS634"/>
      <c r="BT634"/>
      <c r="BU634"/>
      <c r="CC634"/>
      <c r="CD634"/>
      <c r="CE634"/>
    </row>
    <row r="635" spans="8:83">
      <c r="U635"/>
      <c r="V635"/>
      <c r="W635"/>
      <c r="AE635"/>
      <c r="AF635"/>
      <c r="AG635"/>
      <c r="AO635"/>
      <c r="AP635"/>
      <c r="AQ635"/>
      <c r="AY635"/>
      <c r="AZ635"/>
      <c r="BA635"/>
      <c r="BI635"/>
      <c r="BJ635"/>
      <c r="BK635"/>
      <c r="BS635"/>
      <c r="BT635"/>
      <c r="BU635"/>
      <c r="CC635"/>
      <c r="CD635"/>
      <c r="CE635"/>
    </row>
    <row r="636" spans="8:83">
      <c r="U636"/>
      <c r="V636"/>
      <c r="W636"/>
      <c r="AE636"/>
      <c r="AF636"/>
      <c r="AG636"/>
      <c r="AO636"/>
      <c r="AP636"/>
      <c r="AQ636"/>
      <c r="AY636"/>
      <c r="AZ636"/>
      <c r="BA636"/>
      <c r="BI636"/>
      <c r="BJ636"/>
      <c r="BK636"/>
      <c r="BS636"/>
      <c r="BT636"/>
      <c r="BU636"/>
      <c r="CC636"/>
      <c r="CD636"/>
      <c r="CE636"/>
    </row>
    <row r="637" spans="8:83">
      <c r="U637"/>
      <c r="V637"/>
      <c r="W637"/>
      <c r="AE637"/>
      <c r="AF637"/>
      <c r="AG637"/>
      <c r="AO637"/>
      <c r="AP637"/>
      <c r="AQ637"/>
      <c r="AY637"/>
      <c r="AZ637"/>
      <c r="BA637"/>
      <c r="BI637"/>
      <c r="BJ637"/>
      <c r="BK637"/>
      <c r="BS637"/>
      <c r="BT637"/>
      <c r="BU637"/>
      <c r="CC637"/>
      <c r="CD637"/>
      <c r="CE637"/>
    </row>
    <row r="638" spans="8:83">
      <c r="U638"/>
      <c r="V638"/>
      <c r="W638"/>
      <c r="AE638"/>
      <c r="AF638"/>
      <c r="AG638"/>
      <c r="AO638"/>
      <c r="AP638"/>
      <c r="AQ638"/>
      <c r="AY638"/>
      <c r="AZ638"/>
      <c r="BA638"/>
      <c r="BI638"/>
      <c r="BJ638"/>
      <c r="BK638"/>
      <c r="BS638"/>
      <c r="BT638"/>
      <c r="BU638"/>
      <c r="CC638"/>
      <c r="CD638"/>
      <c r="CE638"/>
    </row>
    <row r="639" spans="8:83">
      <c r="U639"/>
      <c r="V639"/>
      <c r="W639"/>
      <c r="AE639"/>
      <c r="AF639"/>
      <c r="AG639"/>
      <c r="AO639"/>
      <c r="AP639"/>
      <c r="AQ639"/>
      <c r="AY639"/>
      <c r="AZ639"/>
      <c r="BA639"/>
      <c r="BI639"/>
      <c r="BJ639"/>
      <c r="BK639"/>
      <c r="BS639"/>
      <c r="BT639"/>
      <c r="BU639"/>
      <c r="CC639"/>
      <c r="CD639"/>
      <c r="CE639"/>
    </row>
    <row r="640" spans="8:83">
      <c r="U640"/>
      <c r="V640"/>
      <c r="W640"/>
      <c r="AE640"/>
      <c r="AF640"/>
      <c r="AG640"/>
      <c r="AO640"/>
      <c r="AP640"/>
      <c r="AQ640"/>
      <c r="AY640"/>
      <c r="AZ640"/>
      <c r="BA640"/>
      <c r="BI640"/>
      <c r="BJ640"/>
      <c r="BK640"/>
      <c r="BS640"/>
      <c r="BT640"/>
      <c r="BU640"/>
      <c r="CC640"/>
      <c r="CD640"/>
      <c r="CE640"/>
    </row>
    <row r="641" spans="21:83">
      <c r="U641"/>
      <c r="V641"/>
      <c r="W641"/>
      <c r="AE641"/>
      <c r="AF641"/>
      <c r="AG641"/>
      <c r="AO641"/>
      <c r="AP641"/>
      <c r="AQ641"/>
      <c r="AY641"/>
      <c r="AZ641"/>
      <c r="BA641"/>
      <c r="BI641"/>
      <c r="BJ641"/>
      <c r="BK641"/>
      <c r="BS641"/>
      <c r="BT641"/>
      <c r="BU641"/>
      <c r="CC641"/>
      <c r="CD641"/>
      <c r="CE641"/>
    </row>
    <row r="642" spans="21:83">
      <c r="U642"/>
      <c r="V642"/>
      <c r="W642"/>
      <c r="AE642"/>
      <c r="AF642"/>
      <c r="AG642"/>
      <c r="AO642"/>
      <c r="AP642"/>
      <c r="AQ642"/>
      <c r="AY642"/>
      <c r="AZ642"/>
      <c r="BA642"/>
      <c r="BI642"/>
      <c r="BJ642"/>
      <c r="BK642"/>
      <c r="BS642"/>
      <c r="BT642"/>
      <c r="BU642"/>
      <c r="CC642"/>
      <c r="CD642"/>
      <c r="CE642"/>
    </row>
    <row r="643" spans="21:83">
      <c r="U643"/>
      <c r="V643"/>
      <c r="W643"/>
      <c r="AE643"/>
      <c r="AF643"/>
      <c r="AG643"/>
      <c r="AO643"/>
      <c r="AP643"/>
      <c r="AQ643"/>
      <c r="AY643"/>
      <c r="AZ643"/>
      <c r="BA643"/>
      <c r="BI643"/>
      <c r="BJ643"/>
      <c r="BK643"/>
      <c r="BS643"/>
      <c r="BT643"/>
      <c r="BU643"/>
      <c r="CC643"/>
      <c r="CD643"/>
      <c r="CE643"/>
    </row>
    <row r="644" spans="21:83">
      <c r="U644"/>
      <c r="V644"/>
      <c r="W644"/>
      <c r="AE644"/>
      <c r="AF644"/>
      <c r="AG644"/>
      <c r="AO644"/>
      <c r="AP644"/>
      <c r="AQ644"/>
      <c r="AY644"/>
      <c r="AZ644"/>
      <c r="BA644"/>
      <c r="BI644"/>
      <c r="BJ644"/>
      <c r="BK644"/>
      <c r="BS644"/>
      <c r="BT644"/>
      <c r="BU644"/>
      <c r="CC644"/>
      <c r="CD644"/>
      <c r="CE644"/>
    </row>
    <row r="645" spans="21:83">
      <c r="U645"/>
      <c r="V645"/>
      <c r="W645"/>
      <c r="AE645"/>
      <c r="AF645"/>
      <c r="AG645"/>
      <c r="AO645"/>
      <c r="AP645"/>
      <c r="AQ645"/>
      <c r="AY645"/>
      <c r="AZ645"/>
      <c r="BA645"/>
      <c r="BI645"/>
      <c r="BJ645"/>
      <c r="BK645"/>
      <c r="BS645"/>
      <c r="BT645"/>
      <c r="BU645"/>
      <c r="CC645"/>
      <c r="CD645"/>
      <c r="CE645"/>
    </row>
    <row r="646" spans="21:83">
      <c r="U646"/>
      <c r="V646"/>
      <c r="W646"/>
      <c r="AE646"/>
      <c r="AF646"/>
      <c r="AG646"/>
      <c r="AO646"/>
      <c r="AP646"/>
      <c r="AQ646"/>
      <c r="AY646"/>
      <c r="AZ646"/>
      <c r="BA646"/>
      <c r="BI646"/>
      <c r="BJ646"/>
      <c r="BK646"/>
      <c r="BS646"/>
      <c r="BT646"/>
      <c r="BU646"/>
      <c r="CC646"/>
      <c r="CD646"/>
      <c r="CE646"/>
    </row>
    <row r="647" spans="21:83">
      <c r="U647"/>
      <c r="V647"/>
      <c r="W647"/>
      <c r="AE647"/>
      <c r="AF647"/>
      <c r="AG647"/>
      <c r="AO647"/>
      <c r="AP647"/>
      <c r="AQ647"/>
      <c r="AY647"/>
      <c r="AZ647"/>
      <c r="BA647"/>
      <c r="BI647"/>
      <c r="BJ647"/>
      <c r="BK647"/>
      <c r="BS647"/>
      <c r="BT647"/>
      <c r="BU647"/>
      <c r="CC647"/>
      <c r="CD647"/>
      <c r="CE647"/>
    </row>
    <row r="648" spans="21:83">
      <c r="U648"/>
      <c r="V648"/>
      <c r="W648"/>
      <c r="AE648"/>
      <c r="AF648"/>
      <c r="AG648"/>
      <c r="AO648"/>
      <c r="AP648"/>
      <c r="AQ648"/>
      <c r="AY648"/>
      <c r="AZ648"/>
      <c r="BA648"/>
      <c r="BI648"/>
      <c r="BJ648"/>
      <c r="BK648"/>
      <c r="BS648"/>
      <c r="BT648"/>
      <c r="BU648"/>
      <c r="CC648"/>
      <c r="CD648"/>
      <c r="CE648"/>
    </row>
    <row r="649" spans="21:83">
      <c r="U649"/>
      <c r="V649"/>
      <c r="W649"/>
      <c r="AE649"/>
      <c r="AF649"/>
      <c r="AG649"/>
      <c r="AO649"/>
      <c r="AP649"/>
      <c r="AQ649"/>
      <c r="AY649"/>
      <c r="AZ649"/>
      <c r="BA649"/>
      <c r="BI649"/>
      <c r="BJ649"/>
      <c r="BK649"/>
      <c r="BS649"/>
      <c r="BT649"/>
      <c r="BU649"/>
      <c r="CC649"/>
      <c r="CD649"/>
      <c r="CE649"/>
    </row>
    <row r="650" spans="21:83">
      <c r="U650"/>
      <c r="V650"/>
      <c r="W650"/>
      <c r="AE650"/>
      <c r="AF650"/>
      <c r="AG650"/>
      <c r="AO650"/>
      <c r="AP650"/>
      <c r="AQ650"/>
      <c r="AY650"/>
      <c r="AZ650"/>
      <c r="BA650"/>
      <c r="BI650"/>
      <c r="BJ650"/>
      <c r="BK650"/>
      <c r="BS650"/>
      <c r="BT650"/>
      <c r="BU650"/>
      <c r="CC650"/>
      <c r="CD650"/>
      <c r="CE650"/>
    </row>
    <row r="651" spans="21:83">
      <c r="U651"/>
      <c r="V651"/>
      <c r="W651"/>
      <c r="AE651"/>
      <c r="AF651"/>
      <c r="AG651"/>
      <c r="AO651"/>
      <c r="AP651"/>
      <c r="AQ651"/>
      <c r="AY651"/>
      <c r="AZ651"/>
      <c r="BA651"/>
      <c r="BI651"/>
      <c r="BJ651"/>
      <c r="BK651"/>
      <c r="BS651"/>
      <c r="BT651"/>
      <c r="BU651"/>
      <c r="CC651"/>
      <c r="CD651"/>
      <c r="CE651"/>
    </row>
    <row r="652" spans="21:83">
      <c r="U652"/>
      <c r="V652"/>
      <c r="W652"/>
      <c r="AE652"/>
      <c r="AF652"/>
      <c r="AG652"/>
      <c r="AO652"/>
      <c r="AP652"/>
      <c r="AQ652"/>
      <c r="AY652"/>
      <c r="AZ652"/>
      <c r="BA652"/>
      <c r="BI652"/>
      <c r="BJ652"/>
      <c r="BK652"/>
      <c r="BS652"/>
      <c r="BT652"/>
      <c r="BU652"/>
      <c r="CC652"/>
      <c r="CD652"/>
      <c r="CE652"/>
    </row>
    <row r="653" spans="21:83">
      <c r="U653"/>
      <c r="V653"/>
      <c r="W653"/>
      <c r="AE653"/>
      <c r="AF653"/>
      <c r="AG653"/>
      <c r="AO653"/>
      <c r="AP653"/>
      <c r="AQ653"/>
      <c r="AY653"/>
      <c r="AZ653"/>
      <c r="BA653"/>
      <c r="BI653"/>
      <c r="BJ653"/>
      <c r="BK653"/>
      <c r="BS653"/>
      <c r="BT653"/>
      <c r="BU653"/>
      <c r="CC653"/>
      <c r="CD653"/>
      <c r="CE653"/>
    </row>
    <row r="654" spans="21:83">
      <c r="U654"/>
      <c r="V654"/>
      <c r="W654"/>
      <c r="AE654"/>
      <c r="AF654"/>
      <c r="AG654"/>
      <c r="AO654"/>
      <c r="AP654"/>
      <c r="AQ654"/>
      <c r="AY654"/>
      <c r="AZ654"/>
      <c r="BA654"/>
      <c r="BI654"/>
      <c r="BJ654"/>
      <c r="BK654"/>
      <c r="BS654"/>
      <c r="BT654"/>
      <c r="BU654"/>
      <c r="CC654"/>
      <c r="CD654"/>
      <c r="CE654"/>
    </row>
    <row r="655" spans="21:83">
      <c r="U655"/>
      <c r="V655"/>
      <c r="W655"/>
      <c r="AE655"/>
      <c r="AF655"/>
      <c r="AG655"/>
      <c r="AO655"/>
      <c r="AP655"/>
      <c r="AQ655"/>
      <c r="AY655"/>
      <c r="AZ655"/>
      <c r="BA655"/>
      <c r="BI655"/>
      <c r="BJ655"/>
      <c r="BK655"/>
      <c r="BS655"/>
      <c r="BT655"/>
      <c r="BU655"/>
      <c r="CC655"/>
      <c r="CD655"/>
      <c r="CE655"/>
    </row>
    <row r="656" spans="21:83">
      <c r="U656"/>
      <c r="V656"/>
      <c r="W656"/>
      <c r="AE656"/>
      <c r="AF656"/>
      <c r="AG656"/>
      <c r="AO656"/>
      <c r="AP656"/>
      <c r="AQ656"/>
      <c r="AY656"/>
      <c r="AZ656"/>
      <c r="BA656"/>
      <c r="BI656"/>
      <c r="BJ656"/>
      <c r="BK656"/>
      <c r="BS656"/>
      <c r="BT656"/>
      <c r="BU656"/>
      <c r="CC656"/>
      <c r="CD656"/>
      <c r="CE656"/>
    </row>
    <row r="657" spans="21:83">
      <c r="U657"/>
      <c r="V657"/>
      <c r="W657"/>
      <c r="AE657"/>
      <c r="AF657"/>
      <c r="AG657"/>
      <c r="AO657"/>
      <c r="AP657"/>
      <c r="AQ657"/>
      <c r="AY657"/>
      <c r="AZ657"/>
      <c r="BA657"/>
      <c r="BI657"/>
      <c r="BJ657"/>
      <c r="BK657"/>
      <c r="BS657"/>
      <c r="BT657"/>
      <c r="BU657"/>
      <c r="CC657"/>
      <c r="CD657"/>
      <c r="CE657"/>
    </row>
    <row r="658" spans="21:83">
      <c r="U658"/>
      <c r="V658"/>
      <c r="W658"/>
      <c r="AE658"/>
      <c r="AF658"/>
      <c r="AG658"/>
      <c r="AO658"/>
      <c r="AP658"/>
      <c r="AQ658"/>
      <c r="AY658"/>
      <c r="AZ658"/>
      <c r="BA658"/>
      <c r="BI658"/>
      <c r="BJ658"/>
      <c r="BK658"/>
      <c r="BS658"/>
      <c r="BT658"/>
      <c r="BU658"/>
      <c r="CC658"/>
      <c r="CD658"/>
      <c r="CE658"/>
    </row>
    <row r="659" spans="21:83">
      <c r="U659"/>
      <c r="V659"/>
      <c r="W659"/>
      <c r="AE659"/>
      <c r="AF659"/>
      <c r="AG659"/>
      <c r="AO659"/>
      <c r="AP659"/>
      <c r="AQ659"/>
      <c r="AY659"/>
      <c r="AZ659"/>
      <c r="BA659"/>
      <c r="BI659"/>
      <c r="BJ659"/>
      <c r="BK659"/>
      <c r="BS659"/>
      <c r="BT659"/>
      <c r="BU659"/>
      <c r="CC659"/>
      <c r="CD659"/>
      <c r="CE659"/>
    </row>
    <row r="660" spans="21:83">
      <c r="U660"/>
      <c r="V660"/>
      <c r="W660"/>
      <c r="AE660"/>
      <c r="AF660"/>
      <c r="AG660"/>
      <c r="AO660"/>
      <c r="AP660"/>
      <c r="AQ660"/>
      <c r="AY660"/>
      <c r="AZ660"/>
      <c r="BA660"/>
      <c r="BI660"/>
      <c r="BJ660"/>
      <c r="BK660"/>
      <c r="BS660"/>
      <c r="BT660"/>
      <c r="BU660"/>
      <c r="CC660"/>
      <c r="CD660"/>
      <c r="CE660"/>
    </row>
    <row r="661" spans="21:83">
      <c r="U661"/>
      <c r="V661"/>
      <c r="W661"/>
      <c r="AE661"/>
      <c r="AF661"/>
      <c r="AG661"/>
      <c r="AO661"/>
      <c r="AP661"/>
      <c r="AQ661"/>
      <c r="AY661"/>
      <c r="AZ661"/>
      <c r="BA661"/>
      <c r="BI661"/>
      <c r="BJ661"/>
      <c r="BK661"/>
      <c r="BS661"/>
      <c r="BT661"/>
      <c r="BU661"/>
      <c r="CC661"/>
      <c r="CD661"/>
      <c r="CE661"/>
    </row>
    <row r="662" spans="21:83">
      <c r="U662"/>
      <c r="V662"/>
      <c r="W662"/>
      <c r="AE662"/>
      <c r="AF662"/>
      <c r="AG662"/>
      <c r="AO662"/>
      <c r="AP662"/>
      <c r="AQ662"/>
      <c r="AY662"/>
      <c r="AZ662"/>
      <c r="BA662"/>
      <c r="BI662"/>
      <c r="BJ662"/>
      <c r="BK662"/>
      <c r="BS662"/>
      <c r="BT662"/>
      <c r="BU662"/>
      <c r="CC662"/>
      <c r="CD662"/>
      <c r="CE662"/>
    </row>
    <row r="663" spans="21:83">
      <c r="U663"/>
      <c r="V663"/>
      <c r="W663"/>
      <c r="AE663"/>
      <c r="AF663"/>
      <c r="AG663"/>
      <c r="AO663"/>
      <c r="AP663"/>
      <c r="AQ663"/>
      <c r="AY663"/>
      <c r="AZ663"/>
      <c r="BA663"/>
      <c r="BI663"/>
      <c r="BJ663"/>
      <c r="BK663"/>
      <c r="BS663"/>
      <c r="BT663"/>
      <c r="BU663"/>
      <c r="CC663"/>
      <c r="CD663"/>
      <c r="CE663"/>
    </row>
    <row r="664" spans="21:83">
      <c r="U664"/>
      <c r="V664"/>
      <c r="W664"/>
      <c r="AE664"/>
      <c r="AF664"/>
      <c r="AG664"/>
      <c r="AO664"/>
      <c r="AP664"/>
      <c r="AQ664"/>
      <c r="AY664"/>
      <c r="AZ664"/>
      <c r="BA664"/>
      <c r="BI664"/>
      <c r="BJ664"/>
      <c r="BK664"/>
      <c r="BS664"/>
      <c r="BT664"/>
      <c r="BU664"/>
      <c r="CC664"/>
      <c r="CD664"/>
      <c r="CE664"/>
    </row>
    <row r="665" spans="21:83">
      <c r="U665"/>
      <c r="V665"/>
      <c r="W665"/>
      <c r="AE665"/>
      <c r="AF665"/>
      <c r="AG665"/>
      <c r="AO665"/>
      <c r="AP665"/>
      <c r="AQ665"/>
      <c r="AY665"/>
      <c r="AZ665"/>
      <c r="BA665"/>
      <c r="BI665"/>
      <c r="BJ665"/>
      <c r="BK665"/>
      <c r="BS665"/>
      <c r="BT665"/>
      <c r="BU665"/>
      <c r="CC665"/>
      <c r="CD665"/>
      <c r="CE665"/>
    </row>
    <row r="666" spans="21:83">
      <c r="U666"/>
      <c r="V666"/>
      <c r="W666"/>
      <c r="AE666"/>
      <c r="AF666"/>
      <c r="AG666"/>
      <c r="AO666"/>
      <c r="AP666"/>
      <c r="AQ666"/>
      <c r="AY666"/>
      <c r="AZ666"/>
      <c r="BA666"/>
      <c r="BI666"/>
      <c r="BJ666"/>
      <c r="BK666"/>
      <c r="BS666"/>
      <c r="BT666"/>
      <c r="BU666"/>
      <c r="CC666"/>
      <c r="CD666"/>
      <c r="CE666"/>
    </row>
    <row r="667" spans="21:83">
      <c r="U667"/>
      <c r="V667"/>
      <c r="W667"/>
      <c r="AE667"/>
      <c r="AF667"/>
      <c r="AG667"/>
      <c r="AO667"/>
      <c r="AP667"/>
      <c r="AQ667"/>
      <c r="AY667"/>
      <c r="AZ667"/>
      <c r="BA667"/>
      <c r="BI667"/>
      <c r="BJ667"/>
      <c r="BK667"/>
      <c r="BS667"/>
      <c r="BT667"/>
      <c r="BU667"/>
      <c r="CC667"/>
      <c r="CD667"/>
      <c r="CE667"/>
    </row>
    <row r="668" spans="21:83">
      <c r="U668"/>
      <c r="V668"/>
      <c r="W668"/>
      <c r="AE668"/>
      <c r="AF668"/>
      <c r="AG668"/>
      <c r="AO668"/>
      <c r="AP668"/>
      <c r="AQ668"/>
      <c r="AY668"/>
      <c r="AZ668"/>
      <c r="BA668"/>
      <c r="BI668"/>
      <c r="BJ668"/>
      <c r="BK668"/>
      <c r="BS668"/>
      <c r="BT668"/>
      <c r="BU668"/>
      <c r="CC668"/>
      <c r="CD668"/>
      <c r="CE668"/>
    </row>
    <row r="669" spans="21:83">
      <c r="U669"/>
      <c r="V669"/>
      <c r="W669"/>
      <c r="AE669"/>
      <c r="AF669"/>
      <c r="AG669"/>
      <c r="AO669"/>
      <c r="AP669"/>
      <c r="AQ669"/>
      <c r="AY669"/>
      <c r="AZ669"/>
      <c r="BA669"/>
      <c r="BI669"/>
      <c r="BJ669"/>
      <c r="BK669"/>
      <c r="BS669"/>
      <c r="BT669"/>
      <c r="BU669"/>
      <c r="CC669"/>
      <c r="CD669"/>
      <c r="CE669"/>
    </row>
    <row r="670" spans="21:83">
      <c r="U670"/>
      <c r="V670"/>
      <c r="W670"/>
      <c r="AE670"/>
      <c r="AF670"/>
      <c r="AG670"/>
      <c r="AO670"/>
      <c r="AP670"/>
      <c r="AQ670"/>
      <c r="AY670"/>
      <c r="AZ670"/>
      <c r="BA670"/>
      <c r="BI670"/>
      <c r="BJ670"/>
      <c r="BK670"/>
      <c r="BS670"/>
      <c r="BT670"/>
      <c r="BU670"/>
      <c r="CC670"/>
      <c r="CD670"/>
      <c r="CE670"/>
    </row>
    <row r="671" spans="21:83">
      <c r="U671"/>
      <c r="V671"/>
      <c r="W671"/>
      <c r="AE671"/>
      <c r="AF671"/>
      <c r="AG671"/>
      <c r="AO671"/>
      <c r="AP671"/>
      <c r="AQ671"/>
      <c r="AY671"/>
      <c r="AZ671"/>
      <c r="BA671"/>
      <c r="BI671"/>
      <c r="BJ671"/>
      <c r="BK671"/>
      <c r="BS671"/>
      <c r="BT671"/>
      <c r="BU671"/>
      <c r="CC671"/>
      <c r="CD671"/>
      <c r="CE671"/>
    </row>
    <row r="672" spans="21:83">
      <c r="U672"/>
      <c r="V672"/>
      <c r="W672"/>
      <c r="AE672"/>
      <c r="AF672"/>
      <c r="AG672"/>
      <c r="AO672"/>
      <c r="AP672"/>
      <c r="AQ672"/>
      <c r="AY672"/>
      <c r="AZ672"/>
      <c r="BA672"/>
      <c r="BI672"/>
      <c r="BJ672"/>
      <c r="BK672"/>
      <c r="BS672"/>
      <c r="BT672"/>
      <c r="BU672"/>
      <c r="CC672"/>
      <c r="CD672"/>
      <c r="CE672"/>
    </row>
    <row r="673" spans="21:83">
      <c r="U673"/>
      <c r="V673"/>
      <c r="W673"/>
      <c r="AE673"/>
      <c r="AF673"/>
      <c r="AG673"/>
      <c r="AO673"/>
      <c r="AP673"/>
      <c r="AQ673"/>
      <c r="AY673"/>
      <c r="AZ673"/>
      <c r="BA673"/>
      <c r="BI673"/>
      <c r="BJ673"/>
      <c r="BK673"/>
      <c r="BS673"/>
      <c r="BT673"/>
      <c r="BU673"/>
      <c r="CC673"/>
      <c r="CD673"/>
      <c r="CE673"/>
    </row>
    <row r="674" spans="21:83">
      <c r="U674"/>
      <c r="V674"/>
      <c r="W674"/>
      <c r="AE674"/>
      <c r="AF674"/>
      <c r="AG674"/>
      <c r="AO674"/>
      <c r="AP674"/>
      <c r="AQ674"/>
      <c r="AY674"/>
      <c r="AZ674"/>
      <c r="BA674"/>
      <c r="BI674"/>
      <c r="BJ674"/>
      <c r="BK674"/>
      <c r="BS674"/>
      <c r="BT674"/>
      <c r="BU674"/>
      <c r="CC674"/>
      <c r="CD674"/>
      <c r="CE674"/>
    </row>
    <row r="675" spans="21:83">
      <c r="U675"/>
      <c r="V675"/>
      <c r="W675"/>
      <c r="AE675"/>
      <c r="AF675"/>
      <c r="AG675"/>
      <c r="AO675"/>
      <c r="AP675"/>
      <c r="AQ675"/>
      <c r="AY675"/>
      <c r="AZ675"/>
      <c r="BA675"/>
      <c r="BI675"/>
      <c r="BJ675"/>
      <c r="BK675"/>
      <c r="BS675"/>
      <c r="BT675"/>
      <c r="BU675"/>
      <c r="CC675"/>
      <c r="CD675"/>
      <c r="CE675"/>
    </row>
    <row r="676" spans="21:83">
      <c r="U676"/>
      <c r="V676"/>
      <c r="W676"/>
      <c r="AE676"/>
      <c r="AF676"/>
      <c r="AG676"/>
      <c r="AO676"/>
      <c r="AP676"/>
      <c r="AQ676"/>
      <c r="AY676"/>
      <c r="AZ676"/>
      <c r="BA676"/>
      <c r="BI676"/>
      <c r="BJ676"/>
      <c r="BK676"/>
      <c r="BS676"/>
      <c r="BT676"/>
      <c r="BU676"/>
      <c r="CC676"/>
      <c r="CD676"/>
      <c r="CE676"/>
    </row>
    <row r="677" spans="21:83">
      <c r="U677"/>
      <c r="V677"/>
      <c r="W677"/>
      <c r="AE677"/>
      <c r="AF677"/>
      <c r="AG677"/>
      <c r="AO677"/>
      <c r="AP677"/>
      <c r="AQ677"/>
      <c r="AY677"/>
      <c r="AZ677"/>
      <c r="BA677"/>
      <c r="BI677"/>
      <c r="BJ677"/>
      <c r="BK677"/>
      <c r="BS677"/>
      <c r="BT677"/>
      <c r="BU677"/>
      <c r="CC677"/>
      <c r="CD677"/>
      <c r="CE677"/>
    </row>
    <row r="678" spans="21:83">
      <c r="U678"/>
      <c r="V678"/>
      <c r="W678"/>
      <c r="AE678"/>
      <c r="AF678"/>
      <c r="AG678"/>
      <c r="AO678"/>
      <c r="AP678"/>
      <c r="AQ678"/>
      <c r="AY678"/>
      <c r="AZ678"/>
      <c r="BA678"/>
      <c r="BI678"/>
      <c r="BJ678"/>
      <c r="BK678"/>
      <c r="BS678"/>
      <c r="BT678"/>
      <c r="BU678"/>
      <c r="CC678"/>
      <c r="CD678"/>
      <c r="CE678"/>
    </row>
    <row r="679" spans="21:83">
      <c r="U679"/>
      <c r="V679"/>
      <c r="W679"/>
      <c r="AE679"/>
      <c r="AF679"/>
      <c r="AG679"/>
      <c r="AO679"/>
      <c r="AP679"/>
      <c r="AQ679"/>
      <c r="AY679"/>
      <c r="AZ679"/>
      <c r="BA679"/>
      <c r="BI679"/>
      <c r="BJ679"/>
      <c r="BK679"/>
      <c r="BS679"/>
      <c r="BT679"/>
      <c r="BU679"/>
      <c r="CC679"/>
      <c r="CD679"/>
      <c r="CE679"/>
    </row>
    <row r="680" spans="21:83">
      <c r="U680"/>
      <c r="V680"/>
      <c r="W680"/>
      <c r="AE680"/>
      <c r="AF680"/>
      <c r="AG680"/>
      <c r="AO680"/>
      <c r="AP680"/>
      <c r="AQ680"/>
      <c r="AY680"/>
      <c r="AZ680"/>
      <c r="BA680"/>
      <c r="BI680"/>
      <c r="BJ680"/>
      <c r="BK680"/>
      <c r="BS680"/>
      <c r="BT680"/>
      <c r="BU680"/>
      <c r="CC680"/>
      <c r="CD680"/>
      <c r="CE680"/>
    </row>
    <row r="681" spans="21:83">
      <c r="U681"/>
      <c r="V681"/>
      <c r="W681"/>
      <c r="AE681"/>
      <c r="AF681"/>
      <c r="AG681"/>
      <c r="AO681"/>
      <c r="AP681"/>
      <c r="AQ681"/>
      <c r="AY681"/>
      <c r="AZ681"/>
      <c r="BA681"/>
      <c r="BI681"/>
      <c r="BJ681"/>
      <c r="BK681"/>
      <c r="BS681"/>
      <c r="BT681"/>
      <c r="BU681"/>
      <c r="CC681"/>
      <c r="CD681"/>
      <c r="CE681"/>
    </row>
    <row r="682" spans="21:83">
      <c r="U682"/>
      <c r="V682"/>
      <c r="W682"/>
      <c r="AE682"/>
      <c r="AF682"/>
      <c r="AG682"/>
      <c r="AO682"/>
      <c r="AP682"/>
      <c r="AQ682"/>
      <c r="AY682"/>
      <c r="AZ682"/>
      <c r="BA682"/>
      <c r="BI682"/>
      <c r="BJ682"/>
      <c r="BK682"/>
      <c r="BS682"/>
      <c r="BT682"/>
      <c r="BU682"/>
      <c r="CC682"/>
      <c r="CD682"/>
      <c r="CE682"/>
    </row>
    <row r="683" spans="21:83">
      <c r="U683"/>
      <c r="V683"/>
      <c r="W683"/>
      <c r="AE683"/>
      <c r="AF683"/>
      <c r="AG683"/>
      <c r="AO683"/>
      <c r="AP683"/>
      <c r="AQ683"/>
      <c r="AY683"/>
      <c r="AZ683"/>
      <c r="BA683"/>
      <c r="BI683"/>
      <c r="BJ683"/>
      <c r="BK683"/>
      <c r="BS683"/>
      <c r="BT683"/>
      <c r="BU683"/>
      <c r="CC683"/>
      <c r="CD683"/>
      <c r="CE683"/>
    </row>
    <row r="684" spans="21:83">
      <c r="U684"/>
      <c r="V684"/>
      <c r="W684"/>
      <c r="AE684"/>
      <c r="AF684"/>
      <c r="AG684"/>
      <c r="AO684"/>
      <c r="AP684"/>
      <c r="AQ684"/>
      <c r="AY684"/>
      <c r="AZ684"/>
      <c r="BA684"/>
      <c r="BI684"/>
      <c r="BJ684"/>
      <c r="BK684"/>
      <c r="BS684"/>
      <c r="BT684"/>
      <c r="BU684"/>
      <c r="CC684"/>
      <c r="CD684"/>
      <c r="CE684"/>
    </row>
    <row r="685" spans="21:83">
      <c r="U685"/>
      <c r="V685"/>
      <c r="W685"/>
      <c r="AE685"/>
      <c r="AF685"/>
      <c r="AG685"/>
      <c r="AO685"/>
      <c r="AP685"/>
      <c r="AQ685"/>
      <c r="AY685"/>
      <c r="AZ685"/>
      <c r="BA685"/>
      <c r="BI685"/>
      <c r="BJ685"/>
      <c r="BK685"/>
      <c r="BS685"/>
      <c r="BT685"/>
      <c r="BU685"/>
      <c r="CC685"/>
      <c r="CD685"/>
      <c r="CE685"/>
    </row>
    <row r="686" spans="21:83">
      <c r="U686"/>
      <c r="V686"/>
      <c r="W686"/>
      <c r="AE686"/>
      <c r="AF686"/>
      <c r="AG686"/>
      <c r="AO686"/>
      <c r="AP686"/>
      <c r="AQ686"/>
      <c r="AY686"/>
      <c r="AZ686"/>
      <c r="BA686"/>
      <c r="BI686"/>
      <c r="BJ686"/>
      <c r="BK686"/>
      <c r="BS686"/>
      <c r="BT686"/>
      <c r="BU686"/>
      <c r="CC686"/>
      <c r="CD686"/>
      <c r="CE686"/>
    </row>
    <row r="687" spans="21:83">
      <c r="U687"/>
      <c r="V687"/>
      <c r="W687"/>
      <c r="AE687"/>
      <c r="AF687"/>
      <c r="AG687"/>
      <c r="AO687"/>
      <c r="AP687"/>
      <c r="AQ687"/>
      <c r="AY687"/>
      <c r="AZ687"/>
      <c r="BA687"/>
      <c r="BI687"/>
      <c r="BJ687"/>
      <c r="BK687"/>
      <c r="BS687"/>
      <c r="BT687"/>
      <c r="BU687"/>
      <c r="CC687"/>
      <c r="CD687"/>
      <c r="CE687"/>
    </row>
    <row r="688" spans="21:83">
      <c r="U688"/>
      <c r="V688"/>
      <c r="W688"/>
      <c r="AE688"/>
      <c r="AF688"/>
      <c r="AG688"/>
      <c r="AO688"/>
      <c r="AP688"/>
      <c r="AQ688"/>
      <c r="AY688"/>
      <c r="AZ688"/>
      <c r="BA688"/>
      <c r="BI688"/>
      <c r="BJ688"/>
      <c r="BK688"/>
      <c r="BS688"/>
      <c r="BT688"/>
      <c r="BU688"/>
      <c r="CC688"/>
      <c r="CD688"/>
      <c r="CE688"/>
    </row>
    <row r="689" spans="21:83">
      <c r="U689"/>
      <c r="V689"/>
      <c r="W689"/>
      <c r="AE689"/>
      <c r="AF689"/>
      <c r="AG689"/>
      <c r="AO689"/>
      <c r="AP689"/>
      <c r="AQ689"/>
      <c r="AY689"/>
      <c r="AZ689"/>
      <c r="BA689"/>
      <c r="BI689"/>
      <c r="BJ689"/>
      <c r="BK689"/>
      <c r="BS689"/>
      <c r="BT689"/>
      <c r="BU689"/>
      <c r="CC689"/>
      <c r="CD689"/>
      <c r="CE689"/>
    </row>
    <row r="690" spans="21:83">
      <c r="U690"/>
      <c r="V690"/>
      <c r="W690"/>
      <c r="AE690"/>
      <c r="AF690"/>
      <c r="AG690"/>
      <c r="AO690"/>
      <c r="AP690"/>
      <c r="AQ690"/>
      <c r="AY690"/>
      <c r="AZ690"/>
      <c r="BA690"/>
      <c r="BI690"/>
      <c r="BJ690"/>
      <c r="BK690"/>
      <c r="BS690"/>
      <c r="BT690"/>
      <c r="BU690"/>
      <c r="CC690"/>
      <c r="CD690"/>
      <c r="CE690"/>
    </row>
    <row r="691" spans="21:83">
      <c r="U691"/>
      <c r="V691"/>
      <c r="W691"/>
      <c r="AE691"/>
      <c r="AF691"/>
      <c r="AG691"/>
      <c r="AO691"/>
      <c r="AP691"/>
      <c r="AQ691"/>
      <c r="AY691"/>
      <c r="AZ691"/>
      <c r="BA691"/>
      <c r="BI691"/>
      <c r="BJ691"/>
      <c r="BK691"/>
      <c r="BS691"/>
      <c r="BT691"/>
      <c r="BU691"/>
      <c r="CC691"/>
      <c r="CD691"/>
      <c r="CE691"/>
    </row>
    <row r="692" spans="21:83">
      <c r="U692"/>
      <c r="V692"/>
      <c r="W692"/>
      <c r="AE692"/>
      <c r="AF692"/>
      <c r="AG692"/>
      <c r="AO692"/>
      <c r="AP692"/>
      <c r="AQ692"/>
      <c r="AY692"/>
      <c r="AZ692"/>
      <c r="BA692"/>
      <c r="BI692"/>
      <c r="BJ692"/>
      <c r="BK692"/>
      <c r="BS692"/>
      <c r="BT692"/>
      <c r="BU692"/>
      <c r="CC692"/>
      <c r="CD692"/>
      <c r="CE692"/>
    </row>
    <row r="693" spans="21:83">
      <c r="U693"/>
      <c r="V693"/>
      <c r="W693"/>
      <c r="AE693"/>
      <c r="AF693"/>
      <c r="AG693"/>
      <c r="AO693"/>
      <c r="AP693"/>
      <c r="AQ693"/>
      <c r="AY693"/>
      <c r="AZ693"/>
      <c r="BA693"/>
      <c r="BI693"/>
      <c r="BJ693"/>
      <c r="BK693"/>
      <c r="BS693"/>
      <c r="BT693"/>
      <c r="BU693"/>
      <c r="CC693"/>
      <c r="CD693"/>
      <c r="CE693"/>
    </row>
    <row r="694" spans="21:83">
      <c r="U694"/>
      <c r="V694"/>
      <c r="W694"/>
      <c r="AE694"/>
      <c r="AF694"/>
      <c r="AG694"/>
      <c r="AO694"/>
      <c r="AP694"/>
      <c r="AQ694"/>
      <c r="AY694"/>
      <c r="AZ694"/>
      <c r="BA694"/>
      <c r="BI694"/>
      <c r="BJ694"/>
      <c r="BK694"/>
      <c r="BS694"/>
      <c r="BT694"/>
      <c r="BU694"/>
      <c r="CC694"/>
      <c r="CD694"/>
      <c r="CE694"/>
    </row>
    <row r="695" spans="21:83">
      <c r="U695"/>
      <c r="V695"/>
      <c r="W695"/>
      <c r="AE695"/>
      <c r="AF695"/>
      <c r="AG695"/>
      <c r="AO695"/>
      <c r="AP695"/>
      <c r="AQ695"/>
      <c r="AY695"/>
      <c r="AZ695"/>
      <c r="BA695"/>
      <c r="BI695"/>
      <c r="BJ695"/>
      <c r="BK695"/>
      <c r="BS695"/>
      <c r="BT695"/>
      <c r="BU695"/>
      <c r="CC695"/>
      <c r="CD695"/>
      <c r="CE695"/>
    </row>
    <row r="696" spans="21:83">
      <c r="U696"/>
      <c r="V696"/>
      <c r="W696"/>
      <c r="AE696"/>
      <c r="AF696"/>
      <c r="AG696"/>
      <c r="AO696"/>
      <c r="AP696"/>
      <c r="AQ696"/>
      <c r="AY696"/>
      <c r="AZ696"/>
      <c r="BA696"/>
      <c r="BI696"/>
      <c r="BJ696"/>
      <c r="BK696"/>
      <c r="BS696"/>
      <c r="BT696"/>
      <c r="BU696"/>
      <c r="CC696"/>
      <c r="CD696"/>
      <c r="CE696"/>
    </row>
    <row r="697" spans="21:83">
      <c r="U697"/>
      <c r="V697"/>
      <c r="W697"/>
      <c r="AE697"/>
      <c r="AF697"/>
      <c r="AG697"/>
      <c r="AO697"/>
      <c r="AP697"/>
      <c r="AQ697"/>
      <c r="AY697"/>
      <c r="AZ697"/>
      <c r="BA697"/>
      <c r="BI697"/>
      <c r="BJ697"/>
      <c r="BK697"/>
      <c r="BS697"/>
      <c r="BT697"/>
      <c r="BU697"/>
      <c r="CC697"/>
      <c r="CD697"/>
      <c r="CE697"/>
    </row>
    <row r="698" spans="21:83">
      <c r="U698"/>
      <c r="V698"/>
      <c r="W698"/>
      <c r="AE698"/>
      <c r="AF698"/>
      <c r="AG698"/>
      <c r="AO698"/>
      <c r="AP698"/>
      <c r="AQ698"/>
      <c r="AY698"/>
      <c r="AZ698"/>
      <c r="BA698"/>
      <c r="BI698"/>
      <c r="BJ698"/>
      <c r="BK698"/>
      <c r="BS698"/>
      <c r="BT698"/>
      <c r="BU698"/>
      <c r="CC698"/>
      <c r="CD698"/>
      <c r="CE698"/>
    </row>
    <row r="699" spans="21:83">
      <c r="U699"/>
      <c r="V699"/>
      <c r="W699"/>
      <c r="AE699"/>
      <c r="AF699"/>
      <c r="AG699"/>
      <c r="AO699"/>
      <c r="AP699"/>
      <c r="AQ699"/>
      <c r="AY699"/>
      <c r="AZ699"/>
      <c r="BA699"/>
      <c r="BI699"/>
      <c r="BJ699"/>
      <c r="BK699"/>
      <c r="BS699"/>
      <c r="BT699"/>
      <c r="BU699"/>
      <c r="CC699"/>
      <c r="CD699"/>
      <c r="CE699"/>
    </row>
    <row r="700" spans="21:83">
      <c r="U700"/>
      <c r="V700"/>
      <c r="W700"/>
      <c r="AE700"/>
      <c r="AF700"/>
      <c r="AG700"/>
      <c r="AO700"/>
      <c r="AP700"/>
      <c r="AQ700"/>
      <c r="AY700"/>
      <c r="AZ700"/>
      <c r="BA700"/>
      <c r="BI700"/>
      <c r="BJ700"/>
      <c r="BK700"/>
      <c r="BS700"/>
      <c r="BT700"/>
      <c r="BU700"/>
      <c r="CC700"/>
      <c r="CD700"/>
      <c r="CE700"/>
    </row>
    <row r="701" spans="21:83">
      <c r="U701"/>
      <c r="V701"/>
      <c r="W701"/>
      <c r="AE701"/>
      <c r="AF701"/>
      <c r="AG701"/>
      <c r="AO701"/>
      <c r="AP701"/>
      <c r="AQ701"/>
      <c r="AY701"/>
      <c r="AZ701"/>
      <c r="BA701"/>
      <c r="BI701"/>
      <c r="BJ701"/>
      <c r="BK701"/>
      <c r="BS701"/>
      <c r="BT701"/>
      <c r="BU701"/>
      <c r="CC701"/>
      <c r="CD701"/>
      <c r="CE701"/>
    </row>
    <row r="702" spans="21:83">
      <c r="U702"/>
      <c r="V702"/>
      <c r="W702"/>
      <c r="AE702"/>
      <c r="AF702"/>
      <c r="AG702"/>
      <c r="AO702"/>
      <c r="AP702"/>
      <c r="AQ702"/>
      <c r="AY702"/>
      <c r="AZ702"/>
      <c r="BA702"/>
      <c r="BI702"/>
      <c r="BJ702"/>
      <c r="BK702"/>
      <c r="BS702"/>
      <c r="BT702"/>
      <c r="BU702"/>
      <c r="CC702"/>
      <c r="CD702"/>
      <c r="CE702"/>
    </row>
    <row r="703" spans="21:83">
      <c r="U703"/>
      <c r="V703"/>
      <c r="W703"/>
      <c r="AE703"/>
      <c r="AF703"/>
      <c r="AG703"/>
      <c r="AO703"/>
      <c r="AP703"/>
      <c r="AQ703"/>
      <c r="AY703"/>
      <c r="AZ703"/>
      <c r="BA703"/>
      <c r="BI703"/>
      <c r="BJ703"/>
      <c r="BK703"/>
      <c r="BS703"/>
      <c r="BT703"/>
      <c r="BU703"/>
      <c r="CC703"/>
      <c r="CD703"/>
      <c r="CE703"/>
    </row>
    <row r="704" spans="21:83">
      <c r="U704"/>
      <c r="V704"/>
      <c r="W704"/>
      <c r="AE704"/>
      <c r="AF704"/>
      <c r="AG704"/>
      <c r="AO704"/>
      <c r="AP704"/>
      <c r="AQ704"/>
      <c r="AY704"/>
      <c r="AZ704"/>
      <c r="BA704"/>
      <c r="BI704"/>
      <c r="BJ704"/>
      <c r="BK704"/>
      <c r="BS704"/>
      <c r="BT704"/>
      <c r="BU704"/>
      <c r="CC704"/>
      <c r="CD704"/>
      <c r="CE704"/>
    </row>
    <row r="705" spans="21:83">
      <c r="U705"/>
      <c r="V705"/>
      <c r="W705"/>
      <c r="AE705"/>
      <c r="AF705"/>
      <c r="AG705"/>
      <c r="AO705"/>
      <c r="AP705"/>
      <c r="AQ705"/>
      <c r="AY705"/>
      <c r="AZ705"/>
      <c r="BA705"/>
      <c r="BI705"/>
      <c r="BJ705"/>
      <c r="BK705"/>
      <c r="BS705"/>
      <c r="BT705"/>
      <c r="BU705"/>
      <c r="CC705"/>
      <c r="CD705"/>
      <c r="CE705"/>
    </row>
    <row r="706" spans="21:83">
      <c r="U706"/>
      <c r="V706"/>
      <c r="W706"/>
      <c r="AE706"/>
      <c r="AF706"/>
      <c r="AG706"/>
      <c r="AO706"/>
      <c r="AP706"/>
      <c r="AQ706"/>
      <c r="AY706"/>
      <c r="AZ706"/>
      <c r="BA706"/>
      <c r="BI706"/>
      <c r="BJ706"/>
      <c r="BK706"/>
      <c r="BS706"/>
      <c r="BT706"/>
      <c r="BU706"/>
      <c r="CC706"/>
      <c r="CD706"/>
      <c r="CE706"/>
    </row>
    <row r="707" spans="21:83">
      <c r="U707"/>
      <c r="V707"/>
      <c r="W707"/>
      <c r="AE707"/>
      <c r="AF707"/>
      <c r="AG707"/>
      <c r="AO707"/>
      <c r="AP707"/>
      <c r="AQ707"/>
      <c r="AY707"/>
      <c r="AZ707"/>
      <c r="BA707"/>
      <c r="BI707"/>
      <c r="BJ707"/>
      <c r="BK707"/>
      <c r="BS707"/>
      <c r="BT707"/>
      <c r="BU707"/>
      <c r="CC707"/>
      <c r="CD707"/>
      <c r="CE707"/>
    </row>
    <row r="708" spans="21:83">
      <c r="U708"/>
      <c r="V708"/>
      <c r="W708"/>
      <c r="AE708"/>
      <c r="AF708"/>
      <c r="AG708"/>
      <c r="AO708"/>
      <c r="AP708"/>
      <c r="AQ708"/>
      <c r="AY708"/>
      <c r="AZ708"/>
      <c r="BA708"/>
      <c r="BI708"/>
      <c r="BJ708"/>
      <c r="BK708"/>
      <c r="BS708"/>
      <c r="BT708"/>
      <c r="BU708"/>
      <c r="CC708"/>
      <c r="CD708"/>
      <c r="CE708"/>
    </row>
    <row r="709" spans="21:83">
      <c r="U709"/>
      <c r="V709"/>
      <c r="W709"/>
      <c r="AE709"/>
      <c r="AF709"/>
      <c r="AG709"/>
      <c r="AO709"/>
      <c r="AP709"/>
      <c r="AQ709"/>
      <c r="AY709"/>
      <c r="AZ709"/>
      <c r="BA709"/>
      <c r="BI709"/>
      <c r="BJ709"/>
      <c r="BK709"/>
      <c r="BS709"/>
      <c r="BT709"/>
      <c r="BU709"/>
      <c r="CC709"/>
      <c r="CD709"/>
      <c r="CE709"/>
    </row>
    <row r="710" spans="21:83">
      <c r="U710"/>
      <c r="V710"/>
      <c r="W710"/>
      <c r="AE710"/>
      <c r="AF710"/>
      <c r="AG710"/>
      <c r="AO710"/>
      <c r="AP710"/>
      <c r="AQ710"/>
      <c r="AY710"/>
      <c r="AZ710"/>
      <c r="BA710"/>
      <c r="BI710"/>
      <c r="BJ710"/>
      <c r="BK710"/>
      <c r="BS710"/>
      <c r="BT710"/>
      <c r="BU710"/>
      <c r="CC710"/>
      <c r="CD710"/>
      <c r="CE710"/>
    </row>
    <row r="711" spans="21:83">
      <c r="U711"/>
      <c r="V711"/>
      <c r="W711"/>
      <c r="AE711"/>
      <c r="AF711"/>
      <c r="AG711"/>
      <c r="AO711"/>
      <c r="AP711"/>
      <c r="AQ711"/>
      <c r="AY711"/>
      <c r="AZ711"/>
      <c r="BA711"/>
      <c r="BI711"/>
      <c r="BJ711"/>
      <c r="BK711"/>
      <c r="BS711"/>
      <c r="BT711"/>
      <c r="BU711"/>
      <c r="CC711"/>
      <c r="CD711"/>
      <c r="CE711"/>
    </row>
    <row r="712" spans="21:83">
      <c r="U712"/>
      <c r="V712"/>
      <c r="W712"/>
      <c r="AE712"/>
      <c r="AF712"/>
      <c r="AG712"/>
      <c r="AO712"/>
      <c r="AP712"/>
      <c r="AQ712"/>
      <c r="AY712"/>
      <c r="AZ712"/>
      <c r="BA712"/>
      <c r="BI712"/>
      <c r="BJ712"/>
      <c r="BK712"/>
      <c r="BS712"/>
      <c r="BT712"/>
      <c r="BU712"/>
      <c r="CC712"/>
      <c r="CD712"/>
      <c r="CE712"/>
    </row>
    <row r="713" spans="21:83">
      <c r="U713"/>
      <c r="V713"/>
      <c r="W713"/>
      <c r="AE713"/>
      <c r="AF713"/>
      <c r="AG713"/>
      <c r="AO713"/>
      <c r="AP713"/>
      <c r="AQ713"/>
      <c r="AY713"/>
      <c r="AZ713"/>
      <c r="BA713"/>
      <c r="BI713"/>
      <c r="BJ713"/>
      <c r="BK713"/>
      <c r="BS713"/>
      <c r="BT713"/>
      <c r="BU713"/>
      <c r="CC713"/>
      <c r="CD713"/>
      <c r="CE713"/>
    </row>
    <row r="714" spans="21:83">
      <c r="U714"/>
      <c r="V714"/>
      <c r="W714"/>
      <c r="AE714"/>
      <c r="AF714"/>
      <c r="AG714"/>
      <c r="AO714"/>
      <c r="AP714"/>
      <c r="AQ714"/>
      <c r="AY714"/>
      <c r="AZ714"/>
      <c r="BA714"/>
      <c r="BI714"/>
      <c r="BJ714"/>
      <c r="BK714"/>
      <c r="BS714"/>
      <c r="BT714"/>
      <c r="BU714"/>
      <c r="CC714"/>
      <c r="CD714"/>
      <c r="CE714"/>
    </row>
    <row r="715" spans="21:83">
      <c r="U715"/>
      <c r="V715"/>
      <c r="W715"/>
      <c r="AE715"/>
      <c r="AF715"/>
      <c r="AG715"/>
      <c r="AO715"/>
      <c r="AP715"/>
      <c r="AQ715"/>
      <c r="AY715"/>
      <c r="AZ715"/>
      <c r="BA715"/>
      <c r="BI715"/>
      <c r="BJ715"/>
      <c r="BK715"/>
      <c r="BS715"/>
      <c r="BT715"/>
      <c r="BU715"/>
      <c r="CC715"/>
      <c r="CD715"/>
      <c r="CE715"/>
    </row>
    <row r="716" spans="21:83">
      <c r="U716"/>
      <c r="V716"/>
      <c r="W716"/>
      <c r="AE716"/>
      <c r="AF716"/>
      <c r="AG716"/>
      <c r="AO716"/>
      <c r="AP716"/>
      <c r="AQ716"/>
      <c r="AY716"/>
      <c r="AZ716"/>
      <c r="BA716"/>
      <c r="BI716"/>
      <c r="BJ716"/>
      <c r="BK716"/>
      <c r="BS716"/>
      <c r="BT716"/>
      <c r="BU716"/>
      <c r="CC716"/>
      <c r="CD716"/>
      <c r="CE716"/>
    </row>
    <row r="717" spans="21:83">
      <c r="U717"/>
      <c r="V717"/>
      <c r="W717"/>
      <c r="AE717"/>
      <c r="AF717"/>
      <c r="AG717"/>
      <c r="AO717"/>
      <c r="AP717"/>
      <c r="AQ717"/>
      <c r="AY717"/>
      <c r="AZ717"/>
      <c r="BA717"/>
      <c r="BI717"/>
      <c r="BJ717"/>
      <c r="BK717"/>
      <c r="BS717"/>
      <c r="BT717"/>
      <c r="BU717"/>
      <c r="CC717"/>
      <c r="CD717"/>
      <c r="CE717"/>
    </row>
    <row r="718" spans="21:83">
      <c r="U718"/>
      <c r="V718"/>
      <c r="W718"/>
      <c r="AE718"/>
      <c r="AF718"/>
      <c r="AG718"/>
      <c r="AO718"/>
      <c r="AP718"/>
      <c r="AQ718"/>
      <c r="AY718"/>
      <c r="AZ718"/>
      <c r="BA718"/>
      <c r="BI718"/>
      <c r="BJ718"/>
      <c r="BK718"/>
      <c r="BS718"/>
      <c r="BT718"/>
      <c r="BU718"/>
      <c r="CC718"/>
      <c r="CD718"/>
      <c r="CE718"/>
    </row>
    <row r="719" spans="21:83">
      <c r="U719"/>
      <c r="V719"/>
      <c r="W719"/>
      <c r="AE719"/>
      <c r="AF719"/>
      <c r="AG719"/>
      <c r="AO719"/>
      <c r="AP719"/>
      <c r="AQ719"/>
      <c r="AY719"/>
      <c r="AZ719"/>
      <c r="BA719"/>
      <c r="BI719"/>
      <c r="BJ719"/>
      <c r="BK719"/>
      <c r="BS719"/>
      <c r="BT719"/>
      <c r="BU719"/>
      <c r="CC719"/>
      <c r="CD719"/>
      <c r="CE719"/>
    </row>
    <row r="720" spans="21:83">
      <c r="U720"/>
      <c r="V720"/>
      <c r="W720"/>
      <c r="AE720"/>
      <c r="AF720"/>
      <c r="AG720"/>
      <c r="AO720"/>
      <c r="AP720"/>
      <c r="AQ720"/>
      <c r="AY720"/>
      <c r="AZ720"/>
      <c r="BA720"/>
      <c r="BI720"/>
      <c r="BJ720"/>
      <c r="BK720"/>
      <c r="BS720"/>
      <c r="BT720"/>
      <c r="BU720"/>
      <c r="CC720"/>
      <c r="CD720"/>
      <c r="CE720"/>
    </row>
    <row r="721" spans="21:83">
      <c r="U721"/>
      <c r="V721"/>
      <c r="W721"/>
      <c r="AE721"/>
      <c r="AF721"/>
      <c r="AG721"/>
      <c r="AO721"/>
      <c r="AP721"/>
      <c r="AQ721"/>
      <c r="AY721"/>
      <c r="AZ721"/>
      <c r="BA721"/>
      <c r="BI721"/>
      <c r="BJ721"/>
      <c r="BK721"/>
      <c r="BS721"/>
      <c r="BT721"/>
      <c r="BU721"/>
      <c r="CC721"/>
      <c r="CD721"/>
      <c r="CE721"/>
    </row>
    <row r="722" spans="21:83">
      <c r="U722"/>
      <c r="V722"/>
      <c r="W722"/>
      <c r="AE722"/>
      <c r="AF722"/>
      <c r="AG722"/>
      <c r="AO722"/>
      <c r="AP722"/>
      <c r="AQ722"/>
      <c r="AY722"/>
      <c r="AZ722"/>
      <c r="BA722"/>
      <c r="BI722"/>
      <c r="BJ722"/>
      <c r="BK722"/>
      <c r="BS722"/>
      <c r="BT722"/>
      <c r="BU722"/>
      <c r="CC722"/>
      <c r="CD722"/>
      <c r="CE722"/>
    </row>
    <row r="723" spans="21:83">
      <c r="U723"/>
      <c r="V723"/>
      <c r="W723"/>
      <c r="AE723"/>
      <c r="AF723"/>
      <c r="AG723"/>
      <c r="AO723"/>
      <c r="AP723"/>
      <c r="AQ723"/>
      <c r="AY723"/>
      <c r="AZ723"/>
      <c r="BA723"/>
      <c r="BI723"/>
      <c r="BJ723"/>
      <c r="BK723"/>
      <c r="BS723"/>
      <c r="BT723"/>
      <c r="BU723"/>
      <c r="CC723"/>
      <c r="CD723"/>
      <c r="CE723"/>
    </row>
    <row r="724" spans="21:83">
      <c r="U724"/>
      <c r="V724"/>
      <c r="W724"/>
      <c r="AE724"/>
      <c r="AF724"/>
      <c r="AG724"/>
      <c r="AO724"/>
      <c r="AP724"/>
      <c r="AQ724"/>
      <c r="AY724"/>
      <c r="AZ724"/>
      <c r="BA724"/>
      <c r="BI724"/>
      <c r="BJ724"/>
      <c r="BK724"/>
      <c r="BS724"/>
      <c r="BT724"/>
      <c r="BU724"/>
      <c r="CC724"/>
      <c r="CD724"/>
      <c r="CE724"/>
    </row>
    <row r="725" spans="21:83">
      <c r="U725"/>
      <c r="V725"/>
      <c r="W725"/>
      <c r="AE725"/>
      <c r="AF725"/>
      <c r="AG725"/>
      <c r="AO725"/>
      <c r="AP725"/>
      <c r="AQ725"/>
      <c r="AY725"/>
      <c r="AZ725"/>
      <c r="BA725"/>
      <c r="BI725"/>
      <c r="BJ725"/>
      <c r="BK725"/>
      <c r="BS725"/>
      <c r="BT725"/>
      <c r="BU725"/>
      <c r="CC725"/>
      <c r="CD725"/>
      <c r="CE725"/>
    </row>
    <row r="726" spans="21:83">
      <c r="U726"/>
      <c r="V726"/>
      <c r="W726"/>
      <c r="AE726"/>
      <c r="AF726"/>
      <c r="AG726"/>
      <c r="AO726"/>
      <c r="AP726"/>
      <c r="AQ726"/>
      <c r="AY726"/>
      <c r="AZ726"/>
      <c r="BA726"/>
      <c r="BI726"/>
      <c r="BJ726"/>
      <c r="BK726"/>
      <c r="BS726"/>
      <c r="BT726"/>
      <c r="BU726"/>
      <c r="CC726"/>
      <c r="CD726"/>
      <c r="CE726"/>
    </row>
    <row r="727" spans="21:83">
      <c r="U727"/>
      <c r="V727"/>
      <c r="W727"/>
      <c r="AE727"/>
      <c r="AF727"/>
      <c r="AG727"/>
      <c r="AO727"/>
      <c r="AP727"/>
      <c r="AQ727"/>
      <c r="AY727"/>
      <c r="AZ727"/>
      <c r="BA727"/>
      <c r="BI727"/>
      <c r="BJ727"/>
      <c r="BK727"/>
      <c r="BS727"/>
      <c r="BT727"/>
      <c r="BU727"/>
      <c r="CC727"/>
      <c r="CD727"/>
      <c r="CE727"/>
    </row>
    <row r="728" spans="21:83">
      <c r="U728"/>
      <c r="V728"/>
      <c r="W728"/>
      <c r="AE728"/>
      <c r="AF728"/>
      <c r="AG728"/>
      <c r="AO728"/>
      <c r="AP728"/>
      <c r="AQ728"/>
      <c r="AY728"/>
      <c r="AZ728"/>
      <c r="BA728"/>
      <c r="BI728"/>
      <c r="BJ728"/>
      <c r="BK728"/>
      <c r="BS728"/>
      <c r="BT728"/>
      <c r="BU728"/>
      <c r="CC728"/>
      <c r="CD728"/>
      <c r="CE728"/>
    </row>
    <row r="729" spans="21:83">
      <c r="U729"/>
      <c r="V729"/>
      <c r="W729"/>
      <c r="AE729"/>
      <c r="AF729"/>
      <c r="AG729"/>
      <c r="AO729"/>
      <c r="AP729"/>
      <c r="AQ729"/>
      <c r="AY729"/>
      <c r="AZ729"/>
      <c r="BA729"/>
      <c r="BI729"/>
      <c r="BJ729"/>
      <c r="BK729"/>
      <c r="BS729"/>
      <c r="BT729"/>
      <c r="BU729"/>
      <c r="CC729"/>
      <c r="CD729"/>
      <c r="CE729"/>
    </row>
    <row r="730" spans="21:83">
      <c r="U730"/>
      <c r="V730"/>
      <c r="W730"/>
      <c r="AE730"/>
      <c r="AF730"/>
      <c r="AG730"/>
      <c r="AO730"/>
      <c r="AP730"/>
      <c r="AQ730"/>
      <c r="AY730"/>
      <c r="AZ730"/>
      <c r="BA730"/>
      <c r="BI730"/>
      <c r="BJ730"/>
      <c r="BK730"/>
      <c r="BS730"/>
      <c r="BT730"/>
      <c r="BU730"/>
      <c r="CC730"/>
      <c r="CD730"/>
      <c r="CE730"/>
    </row>
    <row r="731" spans="21:83">
      <c r="U731"/>
      <c r="V731"/>
      <c r="W731"/>
      <c r="AE731"/>
      <c r="AF731"/>
      <c r="AG731"/>
      <c r="AO731"/>
      <c r="AP731"/>
      <c r="AQ731"/>
      <c r="AY731"/>
      <c r="AZ731"/>
      <c r="BA731"/>
      <c r="BI731"/>
      <c r="BJ731"/>
      <c r="BK731"/>
      <c r="BS731"/>
      <c r="BT731"/>
      <c r="BU731"/>
      <c r="CC731"/>
      <c r="CD731"/>
      <c r="CE731"/>
    </row>
    <row r="732" spans="21:83">
      <c r="U732"/>
      <c r="V732"/>
      <c r="W732"/>
      <c r="AE732"/>
      <c r="AF732"/>
      <c r="AG732"/>
      <c r="AO732"/>
      <c r="AP732"/>
      <c r="AQ732"/>
      <c r="AY732"/>
      <c r="AZ732"/>
      <c r="BA732"/>
      <c r="BI732"/>
      <c r="BJ732"/>
      <c r="BK732"/>
      <c r="BS732"/>
      <c r="BT732"/>
      <c r="BU732"/>
      <c r="CC732"/>
      <c r="CD732"/>
      <c r="CE732"/>
    </row>
    <row r="733" spans="21:83">
      <c r="U733"/>
      <c r="V733"/>
      <c r="W733"/>
      <c r="AE733"/>
      <c r="AF733"/>
      <c r="AG733"/>
      <c r="AO733"/>
      <c r="AP733"/>
      <c r="AQ733"/>
      <c r="AY733"/>
      <c r="AZ733"/>
      <c r="BA733"/>
      <c r="BI733"/>
      <c r="BJ733"/>
      <c r="BK733"/>
      <c r="BS733"/>
      <c r="BT733"/>
      <c r="BU733"/>
      <c r="CC733"/>
      <c r="CD733"/>
      <c r="CE733"/>
    </row>
    <row r="734" spans="21:83">
      <c r="U734"/>
      <c r="V734"/>
      <c r="W734"/>
      <c r="AE734"/>
      <c r="AF734"/>
      <c r="AG734"/>
      <c r="AO734"/>
      <c r="AP734"/>
      <c r="AQ734"/>
      <c r="AY734"/>
      <c r="AZ734"/>
      <c r="BA734"/>
      <c r="BI734"/>
      <c r="BJ734"/>
      <c r="BK734"/>
      <c r="BS734"/>
      <c r="BT734"/>
      <c r="BU734"/>
      <c r="CC734"/>
      <c r="CD734"/>
      <c r="CE734"/>
    </row>
    <row r="735" spans="21:83">
      <c r="U735"/>
      <c r="V735"/>
      <c r="W735"/>
      <c r="AE735"/>
      <c r="AF735"/>
      <c r="AG735"/>
      <c r="AO735"/>
      <c r="AP735"/>
      <c r="AQ735"/>
      <c r="AY735"/>
      <c r="AZ735"/>
      <c r="BA735"/>
      <c r="BI735"/>
      <c r="BJ735"/>
      <c r="BK735"/>
      <c r="BS735"/>
      <c r="BT735"/>
      <c r="BU735"/>
      <c r="CC735"/>
      <c r="CD735"/>
      <c r="CE735"/>
    </row>
    <row r="736" spans="21:83">
      <c r="U736"/>
      <c r="V736"/>
      <c r="W736"/>
      <c r="AE736"/>
      <c r="AF736"/>
      <c r="AG736"/>
      <c r="AO736"/>
      <c r="AP736"/>
      <c r="AQ736"/>
      <c r="AY736"/>
      <c r="AZ736"/>
      <c r="BA736"/>
      <c r="BI736"/>
      <c r="BJ736"/>
      <c r="BK736"/>
      <c r="BS736"/>
      <c r="BT736"/>
      <c r="BU736"/>
      <c r="CC736"/>
      <c r="CD736"/>
      <c r="CE736"/>
    </row>
    <row r="737" spans="21:83">
      <c r="U737"/>
      <c r="V737"/>
      <c r="W737"/>
      <c r="AE737"/>
      <c r="AF737"/>
      <c r="AG737"/>
      <c r="AO737"/>
      <c r="AP737"/>
      <c r="AQ737"/>
      <c r="AY737"/>
      <c r="AZ737"/>
      <c r="BA737"/>
      <c r="BI737"/>
      <c r="BJ737"/>
      <c r="BK737"/>
      <c r="BS737"/>
      <c r="BT737"/>
      <c r="BU737"/>
      <c r="CC737"/>
      <c r="CD737"/>
      <c r="CE737"/>
    </row>
    <row r="738" spans="21:83">
      <c r="U738"/>
      <c r="V738"/>
      <c r="W738"/>
      <c r="AE738"/>
      <c r="AF738"/>
      <c r="AG738"/>
      <c r="AO738"/>
      <c r="AP738"/>
      <c r="AQ738"/>
      <c r="AY738"/>
      <c r="AZ738"/>
      <c r="BA738"/>
      <c r="BI738"/>
      <c r="BJ738"/>
      <c r="BK738"/>
      <c r="BS738"/>
      <c r="BT738"/>
      <c r="BU738"/>
      <c r="CC738"/>
      <c r="CD738"/>
      <c r="CE738"/>
    </row>
    <row r="739" spans="21:83">
      <c r="U739"/>
      <c r="V739"/>
      <c r="W739"/>
      <c r="AE739"/>
      <c r="AF739"/>
      <c r="AG739"/>
      <c r="AO739"/>
      <c r="AP739"/>
      <c r="AQ739"/>
      <c r="AY739"/>
      <c r="AZ739"/>
      <c r="BA739"/>
      <c r="BI739"/>
      <c r="BJ739"/>
      <c r="BK739"/>
      <c r="BS739"/>
      <c r="BT739"/>
      <c r="BU739"/>
      <c r="CC739"/>
      <c r="CD739"/>
      <c r="CE739"/>
    </row>
    <row r="740" spans="21:83">
      <c r="U740"/>
      <c r="V740"/>
      <c r="W740"/>
      <c r="AE740"/>
      <c r="AF740"/>
      <c r="AG740"/>
      <c r="AO740"/>
      <c r="AP740"/>
      <c r="AQ740"/>
      <c r="AY740"/>
      <c r="AZ740"/>
      <c r="BA740"/>
      <c r="BI740"/>
      <c r="BJ740"/>
      <c r="BK740"/>
      <c r="BS740"/>
      <c r="BT740"/>
      <c r="BU740"/>
      <c r="CC740"/>
      <c r="CD740"/>
      <c r="CE740"/>
    </row>
    <row r="741" spans="21:83">
      <c r="U741"/>
      <c r="V741"/>
      <c r="W741"/>
      <c r="AE741"/>
      <c r="AF741"/>
      <c r="AG741"/>
      <c r="AO741"/>
      <c r="AP741"/>
      <c r="AQ741"/>
      <c r="AY741"/>
      <c r="AZ741"/>
      <c r="BA741"/>
      <c r="BI741"/>
      <c r="BJ741"/>
      <c r="BK741"/>
      <c r="BS741"/>
      <c r="BT741"/>
      <c r="BU741"/>
      <c r="CC741"/>
      <c r="CD741"/>
      <c r="CE741"/>
    </row>
    <row r="742" spans="21:83">
      <c r="U742"/>
      <c r="V742"/>
      <c r="W742"/>
      <c r="AE742"/>
      <c r="AF742"/>
      <c r="AG742"/>
      <c r="AO742"/>
      <c r="AP742"/>
      <c r="AQ742"/>
      <c r="AY742"/>
      <c r="AZ742"/>
      <c r="BA742"/>
      <c r="BI742"/>
      <c r="BJ742"/>
      <c r="BK742"/>
      <c r="BS742"/>
      <c r="BT742"/>
      <c r="BU742"/>
      <c r="CC742"/>
      <c r="CD742"/>
      <c r="CE742"/>
    </row>
    <row r="743" spans="21:83">
      <c r="U743"/>
      <c r="V743"/>
      <c r="W743"/>
      <c r="AE743"/>
      <c r="AF743"/>
      <c r="AG743"/>
      <c r="AO743"/>
      <c r="AP743"/>
      <c r="AQ743"/>
      <c r="AY743"/>
      <c r="AZ743"/>
      <c r="BA743"/>
      <c r="BI743"/>
      <c r="BJ743"/>
      <c r="BK743"/>
      <c r="BS743"/>
      <c r="BT743"/>
      <c r="BU743"/>
      <c r="CC743"/>
      <c r="CD743"/>
      <c r="CE743"/>
    </row>
    <row r="744" spans="21:83">
      <c r="U744"/>
      <c r="V744"/>
      <c r="W744"/>
      <c r="AE744"/>
      <c r="AF744"/>
      <c r="AG744"/>
      <c r="AO744"/>
      <c r="AP744"/>
      <c r="AQ744"/>
      <c r="AY744"/>
      <c r="AZ744"/>
      <c r="BA744"/>
      <c r="BI744"/>
      <c r="BJ744"/>
      <c r="BK744"/>
      <c r="BS744"/>
      <c r="BT744"/>
      <c r="BU744"/>
      <c r="CC744"/>
      <c r="CD744"/>
      <c r="CE744"/>
    </row>
    <row r="745" spans="21:83">
      <c r="U745"/>
      <c r="V745"/>
      <c r="W745"/>
      <c r="AE745"/>
      <c r="AF745"/>
      <c r="AG745"/>
      <c r="AO745"/>
      <c r="AP745"/>
      <c r="AQ745"/>
      <c r="AY745"/>
      <c r="AZ745"/>
      <c r="BA745"/>
      <c r="BI745"/>
      <c r="BJ745"/>
      <c r="BK745"/>
      <c r="BS745"/>
      <c r="BT745"/>
      <c r="BU745"/>
      <c r="CC745"/>
      <c r="CD745"/>
      <c r="CE745"/>
    </row>
    <row r="746" spans="21:83">
      <c r="U746"/>
      <c r="V746"/>
      <c r="W746"/>
      <c r="AE746"/>
      <c r="AF746"/>
      <c r="AG746"/>
      <c r="AO746"/>
      <c r="AP746"/>
      <c r="AQ746"/>
      <c r="AY746"/>
      <c r="AZ746"/>
      <c r="BA746"/>
      <c r="BI746"/>
      <c r="BJ746"/>
      <c r="BK746"/>
      <c r="BS746"/>
      <c r="BT746"/>
      <c r="BU746"/>
      <c r="CC746"/>
      <c r="CD746"/>
      <c r="CE746"/>
    </row>
    <row r="747" spans="21:83">
      <c r="U747"/>
      <c r="V747"/>
      <c r="W747"/>
      <c r="AE747"/>
      <c r="AF747"/>
      <c r="AG747"/>
      <c r="AO747"/>
      <c r="AP747"/>
      <c r="AQ747"/>
      <c r="AY747"/>
      <c r="AZ747"/>
      <c r="BA747"/>
      <c r="BI747"/>
      <c r="BJ747"/>
      <c r="BK747"/>
      <c r="BS747"/>
      <c r="BT747"/>
      <c r="BU747"/>
      <c r="CC747"/>
      <c r="CD747"/>
      <c r="CE747"/>
    </row>
    <row r="748" spans="21:83">
      <c r="U748"/>
      <c r="V748"/>
      <c r="W748"/>
      <c r="AE748"/>
      <c r="AF748"/>
      <c r="AG748"/>
      <c r="AO748"/>
      <c r="AP748"/>
      <c r="AQ748"/>
      <c r="AY748"/>
      <c r="AZ748"/>
      <c r="BA748"/>
      <c r="BI748"/>
      <c r="BJ748"/>
      <c r="BK748"/>
      <c r="BS748"/>
      <c r="BT748"/>
      <c r="BU748"/>
      <c r="CC748"/>
      <c r="CD748"/>
      <c r="CE748"/>
    </row>
    <row r="749" spans="21:83">
      <c r="U749"/>
      <c r="V749"/>
      <c r="W749"/>
      <c r="AE749"/>
      <c r="AF749"/>
      <c r="AG749"/>
      <c r="AO749"/>
      <c r="AP749"/>
      <c r="AQ749"/>
      <c r="AY749"/>
      <c r="AZ749"/>
      <c r="BA749"/>
      <c r="BI749"/>
      <c r="BJ749"/>
      <c r="BK749"/>
      <c r="BS749"/>
      <c r="BT749"/>
      <c r="BU749"/>
      <c r="CC749"/>
      <c r="CD749"/>
      <c r="CE749"/>
    </row>
    <row r="750" spans="21:83">
      <c r="U750"/>
      <c r="V750"/>
      <c r="W750"/>
      <c r="AE750"/>
      <c r="AF750"/>
      <c r="AG750"/>
      <c r="AO750"/>
      <c r="AP750"/>
      <c r="AQ750"/>
      <c r="AY750"/>
      <c r="AZ750"/>
      <c r="BA750"/>
      <c r="BI750"/>
      <c r="BJ750"/>
      <c r="BK750"/>
      <c r="BS750"/>
      <c r="BT750"/>
      <c r="BU750"/>
      <c r="CC750"/>
      <c r="CD750"/>
      <c r="CE750"/>
    </row>
    <row r="751" spans="21:83">
      <c r="U751"/>
      <c r="V751"/>
      <c r="W751"/>
      <c r="AE751"/>
      <c r="AF751"/>
      <c r="AG751"/>
      <c r="AO751"/>
      <c r="AP751"/>
      <c r="AQ751"/>
      <c r="AY751"/>
      <c r="AZ751"/>
      <c r="BA751"/>
      <c r="BI751"/>
      <c r="BJ751"/>
      <c r="BK751"/>
      <c r="BS751"/>
      <c r="BT751"/>
      <c r="BU751"/>
      <c r="CC751"/>
      <c r="CD751"/>
      <c r="CE751"/>
    </row>
    <row r="752" spans="21:83">
      <c r="U752"/>
      <c r="V752"/>
      <c r="W752"/>
      <c r="AE752"/>
      <c r="AF752"/>
      <c r="AG752"/>
      <c r="AO752"/>
      <c r="AP752"/>
      <c r="AQ752"/>
      <c r="AY752"/>
      <c r="AZ752"/>
      <c r="BA752"/>
      <c r="BI752"/>
      <c r="BJ752"/>
      <c r="BK752"/>
      <c r="BS752"/>
      <c r="BT752"/>
      <c r="BU752"/>
      <c r="CC752"/>
      <c r="CD752"/>
      <c r="CE752"/>
    </row>
    <row r="753" spans="21:83">
      <c r="U753"/>
      <c r="V753"/>
      <c r="W753"/>
      <c r="AE753"/>
      <c r="AF753"/>
      <c r="AG753"/>
      <c r="AO753"/>
      <c r="AP753"/>
      <c r="AQ753"/>
      <c r="AY753"/>
      <c r="AZ753"/>
      <c r="BA753"/>
      <c r="BI753"/>
      <c r="BJ753"/>
      <c r="BK753"/>
      <c r="BS753"/>
      <c r="BT753"/>
      <c r="BU753"/>
      <c r="CC753"/>
      <c r="CD753"/>
      <c r="CE753"/>
    </row>
    <row r="754" spans="21:83">
      <c r="U754"/>
      <c r="V754"/>
      <c r="W754"/>
      <c r="AE754"/>
      <c r="AF754"/>
      <c r="AG754"/>
      <c r="AO754"/>
      <c r="AP754"/>
      <c r="AQ754"/>
      <c r="AY754"/>
      <c r="AZ754"/>
      <c r="BA754"/>
      <c r="BI754"/>
      <c r="BJ754"/>
      <c r="BK754"/>
      <c r="BS754"/>
      <c r="BT754"/>
      <c r="BU754"/>
      <c r="CC754"/>
      <c r="CD754"/>
      <c r="CE754"/>
    </row>
    <row r="755" spans="21:83">
      <c r="U755"/>
      <c r="V755"/>
      <c r="W755"/>
      <c r="AE755"/>
      <c r="AF755"/>
      <c r="AG755"/>
      <c r="AO755"/>
      <c r="AP755"/>
      <c r="AQ755"/>
      <c r="AY755"/>
      <c r="AZ755"/>
      <c r="BA755"/>
      <c r="BI755"/>
      <c r="BJ755"/>
      <c r="BK755"/>
      <c r="BS755"/>
      <c r="BT755"/>
      <c r="BU755"/>
      <c r="CC755"/>
      <c r="CD755"/>
      <c r="CE755"/>
    </row>
    <row r="756" spans="21:83">
      <c r="U756"/>
      <c r="V756"/>
      <c r="W756"/>
      <c r="AE756"/>
      <c r="AF756"/>
      <c r="AG756"/>
      <c r="AO756"/>
      <c r="AP756"/>
      <c r="AQ756"/>
      <c r="AY756"/>
      <c r="AZ756"/>
      <c r="BA756"/>
      <c r="BI756"/>
      <c r="BJ756"/>
      <c r="BK756"/>
      <c r="BS756"/>
      <c r="BT756"/>
      <c r="BU756"/>
      <c r="CC756"/>
      <c r="CD756"/>
      <c r="CE756"/>
    </row>
    <row r="757" spans="21:83">
      <c r="U757"/>
      <c r="V757"/>
      <c r="W757"/>
      <c r="AE757"/>
      <c r="AF757"/>
      <c r="AG757"/>
      <c r="AO757"/>
      <c r="AP757"/>
      <c r="AQ757"/>
      <c r="AY757"/>
      <c r="AZ757"/>
      <c r="BA757"/>
      <c r="BI757"/>
      <c r="BJ757"/>
      <c r="BK757"/>
      <c r="BS757"/>
      <c r="BT757"/>
      <c r="BU757"/>
      <c r="CC757"/>
      <c r="CD757"/>
      <c r="CE757"/>
    </row>
    <row r="758" spans="21:83">
      <c r="U758"/>
      <c r="V758"/>
      <c r="W758"/>
      <c r="AE758"/>
      <c r="AF758"/>
      <c r="AG758"/>
      <c r="AO758"/>
      <c r="AP758"/>
      <c r="AQ758"/>
      <c r="AY758"/>
      <c r="AZ758"/>
      <c r="BA758"/>
      <c r="BI758"/>
      <c r="BJ758"/>
      <c r="BK758"/>
      <c r="BS758"/>
      <c r="BT758"/>
      <c r="BU758"/>
      <c r="CC758"/>
      <c r="CD758"/>
      <c r="CE758"/>
    </row>
    <row r="759" spans="21:83">
      <c r="U759"/>
      <c r="V759"/>
      <c r="W759"/>
      <c r="AE759"/>
      <c r="AF759"/>
      <c r="AG759"/>
      <c r="AO759"/>
      <c r="AP759"/>
      <c r="AQ759"/>
      <c r="AY759"/>
      <c r="AZ759"/>
      <c r="BA759"/>
      <c r="BI759"/>
      <c r="BJ759"/>
      <c r="BK759"/>
      <c r="BS759"/>
      <c r="BT759"/>
      <c r="BU759"/>
      <c r="CC759"/>
      <c r="CD759"/>
      <c r="CE759"/>
    </row>
    <row r="760" spans="21:83">
      <c r="U760"/>
      <c r="V760"/>
      <c r="W760"/>
      <c r="AE760"/>
      <c r="AF760"/>
      <c r="AG760"/>
      <c r="AO760"/>
      <c r="AP760"/>
      <c r="AQ760"/>
      <c r="AY760"/>
      <c r="AZ760"/>
      <c r="BA760"/>
      <c r="BI760"/>
      <c r="BJ760"/>
      <c r="BK760"/>
      <c r="BS760"/>
      <c r="BT760"/>
      <c r="BU760"/>
      <c r="CC760"/>
      <c r="CD760"/>
      <c r="CE760"/>
    </row>
    <row r="761" spans="21:83">
      <c r="U761"/>
      <c r="V761"/>
      <c r="W761"/>
      <c r="AE761"/>
      <c r="AF761"/>
      <c r="AG761"/>
      <c r="AO761"/>
      <c r="AP761"/>
      <c r="AQ761"/>
      <c r="AY761"/>
      <c r="AZ761"/>
      <c r="BA761"/>
      <c r="BI761"/>
      <c r="BJ761"/>
      <c r="BK761"/>
      <c r="BS761"/>
      <c r="BT761"/>
      <c r="BU761"/>
      <c r="CC761"/>
      <c r="CD761"/>
      <c r="CE761"/>
    </row>
    <row r="762" spans="21:83">
      <c r="U762"/>
      <c r="V762"/>
      <c r="W762"/>
      <c r="AE762"/>
      <c r="AF762"/>
      <c r="AG762"/>
      <c r="AO762"/>
      <c r="AP762"/>
      <c r="AQ762"/>
      <c r="AY762"/>
      <c r="AZ762"/>
      <c r="BA762"/>
      <c r="BI762"/>
      <c r="BJ762"/>
      <c r="BK762"/>
      <c r="BS762"/>
      <c r="BT762"/>
      <c r="BU762"/>
      <c r="CC762"/>
      <c r="CD762"/>
      <c r="CE762"/>
    </row>
    <row r="763" spans="21:83">
      <c r="U763"/>
      <c r="V763"/>
      <c r="W763"/>
      <c r="AE763"/>
      <c r="AF763"/>
      <c r="AG763"/>
      <c r="AO763"/>
      <c r="AP763"/>
      <c r="AQ763"/>
      <c r="AY763"/>
      <c r="AZ763"/>
      <c r="BA763"/>
      <c r="BI763"/>
      <c r="BJ763"/>
      <c r="BK763"/>
      <c r="BS763"/>
      <c r="BT763"/>
      <c r="BU763"/>
      <c r="CC763"/>
      <c r="CD763"/>
      <c r="CE763"/>
    </row>
    <row r="764" spans="21:83">
      <c r="U764"/>
      <c r="V764"/>
      <c r="W764"/>
      <c r="AE764"/>
      <c r="AF764"/>
      <c r="AG764"/>
      <c r="AO764"/>
      <c r="AP764"/>
      <c r="AQ764"/>
      <c r="AY764"/>
      <c r="AZ764"/>
      <c r="BA764"/>
      <c r="BI764"/>
      <c r="BJ764"/>
      <c r="BK764"/>
      <c r="BS764"/>
      <c r="BT764"/>
      <c r="BU764"/>
      <c r="CC764"/>
      <c r="CD764"/>
      <c r="CE764"/>
    </row>
    <row r="765" spans="21:83">
      <c r="U765"/>
      <c r="V765"/>
      <c r="W765"/>
      <c r="AE765"/>
      <c r="AF765"/>
      <c r="AG765"/>
      <c r="AO765"/>
      <c r="AP765"/>
      <c r="AQ765"/>
      <c r="AY765"/>
      <c r="AZ765"/>
      <c r="BA765"/>
      <c r="BI765"/>
      <c r="BJ765"/>
      <c r="BK765"/>
      <c r="BS765"/>
      <c r="BT765"/>
      <c r="BU765"/>
      <c r="CC765"/>
      <c r="CD765"/>
      <c r="CE765"/>
    </row>
    <row r="766" spans="21:83">
      <c r="U766"/>
      <c r="V766"/>
      <c r="W766"/>
      <c r="AE766"/>
      <c r="AF766"/>
      <c r="AG766"/>
      <c r="AO766"/>
      <c r="AP766"/>
      <c r="AQ766"/>
      <c r="AY766"/>
      <c r="AZ766"/>
      <c r="BA766"/>
      <c r="BI766"/>
      <c r="BJ766"/>
      <c r="BK766"/>
      <c r="BS766"/>
      <c r="BT766"/>
      <c r="BU766"/>
      <c r="CC766"/>
      <c r="CD766"/>
      <c r="CE766"/>
    </row>
    <row r="767" spans="21:83">
      <c r="U767"/>
      <c r="V767"/>
      <c r="W767"/>
      <c r="AE767"/>
      <c r="AF767"/>
      <c r="AG767"/>
      <c r="AO767"/>
      <c r="AP767"/>
      <c r="AQ767"/>
      <c r="AY767"/>
      <c r="AZ767"/>
      <c r="BA767"/>
      <c r="BI767"/>
      <c r="BJ767"/>
      <c r="BK767"/>
      <c r="BS767"/>
      <c r="BT767"/>
      <c r="BU767"/>
      <c r="CC767"/>
      <c r="CD767"/>
      <c r="CE767"/>
    </row>
    <row r="768" spans="21:83">
      <c r="U768"/>
      <c r="V768"/>
      <c r="W768"/>
      <c r="AE768"/>
      <c r="AF768"/>
      <c r="AG768"/>
      <c r="AO768"/>
      <c r="AP768"/>
      <c r="AQ768"/>
      <c r="AY768"/>
      <c r="AZ768"/>
      <c r="BA768"/>
      <c r="BI768"/>
      <c r="BJ768"/>
      <c r="BK768"/>
      <c r="BS768"/>
      <c r="BT768"/>
      <c r="BU768"/>
      <c r="CC768"/>
      <c r="CD768"/>
      <c r="CE768"/>
    </row>
    <row r="769" spans="21:83">
      <c r="U769"/>
      <c r="V769"/>
      <c r="W769"/>
      <c r="AE769"/>
      <c r="AF769"/>
      <c r="AG769"/>
      <c r="AO769"/>
      <c r="AP769"/>
      <c r="AQ769"/>
      <c r="AY769"/>
      <c r="AZ769"/>
      <c r="BA769"/>
      <c r="BI769"/>
      <c r="BJ769"/>
      <c r="BK769"/>
      <c r="BS769"/>
      <c r="BT769"/>
      <c r="BU769"/>
      <c r="CC769"/>
      <c r="CD769"/>
      <c r="CE769"/>
    </row>
    <row r="770" spans="21:83">
      <c r="U770"/>
      <c r="V770"/>
      <c r="W770"/>
      <c r="AE770"/>
      <c r="AF770"/>
      <c r="AG770"/>
      <c r="AO770"/>
      <c r="AP770"/>
      <c r="AQ770"/>
      <c r="AY770"/>
      <c r="AZ770"/>
      <c r="BA770"/>
      <c r="BI770"/>
      <c r="BJ770"/>
      <c r="BK770"/>
      <c r="BS770"/>
      <c r="BT770"/>
      <c r="BU770"/>
      <c r="CC770"/>
      <c r="CD770"/>
      <c r="CE770"/>
    </row>
    <row r="771" spans="21:83">
      <c r="U771"/>
      <c r="V771"/>
      <c r="W771"/>
      <c r="AE771"/>
      <c r="AF771"/>
      <c r="AG771"/>
      <c r="AO771"/>
      <c r="AP771"/>
      <c r="AQ771"/>
      <c r="AY771"/>
      <c r="AZ771"/>
      <c r="BA771"/>
      <c r="BI771"/>
      <c r="BJ771"/>
      <c r="BK771"/>
      <c r="BS771"/>
      <c r="BT771"/>
      <c r="BU771"/>
      <c r="CC771"/>
      <c r="CD771"/>
      <c r="CE771"/>
    </row>
    <row r="772" spans="21:83">
      <c r="U772"/>
      <c r="V772"/>
      <c r="W772"/>
      <c r="AE772"/>
      <c r="AF772"/>
      <c r="AG772"/>
      <c r="AO772"/>
      <c r="AP772"/>
      <c r="AQ772"/>
      <c r="AY772"/>
      <c r="AZ772"/>
      <c r="BA772"/>
      <c r="BI772"/>
      <c r="BJ772"/>
      <c r="BK772"/>
      <c r="BS772"/>
      <c r="BT772"/>
      <c r="BU772"/>
      <c r="CC772"/>
      <c r="CD772"/>
      <c r="CE772"/>
    </row>
    <row r="773" spans="21:83">
      <c r="U773"/>
      <c r="V773"/>
      <c r="W773"/>
      <c r="AE773"/>
      <c r="AF773"/>
      <c r="AG773"/>
      <c r="AO773"/>
      <c r="AP773"/>
      <c r="AQ773"/>
      <c r="AY773"/>
      <c r="AZ773"/>
      <c r="BA773"/>
      <c r="BI773"/>
      <c r="BJ773"/>
      <c r="BK773"/>
      <c r="BS773"/>
      <c r="BT773"/>
      <c r="BU773"/>
      <c r="CC773"/>
      <c r="CD773"/>
      <c r="CE773"/>
    </row>
    <row r="774" spans="21:83">
      <c r="U774"/>
      <c r="V774"/>
      <c r="W774"/>
      <c r="AE774"/>
      <c r="AF774"/>
      <c r="AG774"/>
      <c r="AO774"/>
      <c r="AP774"/>
      <c r="AQ774"/>
      <c r="AY774"/>
      <c r="AZ774"/>
      <c r="BA774"/>
      <c r="BI774"/>
      <c r="BJ774"/>
      <c r="BK774"/>
      <c r="BS774"/>
      <c r="BT774"/>
      <c r="BU774"/>
      <c r="CC774"/>
      <c r="CD774"/>
      <c r="CE774"/>
    </row>
    <row r="775" spans="21:83">
      <c r="U775"/>
      <c r="V775"/>
      <c r="W775"/>
      <c r="AE775"/>
      <c r="AF775"/>
      <c r="AG775"/>
      <c r="AO775"/>
      <c r="AP775"/>
      <c r="AQ775"/>
      <c r="AY775"/>
      <c r="AZ775"/>
      <c r="BA775"/>
      <c r="BI775"/>
      <c r="BJ775"/>
      <c r="BK775"/>
      <c r="BS775"/>
      <c r="BT775"/>
      <c r="BU775"/>
      <c r="CC775"/>
      <c r="CD775"/>
      <c r="CE775"/>
    </row>
    <row r="776" spans="21:83">
      <c r="U776"/>
      <c r="V776"/>
      <c r="W776"/>
      <c r="AE776"/>
      <c r="AF776"/>
      <c r="AG776"/>
      <c r="AO776"/>
      <c r="AP776"/>
      <c r="AQ776"/>
      <c r="AY776"/>
      <c r="AZ776"/>
      <c r="BA776"/>
      <c r="BI776"/>
      <c r="BJ776"/>
      <c r="BK776"/>
      <c r="BS776"/>
      <c r="BT776"/>
      <c r="BU776"/>
      <c r="CC776"/>
      <c r="CD776"/>
      <c r="CE776"/>
    </row>
    <row r="777" spans="21:83">
      <c r="U777"/>
      <c r="V777"/>
      <c r="W777"/>
      <c r="AE777"/>
      <c r="AF777"/>
      <c r="AG777"/>
      <c r="AO777"/>
      <c r="AP777"/>
      <c r="AQ777"/>
      <c r="AY777"/>
      <c r="AZ777"/>
      <c r="BA777"/>
      <c r="BI777"/>
      <c r="BJ777"/>
      <c r="BK777"/>
      <c r="BS777"/>
      <c r="BT777"/>
      <c r="BU777"/>
      <c r="CC777"/>
      <c r="CD777"/>
      <c r="CE777"/>
    </row>
    <row r="778" spans="21:83">
      <c r="U778"/>
      <c r="V778"/>
      <c r="W778"/>
      <c r="AE778"/>
      <c r="AF778"/>
      <c r="AG778"/>
      <c r="AO778"/>
      <c r="AP778"/>
      <c r="AQ778"/>
      <c r="AY778"/>
      <c r="AZ778"/>
      <c r="BA778"/>
      <c r="BI778"/>
      <c r="BJ778"/>
      <c r="BK778"/>
      <c r="BS778"/>
      <c r="BT778"/>
      <c r="BU778"/>
      <c r="CC778"/>
      <c r="CD778"/>
      <c r="CE778"/>
    </row>
    <row r="779" spans="21:83">
      <c r="U779"/>
      <c r="V779"/>
      <c r="W779"/>
      <c r="AE779"/>
      <c r="AF779"/>
      <c r="AG779"/>
      <c r="AO779"/>
      <c r="AP779"/>
      <c r="AQ779"/>
      <c r="AY779"/>
      <c r="AZ779"/>
      <c r="BA779"/>
      <c r="BI779"/>
      <c r="BJ779"/>
      <c r="BK779"/>
      <c r="BS779"/>
      <c r="BT779"/>
      <c r="BU779"/>
      <c r="CC779"/>
      <c r="CD779"/>
      <c r="CE779"/>
    </row>
    <row r="780" spans="21:83">
      <c r="U780"/>
      <c r="V780"/>
      <c r="W780"/>
      <c r="AE780"/>
      <c r="AF780"/>
      <c r="AG780"/>
      <c r="AO780"/>
      <c r="AP780"/>
      <c r="AQ780"/>
      <c r="AY780"/>
      <c r="AZ780"/>
      <c r="BA780"/>
      <c r="BI780"/>
      <c r="BJ780"/>
      <c r="BK780"/>
      <c r="BS780"/>
      <c r="BT780"/>
      <c r="BU780"/>
      <c r="CC780"/>
      <c r="CD780"/>
      <c r="CE780"/>
    </row>
    <row r="781" spans="21:83">
      <c r="U781"/>
      <c r="V781"/>
      <c r="W781"/>
      <c r="AE781"/>
      <c r="AF781"/>
      <c r="AG781"/>
      <c r="AO781"/>
      <c r="AP781"/>
      <c r="AQ781"/>
      <c r="AY781"/>
      <c r="AZ781"/>
      <c r="BA781"/>
      <c r="BI781"/>
      <c r="BJ781"/>
      <c r="BK781"/>
      <c r="BS781"/>
      <c r="BT781"/>
      <c r="BU781"/>
      <c r="CC781"/>
      <c r="CD781"/>
      <c r="CE781"/>
    </row>
    <row r="782" spans="21:83">
      <c r="U782"/>
      <c r="V782"/>
      <c r="W782"/>
      <c r="AE782"/>
      <c r="AF782"/>
      <c r="AG782"/>
      <c r="AO782"/>
      <c r="AP782"/>
      <c r="AQ782"/>
      <c r="AY782"/>
      <c r="AZ782"/>
      <c r="BA782"/>
      <c r="BI782"/>
      <c r="BJ782"/>
      <c r="BK782"/>
      <c r="BS782"/>
      <c r="BT782"/>
      <c r="BU782"/>
      <c r="CC782"/>
      <c r="CD782"/>
      <c r="CE782"/>
    </row>
    <row r="783" spans="21:83">
      <c r="U783"/>
      <c r="V783"/>
      <c r="W783"/>
      <c r="AE783"/>
      <c r="AF783"/>
      <c r="AG783"/>
      <c r="AO783"/>
      <c r="AP783"/>
      <c r="AQ783"/>
      <c r="AY783"/>
      <c r="AZ783"/>
      <c r="BA783"/>
      <c r="BI783"/>
      <c r="BJ783"/>
      <c r="BK783"/>
      <c r="BS783"/>
      <c r="BT783"/>
      <c r="BU783"/>
      <c r="CC783"/>
      <c r="CD783"/>
      <c r="CE783"/>
    </row>
    <row r="784" spans="21:83">
      <c r="U784"/>
      <c r="V784"/>
      <c r="W784"/>
      <c r="AE784"/>
      <c r="AF784"/>
      <c r="AG784"/>
      <c r="AO784"/>
      <c r="AP784"/>
      <c r="AQ784"/>
      <c r="AY784"/>
      <c r="AZ784"/>
      <c r="BA784"/>
      <c r="BI784"/>
      <c r="BJ784"/>
      <c r="BK784"/>
      <c r="BS784"/>
      <c r="BT784"/>
      <c r="BU784"/>
      <c r="CC784"/>
      <c r="CD784"/>
      <c r="CE784"/>
    </row>
    <row r="785" spans="21:83">
      <c r="U785"/>
      <c r="V785"/>
      <c r="W785"/>
      <c r="AE785"/>
      <c r="AF785"/>
      <c r="AG785"/>
      <c r="AO785"/>
      <c r="AP785"/>
      <c r="AQ785"/>
      <c r="AY785"/>
      <c r="AZ785"/>
      <c r="BA785"/>
      <c r="BI785"/>
      <c r="BJ785"/>
      <c r="BK785"/>
      <c r="BS785"/>
      <c r="BT785"/>
      <c r="BU785"/>
      <c r="CC785"/>
      <c r="CD785"/>
      <c r="CE785"/>
    </row>
    <row r="786" spans="21:83">
      <c r="U786"/>
      <c r="V786"/>
      <c r="W786"/>
      <c r="AE786"/>
      <c r="AF786"/>
      <c r="AG786"/>
      <c r="AO786"/>
      <c r="AP786"/>
      <c r="AQ786"/>
      <c r="AY786"/>
      <c r="AZ786"/>
      <c r="BA786"/>
      <c r="BI786"/>
      <c r="BJ786"/>
      <c r="BK786"/>
      <c r="BS786"/>
      <c r="BT786"/>
      <c r="BU786"/>
      <c r="CC786"/>
      <c r="CD786"/>
      <c r="CE786"/>
    </row>
    <row r="787" spans="21:83">
      <c r="U787"/>
      <c r="V787"/>
      <c r="W787"/>
      <c r="AE787"/>
      <c r="AF787"/>
      <c r="AG787"/>
      <c r="AO787"/>
      <c r="AP787"/>
      <c r="AQ787"/>
      <c r="AY787"/>
      <c r="AZ787"/>
      <c r="BA787"/>
      <c r="BI787"/>
      <c r="BJ787"/>
      <c r="BK787"/>
      <c r="BS787"/>
      <c r="BT787"/>
      <c r="BU787"/>
      <c r="CC787"/>
      <c r="CD787"/>
      <c r="CE787"/>
    </row>
    <row r="788" spans="21:83">
      <c r="U788"/>
      <c r="V788"/>
      <c r="W788"/>
      <c r="AE788"/>
      <c r="AF788"/>
      <c r="AG788"/>
      <c r="AO788"/>
      <c r="AP788"/>
      <c r="AQ788"/>
      <c r="AY788"/>
      <c r="AZ788"/>
      <c r="BA788"/>
      <c r="BI788"/>
      <c r="BJ788"/>
      <c r="BK788"/>
      <c r="BS788"/>
      <c r="BT788"/>
      <c r="BU788"/>
      <c r="CC788"/>
      <c r="CD788"/>
      <c r="CE788"/>
    </row>
    <row r="789" spans="21:83">
      <c r="U789"/>
      <c r="V789"/>
      <c r="W789"/>
      <c r="AE789"/>
      <c r="AF789"/>
      <c r="AG789"/>
      <c r="AO789"/>
      <c r="AP789"/>
      <c r="AQ789"/>
      <c r="AY789"/>
      <c r="AZ789"/>
      <c r="BA789"/>
      <c r="BI789"/>
      <c r="BJ789"/>
      <c r="BK789"/>
      <c r="BS789"/>
      <c r="BT789"/>
      <c r="BU789"/>
      <c r="CC789"/>
      <c r="CD789"/>
      <c r="CE789"/>
    </row>
    <row r="790" spans="21:83">
      <c r="U790"/>
      <c r="V790"/>
      <c r="W790"/>
      <c r="AE790"/>
      <c r="AF790"/>
      <c r="AG790"/>
      <c r="AO790"/>
      <c r="AP790"/>
      <c r="AQ790"/>
      <c r="AY790"/>
      <c r="AZ790"/>
      <c r="BA790"/>
      <c r="BI790"/>
      <c r="BJ790"/>
      <c r="BK790"/>
      <c r="BS790"/>
      <c r="BT790"/>
      <c r="BU790"/>
      <c r="CC790"/>
      <c r="CD790"/>
      <c r="CE790"/>
    </row>
    <row r="791" spans="21:83">
      <c r="U791"/>
      <c r="V791"/>
      <c r="W791"/>
      <c r="AE791"/>
      <c r="AF791"/>
      <c r="AG791"/>
      <c r="AO791"/>
      <c r="AP791"/>
      <c r="AQ791"/>
      <c r="AY791"/>
      <c r="AZ791"/>
      <c r="BA791"/>
      <c r="BI791"/>
      <c r="BJ791"/>
      <c r="BK791"/>
      <c r="BS791"/>
      <c r="BT791"/>
      <c r="BU791"/>
      <c r="CC791"/>
      <c r="CD791"/>
      <c r="CE791"/>
    </row>
    <row r="792" spans="21:83">
      <c r="U792"/>
      <c r="V792"/>
      <c r="W792"/>
      <c r="AE792"/>
      <c r="AF792"/>
      <c r="AG792"/>
      <c r="AO792"/>
      <c r="AP792"/>
      <c r="AQ792"/>
      <c r="AY792"/>
      <c r="AZ792"/>
      <c r="BA792"/>
      <c r="BI792"/>
      <c r="BJ792"/>
      <c r="BK792"/>
      <c r="BS792"/>
      <c r="BT792"/>
      <c r="BU792"/>
      <c r="CC792"/>
      <c r="CD792"/>
      <c r="CE792"/>
    </row>
    <row r="793" spans="21:83">
      <c r="U793"/>
      <c r="V793"/>
      <c r="W793"/>
      <c r="AE793"/>
      <c r="AF793"/>
      <c r="AG793"/>
      <c r="AO793"/>
      <c r="AP793"/>
      <c r="AQ793"/>
      <c r="AY793"/>
      <c r="AZ793"/>
      <c r="BA793"/>
      <c r="BI793"/>
      <c r="BJ793"/>
      <c r="BK793"/>
      <c r="BS793"/>
      <c r="BT793"/>
      <c r="BU793"/>
      <c r="CC793"/>
      <c r="CD793"/>
      <c r="CE793"/>
    </row>
    <row r="794" spans="21:83">
      <c r="U794"/>
      <c r="V794"/>
      <c r="W794"/>
      <c r="AE794"/>
      <c r="AF794"/>
      <c r="AG794"/>
      <c r="AO794"/>
      <c r="AP794"/>
      <c r="AQ794"/>
      <c r="AY794"/>
      <c r="AZ794"/>
      <c r="BA794"/>
      <c r="BI794"/>
      <c r="BJ794"/>
      <c r="BK794"/>
      <c r="BS794"/>
      <c r="BT794"/>
      <c r="BU794"/>
      <c r="CC794"/>
      <c r="CD794"/>
      <c r="CE794"/>
    </row>
    <row r="795" spans="21:83">
      <c r="U795"/>
      <c r="V795"/>
      <c r="W795"/>
      <c r="AE795"/>
      <c r="AF795"/>
      <c r="AG795"/>
      <c r="AO795"/>
      <c r="AP795"/>
      <c r="AQ795"/>
      <c r="AY795"/>
      <c r="AZ795"/>
      <c r="BA795"/>
      <c r="BI795"/>
      <c r="BJ795"/>
      <c r="BK795"/>
      <c r="BS795"/>
      <c r="BT795"/>
      <c r="BU795"/>
      <c r="CC795"/>
      <c r="CD795"/>
      <c r="CE795"/>
    </row>
    <row r="796" spans="21:83">
      <c r="U796"/>
      <c r="V796"/>
      <c r="W796"/>
      <c r="AE796"/>
      <c r="AF796"/>
      <c r="AG796"/>
      <c r="AO796"/>
      <c r="AP796"/>
      <c r="AQ796"/>
      <c r="AY796"/>
      <c r="AZ796"/>
      <c r="BA796"/>
      <c r="BI796"/>
      <c r="BJ796"/>
      <c r="BK796"/>
      <c r="BS796"/>
      <c r="BT796"/>
      <c r="BU796"/>
      <c r="CC796"/>
      <c r="CD796"/>
      <c r="CE796"/>
    </row>
    <row r="797" spans="21:83">
      <c r="U797"/>
      <c r="V797"/>
      <c r="W797"/>
      <c r="AE797"/>
      <c r="AF797"/>
      <c r="AG797"/>
      <c r="AO797"/>
      <c r="AP797"/>
      <c r="AQ797"/>
      <c r="AY797"/>
      <c r="AZ797"/>
      <c r="BA797"/>
      <c r="BI797"/>
      <c r="BJ797"/>
      <c r="BK797"/>
      <c r="BS797"/>
      <c r="BT797"/>
      <c r="BU797"/>
      <c r="CC797"/>
      <c r="CD797"/>
      <c r="CE797"/>
    </row>
    <row r="798" spans="21:83">
      <c r="U798"/>
      <c r="V798"/>
      <c r="W798"/>
      <c r="AE798"/>
      <c r="AF798"/>
      <c r="AG798"/>
      <c r="AO798"/>
      <c r="AP798"/>
      <c r="AQ798"/>
      <c r="AY798"/>
      <c r="AZ798"/>
      <c r="BA798"/>
      <c r="BI798"/>
      <c r="BJ798"/>
      <c r="BK798"/>
      <c r="BS798"/>
      <c r="BT798"/>
      <c r="BU798"/>
      <c r="CC798"/>
      <c r="CD798"/>
      <c r="CE798"/>
    </row>
    <row r="799" spans="21:83">
      <c r="U799"/>
      <c r="V799"/>
      <c r="W799"/>
      <c r="AE799"/>
      <c r="AF799"/>
      <c r="AG799"/>
      <c r="AO799"/>
      <c r="AP799"/>
      <c r="AQ799"/>
      <c r="AY799"/>
      <c r="AZ799"/>
      <c r="BA799"/>
      <c r="BI799"/>
      <c r="BJ799"/>
      <c r="BK799"/>
      <c r="BS799"/>
      <c r="BT799"/>
      <c r="BU799"/>
      <c r="CC799"/>
      <c r="CD799"/>
      <c r="CE799"/>
    </row>
    <row r="800" spans="21:83">
      <c r="U800"/>
      <c r="V800"/>
      <c r="W800"/>
      <c r="AE800"/>
      <c r="AF800"/>
      <c r="AG800"/>
      <c r="AO800"/>
      <c r="AP800"/>
      <c r="AQ800"/>
      <c r="AY800"/>
      <c r="AZ800"/>
      <c r="BA800"/>
      <c r="BI800"/>
      <c r="BJ800"/>
      <c r="BK800"/>
      <c r="BS800"/>
      <c r="BT800"/>
      <c r="BU800"/>
      <c r="CC800"/>
      <c r="CD800"/>
      <c r="CE800"/>
    </row>
    <row r="801" spans="21:83">
      <c r="U801"/>
      <c r="V801"/>
      <c r="W801"/>
      <c r="AE801"/>
      <c r="AF801"/>
      <c r="AG801"/>
      <c r="AO801"/>
      <c r="AP801"/>
      <c r="AQ801"/>
      <c r="AY801"/>
      <c r="AZ801"/>
      <c r="BA801"/>
      <c r="BI801"/>
      <c r="BJ801"/>
      <c r="BK801"/>
      <c r="BS801"/>
      <c r="BT801"/>
      <c r="BU801"/>
      <c r="CC801"/>
      <c r="CD801"/>
      <c r="CE801"/>
    </row>
    <row r="802" spans="21:83">
      <c r="U802"/>
      <c r="V802"/>
      <c r="W802"/>
      <c r="AE802"/>
      <c r="AF802"/>
      <c r="AG802"/>
      <c r="AO802"/>
      <c r="AP802"/>
      <c r="AQ802"/>
      <c r="AY802"/>
      <c r="AZ802"/>
      <c r="BA802"/>
      <c r="BI802"/>
      <c r="BJ802"/>
      <c r="BK802"/>
      <c r="BS802"/>
      <c r="BT802"/>
      <c r="BU802"/>
      <c r="CC802"/>
      <c r="CD802"/>
      <c r="CE802"/>
    </row>
    <row r="803" spans="21:83">
      <c r="U803"/>
      <c r="V803"/>
      <c r="W803"/>
      <c r="AE803"/>
      <c r="AF803"/>
      <c r="AG803"/>
      <c r="AO803"/>
      <c r="AP803"/>
      <c r="AQ803"/>
      <c r="AY803"/>
      <c r="AZ803"/>
      <c r="BA803"/>
      <c r="BI803"/>
      <c r="BJ803"/>
      <c r="BK803"/>
      <c r="BS803"/>
      <c r="BT803"/>
      <c r="BU803"/>
      <c r="CC803"/>
      <c r="CD803"/>
      <c r="CE803"/>
    </row>
    <row r="804" spans="21:83">
      <c r="U804"/>
      <c r="V804"/>
      <c r="W804"/>
      <c r="AE804"/>
      <c r="AF804"/>
      <c r="AG804"/>
      <c r="AO804"/>
      <c r="AP804"/>
      <c r="AQ804"/>
      <c r="AY804"/>
      <c r="AZ804"/>
      <c r="BA804"/>
      <c r="BI804"/>
      <c r="BJ804"/>
      <c r="BK804"/>
      <c r="BS804"/>
      <c r="BT804"/>
      <c r="BU804"/>
      <c r="CC804"/>
      <c r="CD804"/>
      <c r="CE804"/>
    </row>
    <row r="805" spans="21:83">
      <c r="U805"/>
      <c r="V805"/>
      <c r="W805"/>
      <c r="AE805"/>
      <c r="AF805"/>
      <c r="AG805"/>
      <c r="AO805"/>
      <c r="AP805"/>
      <c r="AQ805"/>
      <c r="AY805"/>
      <c r="AZ805"/>
      <c r="BA805"/>
      <c r="BI805"/>
      <c r="BJ805"/>
      <c r="BK805"/>
      <c r="BS805"/>
      <c r="BT805"/>
      <c r="BU805"/>
      <c r="CC805"/>
      <c r="CD805"/>
      <c r="CE805"/>
    </row>
    <row r="806" spans="21:83">
      <c r="U806"/>
      <c r="V806"/>
      <c r="W806"/>
      <c r="AE806"/>
      <c r="AF806"/>
      <c r="AG806"/>
      <c r="AO806"/>
      <c r="AP806"/>
      <c r="AQ806"/>
      <c r="AY806"/>
      <c r="AZ806"/>
      <c r="BA806"/>
      <c r="BI806"/>
      <c r="BJ806"/>
      <c r="BK806"/>
      <c r="BS806"/>
      <c r="BT806"/>
      <c r="BU806"/>
      <c r="CC806"/>
      <c r="CD806"/>
      <c r="CE806"/>
    </row>
    <row r="807" spans="21:83">
      <c r="U807"/>
      <c r="V807"/>
      <c r="W807"/>
      <c r="AE807"/>
      <c r="AF807"/>
      <c r="AG807"/>
      <c r="AO807"/>
      <c r="AP807"/>
      <c r="AQ807"/>
      <c r="AY807"/>
      <c r="AZ807"/>
      <c r="BA807"/>
      <c r="BI807"/>
      <c r="BJ807"/>
      <c r="BK807"/>
      <c r="BS807"/>
      <c r="BT807"/>
      <c r="BU807"/>
      <c r="CC807"/>
      <c r="CD807"/>
      <c r="CE807"/>
    </row>
    <row r="808" spans="21:83">
      <c r="U808"/>
      <c r="V808"/>
      <c r="W808"/>
      <c r="AE808"/>
      <c r="AF808"/>
      <c r="AG808"/>
      <c r="AO808"/>
      <c r="AP808"/>
      <c r="AQ808"/>
      <c r="AY808"/>
      <c r="AZ808"/>
      <c r="BA808"/>
      <c r="BI808"/>
      <c r="BJ808"/>
      <c r="BK808"/>
      <c r="BS808"/>
      <c r="BT808"/>
      <c r="BU808"/>
      <c r="CC808"/>
      <c r="CD808"/>
      <c r="CE808"/>
    </row>
    <row r="809" spans="21:83">
      <c r="U809"/>
      <c r="V809"/>
      <c r="W809"/>
      <c r="AE809"/>
      <c r="AF809"/>
      <c r="AG809"/>
      <c r="AO809"/>
      <c r="AP809"/>
      <c r="AQ809"/>
      <c r="AY809"/>
      <c r="AZ809"/>
      <c r="BA809"/>
      <c r="BI809"/>
      <c r="BJ809"/>
      <c r="BK809"/>
      <c r="BS809"/>
      <c r="BT809"/>
      <c r="BU809"/>
      <c r="CC809"/>
      <c r="CD809"/>
      <c r="CE809"/>
    </row>
    <row r="810" spans="21:83">
      <c r="U810"/>
      <c r="V810"/>
      <c r="W810"/>
      <c r="AE810"/>
      <c r="AF810"/>
      <c r="AG810"/>
      <c r="AO810"/>
      <c r="AP810"/>
      <c r="AQ810"/>
      <c r="AY810"/>
      <c r="AZ810"/>
      <c r="BA810"/>
      <c r="BI810"/>
      <c r="BJ810"/>
      <c r="BK810"/>
      <c r="BS810"/>
      <c r="BT810"/>
      <c r="BU810"/>
      <c r="CC810"/>
      <c r="CD810"/>
      <c r="CE810"/>
    </row>
    <row r="811" spans="21:83">
      <c r="U811"/>
      <c r="V811"/>
      <c r="W811"/>
      <c r="AE811"/>
      <c r="AF811"/>
      <c r="AG811"/>
      <c r="AO811"/>
      <c r="AP811"/>
      <c r="AQ811"/>
      <c r="AY811"/>
      <c r="AZ811"/>
      <c r="BA811"/>
      <c r="BI811"/>
      <c r="BJ811"/>
      <c r="BK811"/>
      <c r="BS811"/>
      <c r="BT811"/>
      <c r="BU811"/>
      <c r="CC811"/>
      <c r="CD811"/>
      <c r="CE811"/>
    </row>
    <row r="812" spans="21:83">
      <c r="U812"/>
      <c r="V812"/>
      <c r="W812"/>
      <c r="AE812"/>
      <c r="AF812"/>
      <c r="AG812"/>
      <c r="AO812"/>
      <c r="AP812"/>
      <c r="AQ812"/>
      <c r="AY812"/>
      <c r="AZ812"/>
      <c r="BA812"/>
      <c r="BI812"/>
      <c r="BJ812"/>
      <c r="BK812"/>
      <c r="BS812"/>
      <c r="BT812"/>
      <c r="BU812"/>
      <c r="CC812"/>
      <c r="CD812"/>
      <c r="CE812"/>
    </row>
    <row r="813" spans="21:83">
      <c r="U813"/>
      <c r="V813"/>
      <c r="W813"/>
      <c r="AE813"/>
      <c r="AF813"/>
      <c r="AG813"/>
      <c r="AO813"/>
      <c r="AP813"/>
      <c r="AQ813"/>
      <c r="AY813"/>
      <c r="AZ813"/>
      <c r="BA813"/>
      <c r="BI813"/>
      <c r="BJ813"/>
      <c r="BK813"/>
      <c r="BS813"/>
      <c r="BT813"/>
      <c r="BU813"/>
      <c r="CC813"/>
      <c r="CD813"/>
      <c r="CE813"/>
    </row>
    <row r="814" spans="21:83">
      <c r="U814"/>
      <c r="V814"/>
      <c r="W814"/>
      <c r="AE814"/>
      <c r="AF814"/>
      <c r="AG814"/>
      <c r="AO814"/>
      <c r="AP814"/>
      <c r="AQ814"/>
      <c r="AY814"/>
      <c r="AZ814"/>
      <c r="BA814"/>
      <c r="BI814"/>
      <c r="BJ814"/>
      <c r="BK814"/>
      <c r="BS814"/>
      <c r="BT814"/>
      <c r="BU814"/>
      <c r="CC814"/>
      <c r="CD814"/>
      <c r="CE814"/>
    </row>
    <row r="815" spans="21:83">
      <c r="U815"/>
      <c r="V815"/>
      <c r="W815"/>
      <c r="AE815"/>
      <c r="AF815"/>
      <c r="AG815"/>
      <c r="AO815"/>
      <c r="AP815"/>
      <c r="AQ815"/>
      <c r="AY815"/>
      <c r="AZ815"/>
      <c r="BA815"/>
      <c r="BI815"/>
      <c r="BJ815"/>
      <c r="BK815"/>
      <c r="BS815"/>
      <c r="BT815"/>
      <c r="BU815"/>
      <c r="CC815"/>
      <c r="CD815"/>
      <c r="CE815"/>
    </row>
    <row r="816" spans="21:83">
      <c r="U816"/>
      <c r="V816"/>
      <c r="W816"/>
      <c r="AE816"/>
      <c r="AF816"/>
      <c r="AG816"/>
      <c r="AO816"/>
      <c r="AP816"/>
      <c r="AQ816"/>
      <c r="AY816"/>
      <c r="AZ816"/>
      <c r="BA816"/>
      <c r="BI816"/>
      <c r="BJ816"/>
      <c r="BK816"/>
      <c r="BS816"/>
      <c r="BT816"/>
      <c r="BU816"/>
      <c r="CC816"/>
      <c r="CD816"/>
      <c r="CE816"/>
    </row>
    <row r="817" spans="21:83">
      <c r="U817"/>
      <c r="V817"/>
      <c r="W817"/>
      <c r="AE817"/>
      <c r="AF817"/>
      <c r="AG817"/>
      <c r="AO817"/>
      <c r="AP817"/>
      <c r="AQ817"/>
      <c r="AY817"/>
      <c r="AZ817"/>
      <c r="BA817"/>
      <c r="BI817"/>
      <c r="BJ817"/>
      <c r="BK817"/>
      <c r="BS817"/>
      <c r="BT817"/>
      <c r="BU817"/>
      <c r="CC817"/>
      <c r="CD817"/>
      <c r="CE817"/>
    </row>
    <row r="818" spans="21:83">
      <c r="U818"/>
      <c r="V818"/>
      <c r="W818"/>
      <c r="AE818"/>
      <c r="AF818"/>
      <c r="AG818"/>
      <c r="AO818"/>
      <c r="AP818"/>
      <c r="AQ818"/>
      <c r="AY818"/>
      <c r="AZ818"/>
      <c r="BA818"/>
      <c r="BI818"/>
      <c r="BJ818"/>
      <c r="BK818"/>
      <c r="BS818"/>
      <c r="BT818"/>
      <c r="BU818"/>
      <c r="CC818"/>
      <c r="CD818"/>
      <c r="CE818"/>
    </row>
    <row r="819" spans="21:83">
      <c r="U819"/>
      <c r="V819"/>
      <c r="W819"/>
      <c r="AE819"/>
      <c r="AF819"/>
      <c r="AG819"/>
      <c r="AO819"/>
      <c r="AP819"/>
      <c r="AQ819"/>
      <c r="AY819"/>
      <c r="AZ819"/>
      <c r="BA819"/>
      <c r="BI819"/>
      <c r="BJ819"/>
      <c r="BK819"/>
      <c r="BS819"/>
      <c r="BT819"/>
      <c r="BU819"/>
      <c r="CC819"/>
      <c r="CD819"/>
      <c r="CE819"/>
    </row>
    <row r="820" spans="21:83">
      <c r="U820"/>
      <c r="V820"/>
      <c r="W820"/>
      <c r="AE820"/>
      <c r="AF820"/>
      <c r="AG820"/>
      <c r="AO820"/>
      <c r="AP820"/>
      <c r="AQ820"/>
      <c r="AY820"/>
      <c r="AZ820"/>
      <c r="BA820"/>
      <c r="BI820"/>
      <c r="BJ820"/>
      <c r="BK820"/>
      <c r="BS820"/>
      <c r="BT820"/>
      <c r="BU820"/>
      <c r="CC820"/>
      <c r="CD820"/>
      <c r="CE820"/>
    </row>
    <row r="821" spans="21:83">
      <c r="U821"/>
      <c r="V821"/>
      <c r="W821"/>
      <c r="AE821"/>
      <c r="AF821"/>
      <c r="AG821"/>
      <c r="AO821"/>
      <c r="AP821"/>
      <c r="AQ821"/>
      <c r="AY821"/>
      <c r="AZ821"/>
      <c r="BA821"/>
      <c r="BI821"/>
      <c r="BJ821"/>
      <c r="BK821"/>
      <c r="BS821"/>
      <c r="BT821"/>
      <c r="BU821"/>
      <c r="CC821"/>
      <c r="CD821"/>
      <c r="CE821"/>
    </row>
    <row r="822" spans="21:83">
      <c r="U822"/>
      <c r="V822"/>
      <c r="W822"/>
      <c r="AE822"/>
      <c r="AF822"/>
      <c r="AG822"/>
      <c r="AO822"/>
      <c r="AP822"/>
      <c r="AQ822"/>
      <c r="AY822"/>
      <c r="AZ822"/>
      <c r="BA822"/>
      <c r="BI822"/>
      <c r="BJ822"/>
      <c r="BK822"/>
      <c r="BS822"/>
      <c r="BT822"/>
      <c r="BU822"/>
      <c r="CC822"/>
      <c r="CD822"/>
      <c r="CE822"/>
    </row>
    <row r="823" spans="21:83">
      <c r="U823"/>
      <c r="V823"/>
      <c r="W823"/>
      <c r="AE823"/>
      <c r="AF823"/>
      <c r="AG823"/>
      <c r="AO823"/>
      <c r="AP823"/>
      <c r="AQ823"/>
      <c r="AY823"/>
      <c r="AZ823"/>
      <c r="BA823"/>
      <c r="BI823"/>
      <c r="BJ823"/>
      <c r="BK823"/>
      <c r="BS823"/>
      <c r="BT823"/>
      <c r="BU823"/>
      <c r="CC823"/>
      <c r="CD823"/>
      <c r="CE823"/>
    </row>
    <row r="824" spans="21:83">
      <c r="U824"/>
      <c r="V824"/>
      <c r="W824"/>
      <c r="AE824"/>
      <c r="AF824"/>
      <c r="AG824"/>
      <c r="AO824"/>
      <c r="AP824"/>
      <c r="AQ824"/>
      <c r="AY824"/>
      <c r="AZ824"/>
      <c r="BA824"/>
      <c r="BI824"/>
      <c r="BJ824"/>
      <c r="BK824"/>
      <c r="BS824"/>
      <c r="BT824"/>
      <c r="BU824"/>
      <c r="CC824"/>
      <c r="CD824"/>
      <c r="CE824"/>
    </row>
    <row r="825" spans="21:83">
      <c r="U825"/>
      <c r="V825"/>
      <c r="W825"/>
      <c r="AE825"/>
      <c r="AF825"/>
      <c r="AG825"/>
      <c r="AO825"/>
      <c r="AP825"/>
      <c r="AQ825"/>
      <c r="AY825"/>
      <c r="AZ825"/>
      <c r="BA825"/>
      <c r="BI825"/>
      <c r="BJ825"/>
      <c r="BK825"/>
      <c r="BS825"/>
      <c r="BT825"/>
      <c r="BU825"/>
      <c r="CC825"/>
      <c r="CD825"/>
      <c r="CE825"/>
    </row>
    <row r="826" spans="21:83">
      <c r="U826"/>
      <c r="V826"/>
      <c r="W826"/>
      <c r="AE826"/>
      <c r="AF826"/>
      <c r="AG826"/>
      <c r="AO826"/>
      <c r="AP826"/>
      <c r="AQ826"/>
      <c r="AY826"/>
      <c r="AZ826"/>
      <c r="BA826"/>
      <c r="BI826"/>
      <c r="BJ826"/>
      <c r="BK826"/>
      <c r="BS826"/>
      <c r="BT826"/>
      <c r="BU826"/>
      <c r="CC826"/>
      <c r="CD826"/>
      <c r="CE826"/>
    </row>
    <row r="827" spans="21:83">
      <c r="U827"/>
      <c r="V827"/>
      <c r="W827"/>
      <c r="AE827"/>
      <c r="AF827"/>
      <c r="AG827"/>
      <c r="AO827"/>
      <c r="AP827"/>
      <c r="AQ827"/>
      <c r="AY827"/>
      <c r="AZ827"/>
      <c r="BA827"/>
      <c r="BI827"/>
      <c r="BJ827"/>
      <c r="BK827"/>
      <c r="BS827"/>
      <c r="BT827"/>
      <c r="BU827"/>
      <c r="CC827"/>
      <c r="CD827"/>
      <c r="CE827"/>
    </row>
    <row r="828" spans="21:83">
      <c r="U828"/>
      <c r="V828"/>
      <c r="W828"/>
      <c r="AE828"/>
      <c r="AF828"/>
      <c r="AG828"/>
      <c r="AO828"/>
      <c r="AP828"/>
      <c r="AQ828"/>
      <c r="AY828"/>
      <c r="AZ828"/>
      <c r="BA828"/>
      <c r="BI828"/>
      <c r="BJ828"/>
      <c r="BK828"/>
      <c r="BS828"/>
      <c r="BT828"/>
      <c r="BU828"/>
      <c r="CC828"/>
      <c r="CD828"/>
      <c r="CE828"/>
    </row>
    <row r="829" spans="21:83">
      <c r="U829"/>
      <c r="V829"/>
      <c r="W829"/>
      <c r="AE829"/>
      <c r="AF829"/>
      <c r="AG829"/>
      <c r="AO829"/>
      <c r="AP829"/>
      <c r="AQ829"/>
      <c r="AY829"/>
      <c r="AZ829"/>
      <c r="BA829"/>
      <c r="BI829"/>
      <c r="BJ829"/>
      <c r="BK829"/>
      <c r="BS829"/>
      <c r="BT829"/>
      <c r="BU829"/>
      <c r="CC829"/>
      <c r="CD829"/>
      <c r="CE829"/>
    </row>
    <row r="830" spans="21:83">
      <c r="U830"/>
      <c r="V830"/>
      <c r="W830"/>
      <c r="AE830"/>
      <c r="AF830"/>
      <c r="AG830"/>
      <c r="AO830"/>
      <c r="AP830"/>
      <c r="AQ830"/>
      <c r="AY830"/>
      <c r="AZ830"/>
      <c r="BA830"/>
      <c r="BI830"/>
      <c r="BJ830"/>
      <c r="BK830"/>
      <c r="BS830"/>
      <c r="BT830"/>
      <c r="BU830"/>
      <c r="CC830"/>
      <c r="CD830"/>
      <c r="CE830"/>
    </row>
    <row r="831" spans="21:83">
      <c r="U831"/>
      <c r="V831"/>
      <c r="W831"/>
      <c r="AE831"/>
      <c r="AF831"/>
      <c r="AG831"/>
      <c r="AO831"/>
      <c r="AP831"/>
      <c r="AQ831"/>
      <c r="AY831"/>
      <c r="AZ831"/>
      <c r="BA831"/>
      <c r="BI831"/>
      <c r="BJ831"/>
      <c r="BK831"/>
      <c r="BS831"/>
      <c r="BT831"/>
      <c r="BU831"/>
      <c r="CC831"/>
      <c r="CD831"/>
      <c r="CE831"/>
    </row>
    <row r="832" spans="21:83">
      <c r="U832"/>
      <c r="V832"/>
      <c r="W832"/>
      <c r="AE832"/>
      <c r="AF832"/>
      <c r="AG832"/>
      <c r="AO832"/>
      <c r="AP832"/>
      <c r="AQ832"/>
      <c r="AY832"/>
      <c r="AZ832"/>
      <c r="BA832"/>
      <c r="BI832"/>
      <c r="BJ832"/>
      <c r="BK832"/>
      <c r="BS832"/>
      <c r="BT832"/>
      <c r="BU832"/>
      <c r="CC832"/>
      <c r="CD832"/>
      <c r="CE832"/>
    </row>
    <row r="833" spans="21:83">
      <c r="U833"/>
      <c r="V833"/>
      <c r="W833"/>
      <c r="AE833"/>
      <c r="AF833"/>
      <c r="AG833"/>
      <c r="AO833"/>
      <c r="AP833"/>
      <c r="AQ833"/>
      <c r="AY833"/>
      <c r="AZ833"/>
      <c r="BA833"/>
      <c r="BI833"/>
      <c r="BJ833"/>
      <c r="BK833"/>
      <c r="BS833"/>
      <c r="BT833"/>
      <c r="BU833"/>
      <c r="CC833"/>
      <c r="CD833"/>
      <c r="CE833"/>
    </row>
    <row r="834" spans="21:83">
      <c r="U834"/>
      <c r="V834"/>
      <c r="W834"/>
      <c r="AE834"/>
      <c r="AF834"/>
      <c r="AG834"/>
      <c r="AO834"/>
      <c r="AP834"/>
      <c r="AQ834"/>
      <c r="AY834"/>
      <c r="AZ834"/>
      <c r="BA834"/>
      <c r="BI834"/>
      <c r="BJ834"/>
      <c r="BK834"/>
      <c r="BS834"/>
      <c r="BT834"/>
      <c r="BU834"/>
      <c r="CC834"/>
      <c r="CD834"/>
      <c r="CE834"/>
    </row>
    <row r="835" spans="21:83">
      <c r="U835"/>
      <c r="V835"/>
      <c r="W835"/>
      <c r="AE835"/>
      <c r="AF835"/>
      <c r="AG835"/>
      <c r="AO835"/>
      <c r="AP835"/>
      <c r="AQ835"/>
      <c r="AY835"/>
      <c r="AZ835"/>
      <c r="BA835"/>
      <c r="BI835"/>
      <c r="BJ835"/>
      <c r="BK835"/>
      <c r="BS835"/>
      <c r="BT835"/>
      <c r="BU835"/>
      <c r="CC835"/>
      <c r="CD835"/>
      <c r="CE835"/>
    </row>
    <row r="836" spans="21:83">
      <c r="U836"/>
      <c r="V836"/>
      <c r="W836"/>
      <c r="AE836"/>
      <c r="AF836"/>
      <c r="AG836"/>
      <c r="AO836"/>
      <c r="AP836"/>
      <c r="AQ836"/>
      <c r="AY836"/>
      <c r="AZ836"/>
      <c r="BA836"/>
      <c r="BI836"/>
      <c r="BJ836"/>
      <c r="BK836"/>
      <c r="BS836"/>
      <c r="BT836"/>
      <c r="BU836"/>
      <c r="CC836"/>
      <c r="CD836"/>
      <c r="CE836"/>
    </row>
    <row r="837" spans="21:83">
      <c r="U837"/>
      <c r="V837"/>
      <c r="W837"/>
      <c r="AE837"/>
      <c r="AF837"/>
      <c r="AG837"/>
      <c r="AO837"/>
      <c r="AP837"/>
      <c r="AQ837"/>
      <c r="AY837"/>
      <c r="AZ837"/>
      <c r="BA837"/>
      <c r="BI837"/>
      <c r="BJ837"/>
      <c r="BK837"/>
      <c r="BS837"/>
      <c r="BT837"/>
      <c r="BU837"/>
      <c r="CC837"/>
      <c r="CD837"/>
      <c r="CE837"/>
    </row>
    <row r="838" spans="21:83">
      <c r="U838"/>
      <c r="V838"/>
      <c r="W838"/>
      <c r="AE838"/>
      <c r="AF838"/>
      <c r="AG838"/>
      <c r="AO838"/>
      <c r="AP838"/>
      <c r="AQ838"/>
      <c r="AY838"/>
      <c r="AZ838"/>
      <c r="BA838"/>
      <c r="BI838"/>
      <c r="BJ838"/>
      <c r="BK838"/>
      <c r="BS838"/>
      <c r="BT838"/>
      <c r="BU838"/>
      <c r="CC838"/>
      <c r="CD838"/>
      <c r="CE838"/>
    </row>
    <row r="839" spans="21:83">
      <c r="U839"/>
      <c r="V839"/>
      <c r="W839"/>
      <c r="AE839"/>
      <c r="AF839"/>
      <c r="AG839"/>
      <c r="AO839"/>
      <c r="AP839"/>
      <c r="AQ839"/>
      <c r="AY839"/>
      <c r="AZ839"/>
      <c r="BA839"/>
      <c r="BI839"/>
      <c r="BJ839"/>
      <c r="BK839"/>
      <c r="BS839"/>
      <c r="BT839"/>
      <c r="BU839"/>
      <c r="CC839"/>
      <c r="CD839"/>
      <c r="CE839"/>
    </row>
    <row r="840" spans="21:83">
      <c r="U840"/>
      <c r="V840"/>
      <c r="W840"/>
      <c r="AE840"/>
      <c r="AF840"/>
      <c r="AG840"/>
      <c r="AO840"/>
      <c r="AP840"/>
      <c r="AQ840"/>
      <c r="AY840"/>
      <c r="AZ840"/>
      <c r="BA840"/>
      <c r="BI840"/>
      <c r="BJ840"/>
      <c r="BK840"/>
      <c r="BS840"/>
      <c r="BT840"/>
      <c r="BU840"/>
      <c r="CC840"/>
      <c r="CD840"/>
      <c r="CE840"/>
    </row>
    <row r="841" spans="21:83">
      <c r="U841"/>
      <c r="V841"/>
      <c r="W841"/>
      <c r="AE841"/>
      <c r="AF841"/>
      <c r="AG841"/>
      <c r="AO841"/>
      <c r="AP841"/>
      <c r="AQ841"/>
      <c r="AY841"/>
      <c r="AZ841"/>
      <c r="BA841"/>
      <c r="BI841"/>
      <c r="BJ841"/>
      <c r="BK841"/>
      <c r="BS841"/>
      <c r="BT841"/>
      <c r="BU841"/>
      <c r="CC841"/>
      <c r="CD841"/>
      <c r="CE841"/>
    </row>
    <row r="842" spans="21:83">
      <c r="U842"/>
      <c r="V842"/>
      <c r="W842"/>
      <c r="AE842"/>
      <c r="AF842"/>
      <c r="AG842"/>
      <c r="AO842"/>
      <c r="AP842"/>
      <c r="AQ842"/>
      <c r="AY842"/>
      <c r="AZ842"/>
      <c r="BA842"/>
      <c r="BI842"/>
      <c r="BJ842"/>
      <c r="BK842"/>
      <c r="BS842"/>
      <c r="BT842"/>
      <c r="BU842"/>
      <c r="CC842"/>
      <c r="CD842"/>
      <c r="CE842"/>
    </row>
    <row r="843" spans="21:83">
      <c r="U843"/>
      <c r="V843"/>
      <c r="W843"/>
      <c r="AE843"/>
      <c r="AF843"/>
      <c r="AG843"/>
      <c r="AO843"/>
      <c r="AP843"/>
      <c r="AQ843"/>
      <c r="AY843"/>
      <c r="AZ843"/>
      <c r="BA843"/>
      <c r="BI843"/>
      <c r="BJ843"/>
      <c r="BK843"/>
      <c r="BS843"/>
      <c r="BT843"/>
      <c r="BU843"/>
      <c r="CC843"/>
      <c r="CD843"/>
      <c r="CE843"/>
    </row>
    <row r="844" spans="21:83">
      <c r="U844"/>
      <c r="V844"/>
      <c r="W844"/>
      <c r="AE844"/>
      <c r="AF844"/>
      <c r="AG844"/>
      <c r="AO844"/>
      <c r="AP844"/>
      <c r="AQ844"/>
      <c r="AY844"/>
      <c r="AZ844"/>
      <c r="BA844"/>
      <c r="BI844"/>
      <c r="BJ844"/>
      <c r="BK844"/>
      <c r="BS844"/>
      <c r="BT844"/>
      <c r="BU844"/>
      <c r="CC844"/>
      <c r="CD844"/>
      <c r="CE844"/>
    </row>
    <row r="845" spans="21:83">
      <c r="U845"/>
      <c r="V845"/>
      <c r="W845"/>
      <c r="AE845"/>
      <c r="AF845"/>
      <c r="AG845"/>
      <c r="AO845"/>
      <c r="AP845"/>
      <c r="AQ845"/>
      <c r="AY845"/>
      <c r="AZ845"/>
      <c r="BA845"/>
      <c r="BI845"/>
      <c r="BJ845"/>
      <c r="BK845"/>
      <c r="BS845"/>
      <c r="BT845"/>
      <c r="BU845"/>
      <c r="CC845"/>
      <c r="CD845"/>
      <c r="CE845"/>
    </row>
    <row r="846" spans="21:83">
      <c r="U846"/>
      <c r="V846"/>
      <c r="W846"/>
      <c r="AE846"/>
      <c r="AF846"/>
      <c r="AG846"/>
      <c r="AO846"/>
      <c r="AP846"/>
      <c r="AQ846"/>
      <c r="AY846"/>
      <c r="AZ846"/>
      <c r="BA846"/>
      <c r="BI846"/>
      <c r="BJ846"/>
      <c r="BK846"/>
      <c r="BS846"/>
      <c r="BT846"/>
      <c r="BU846"/>
      <c r="CC846"/>
      <c r="CD846"/>
      <c r="CE846"/>
    </row>
    <row r="847" spans="21:83">
      <c r="U847"/>
      <c r="V847"/>
      <c r="W847"/>
      <c r="AE847"/>
      <c r="AF847"/>
      <c r="AG847"/>
      <c r="AO847"/>
      <c r="AP847"/>
      <c r="AQ847"/>
      <c r="AY847"/>
      <c r="AZ847"/>
      <c r="BA847"/>
      <c r="BI847"/>
      <c r="BJ847"/>
      <c r="BK847"/>
      <c r="BS847"/>
      <c r="BT847"/>
      <c r="BU847"/>
      <c r="CC847"/>
      <c r="CD847"/>
      <c r="CE847"/>
    </row>
    <row r="848" spans="21:83">
      <c r="U848"/>
      <c r="V848"/>
      <c r="W848"/>
      <c r="AE848"/>
      <c r="AF848"/>
      <c r="AG848"/>
      <c r="AO848"/>
      <c r="AP848"/>
      <c r="AQ848"/>
      <c r="AY848"/>
      <c r="AZ848"/>
      <c r="BA848"/>
      <c r="BI848"/>
      <c r="BJ848"/>
      <c r="BK848"/>
      <c r="BS848"/>
      <c r="BT848"/>
      <c r="BU848"/>
      <c r="CC848"/>
      <c r="CD848"/>
      <c r="CE848"/>
    </row>
    <row r="849" spans="21:83">
      <c r="U849"/>
      <c r="V849"/>
      <c r="W849"/>
      <c r="AE849"/>
      <c r="AF849"/>
      <c r="AG849"/>
      <c r="AO849"/>
      <c r="AP849"/>
      <c r="AQ849"/>
      <c r="AY849"/>
      <c r="AZ849"/>
      <c r="BA849"/>
      <c r="BI849"/>
      <c r="BJ849"/>
      <c r="BK849"/>
      <c r="BS849"/>
      <c r="BT849"/>
      <c r="BU849"/>
      <c r="CC849"/>
      <c r="CD849"/>
      <c r="CE849"/>
    </row>
    <row r="850" spans="21:83">
      <c r="U850"/>
      <c r="V850"/>
      <c r="W850"/>
      <c r="AE850"/>
      <c r="AF850"/>
      <c r="AG850"/>
      <c r="AO850"/>
      <c r="AP850"/>
      <c r="AQ850"/>
      <c r="AY850"/>
      <c r="AZ850"/>
      <c r="BA850"/>
      <c r="BI850"/>
      <c r="BJ850"/>
      <c r="BK850"/>
      <c r="BS850"/>
      <c r="BT850"/>
      <c r="BU850"/>
      <c r="CC850"/>
      <c r="CD850"/>
      <c r="CE850"/>
    </row>
    <row r="851" spans="21:83">
      <c r="U851"/>
      <c r="V851"/>
      <c r="W851"/>
      <c r="AE851"/>
      <c r="AF851"/>
      <c r="AG851"/>
      <c r="AO851"/>
      <c r="AP851"/>
      <c r="AQ851"/>
      <c r="AY851"/>
      <c r="AZ851"/>
      <c r="BA851"/>
      <c r="BI851"/>
      <c r="BJ851"/>
      <c r="BK851"/>
      <c r="BS851"/>
      <c r="BT851"/>
      <c r="BU851"/>
      <c r="CC851"/>
      <c r="CD851"/>
      <c r="CE851"/>
    </row>
    <row r="852" spans="21:83">
      <c r="U852"/>
      <c r="V852"/>
      <c r="W852"/>
      <c r="AE852"/>
      <c r="AF852"/>
      <c r="AG852"/>
      <c r="AO852"/>
      <c r="AP852"/>
      <c r="AQ852"/>
      <c r="AY852"/>
      <c r="AZ852"/>
      <c r="BA852"/>
      <c r="BI852"/>
      <c r="BJ852"/>
      <c r="BK852"/>
      <c r="BS852"/>
      <c r="BT852"/>
      <c r="BU852"/>
      <c r="CC852"/>
      <c r="CD852"/>
      <c r="CE852"/>
    </row>
    <row r="853" spans="21:83">
      <c r="U853"/>
      <c r="V853"/>
      <c r="W853"/>
      <c r="AE853"/>
      <c r="AF853"/>
      <c r="AG853"/>
      <c r="AO853"/>
      <c r="AP853"/>
      <c r="AQ853"/>
      <c r="AY853"/>
      <c r="AZ853"/>
      <c r="BA853"/>
      <c r="BI853"/>
      <c r="BJ853"/>
      <c r="BK853"/>
      <c r="BS853"/>
      <c r="BT853"/>
      <c r="BU853"/>
      <c r="CC853"/>
      <c r="CD853"/>
      <c r="CE853"/>
    </row>
    <row r="854" spans="21:83">
      <c r="U854"/>
      <c r="V854"/>
      <c r="W854"/>
      <c r="AE854"/>
      <c r="AF854"/>
      <c r="AG854"/>
      <c r="AO854"/>
      <c r="AP854"/>
      <c r="AQ854"/>
      <c r="AY854"/>
      <c r="AZ854"/>
      <c r="BA854"/>
      <c r="BI854"/>
      <c r="BJ854"/>
      <c r="BK854"/>
      <c r="BS854"/>
      <c r="BT854"/>
      <c r="BU854"/>
      <c r="CC854"/>
      <c r="CD854"/>
      <c r="CE854"/>
    </row>
    <row r="855" spans="21:83">
      <c r="U855"/>
      <c r="V855"/>
      <c r="W855"/>
      <c r="AE855"/>
      <c r="AF855"/>
      <c r="AG855"/>
      <c r="AO855"/>
      <c r="AP855"/>
      <c r="AQ855"/>
      <c r="AY855"/>
      <c r="AZ855"/>
      <c r="BA855"/>
      <c r="BI855"/>
      <c r="BJ855"/>
      <c r="BK855"/>
      <c r="BS855"/>
      <c r="BT855"/>
      <c r="BU855"/>
      <c r="CC855"/>
      <c r="CD855"/>
      <c r="CE855"/>
    </row>
    <row r="856" spans="21:83">
      <c r="U856"/>
      <c r="V856"/>
      <c r="W856"/>
      <c r="AE856"/>
      <c r="AF856"/>
      <c r="AG856"/>
      <c r="AO856"/>
      <c r="AP856"/>
      <c r="AQ856"/>
      <c r="AY856"/>
      <c r="AZ856"/>
      <c r="BA856"/>
      <c r="BI856"/>
      <c r="BJ856"/>
      <c r="BK856"/>
      <c r="BS856"/>
      <c r="BT856"/>
      <c r="BU856"/>
      <c r="CC856"/>
      <c r="CD856"/>
      <c r="CE856"/>
    </row>
    <row r="857" spans="21:83">
      <c r="U857"/>
      <c r="V857"/>
      <c r="W857"/>
      <c r="AE857"/>
      <c r="AF857"/>
      <c r="AG857"/>
      <c r="AO857"/>
      <c r="AP857"/>
      <c r="AQ857"/>
      <c r="AY857"/>
      <c r="AZ857"/>
      <c r="BA857"/>
      <c r="BI857"/>
      <c r="BJ857"/>
      <c r="BK857"/>
      <c r="BS857"/>
      <c r="BT857"/>
      <c r="BU857"/>
      <c r="CC857"/>
      <c r="CD857"/>
      <c r="CE857"/>
    </row>
    <row r="858" spans="21:83">
      <c r="U858"/>
      <c r="V858"/>
      <c r="W858"/>
      <c r="AE858"/>
      <c r="AF858"/>
      <c r="AG858"/>
      <c r="AO858"/>
      <c r="AP858"/>
      <c r="AQ858"/>
      <c r="AY858"/>
      <c r="AZ858"/>
      <c r="BA858"/>
      <c r="BI858"/>
      <c r="BJ858"/>
      <c r="BK858"/>
      <c r="BS858"/>
      <c r="BT858"/>
      <c r="BU858"/>
      <c r="CC858"/>
      <c r="CD858"/>
      <c r="CE858"/>
    </row>
    <row r="859" spans="21:83">
      <c r="U859"/>
      <c r="V859"/>
      <c r="W859"/>
      <c r="AE859"/>
      <c r="AF859"/>
      <c r="AG859"/>
      <c r="AO859"/>
      <c r="AP859"/>
      <c r="AQ859"/>
      <c r="AY859"/>
      <c r="AZ859"/>
      <c r="BA859"/>
      <c r="BI859"/>
      <c r="BJ859"/>
      <c r="BK859"/>
      <c r="BS859"/>
      <c r="BT859"/>
      <c r="BU859"/>
      <c r="CC859"/>
      <c r="CD859"/>
      <c r="CE859"/>
    </row>
    <row r="860" spans="21:83">
      <c r="U860"/>
      <c r="V860"/>
      <c r="W860"/>
      <c r="AE860"/>
      <c r="AF860"/>
      <c r="AG860"/>
      <c r="AO860"/>
      <c r="AP860"/>
      <c r="AQ860"/>
      <c r="AY860"/>
      <c r="AZ860"/>
      <c r="BA860"/>
      <c r="BI860"/>
      <c r="BJ860"/>
      <c r="BK860"/>
      <c r="BS860"/>
      <c r="BT860"/>
      <c r="BU860"/>
      <c r="CC860"/>
      <c r="CD860"/>
      <c r="CE860"/>
    </row>
    <row r="861" spans="21:83">
      <c r="U861"/>
      <c r="V861"/>
      <c r="W861"/>
      <c r="AE861"/>
      <c r="AF861"/>
      <c r="AG861"/>
      <c r="AO861"/>
      <c r="AP861"/>
      <c r="AQ861"/>
      <c r="AY861"/>
      <c r="AZ861"/>
      <c r="BA861"/>
      <c r="BI861"/>
      <c r="BJ861"/>
      <c r="BK861"/>
      <c r="BS861"/>
      <c r="BT861"/>
      <c r="BU861"/>
      <c r="CC861"/>
      <c r="CD861"/>
      <c r="CE861"/>
    </row>
    <row r="862" spans="21:83">
      <c r="U862"/>
      <c r="V862"/>
      <c r="W862"/>
      <c r="AE862"/>
      <c r="AF862"/>
      <c r="AG862"/>
      <c r="AO862"/>
      <c r="AP862"/>
      <c r="AQ862"/>
      <c r="AY862"/>
      <c r="AZ862"/>
      <c r="BA862"/>
      <c r="BI862"/>
      <c r="BJ862"/>
      <c r="BK862"/>
      <c r="BS862"/>
      <c r="BT862"/>
      <c r="BU862"/>
      <c r="CC862"/>
      <c r="CD862"/>
      <c r="CE862"/>
    </row>
    <row r="863" spans="21:83">
      <c r="U863"/>
      <c r="V863"/>
      <c r="W863"/>
      <c r="AE863"/>
      <c r="AF863"/>
      <c r="AG863"/>
      <c r="AO863"/>
      <c r="AP863"/>
      <c r="AQ863"/>
      <c r="AY863"/>
      <c r="AZ863"/>
      <c r="BA863"/>
      <c r="BI863"/>
      <c r="BJ863"/>
      <c r="BK863"/>
      <c r="BS863"/>
      <c r="BT863"/>
      <c r="BU863"/>
      <c r="CC863"/>
      <c r="CD863"/>
      <c r="CE863"/>
    </row>
    <row r="864" spans="21:83">
      <c r="U864"/>
      <c r="V864"/>
      <c r="W864"/>
      <c r="AE864"/>
      <c r="AF864"/>
      <c r="AG864"/>
      <c r="AO864"/>
      <c r="AP864"/>
      <c r="AQ864"/>
      <c r="AY864"/>
      <c r="AZ864"/>
      <c r="BA864"/>
      <c r="BI864"/>
      <c r="BJ864"/>
      <c r="BK864"/>
      <c r="BS864"/>
      <c r="BT864"/>
      <c r="BU864"/>
      <c r="CC864"/>
      <c r="CD864"/>
      <c r="CE864"/>
    </row>
    <row r="865" spans="21:83">
      <c r="U865"/>
      <c r="V865"/>
      <c r="W865"/>
      <c r="AE865"/>
      <c r="AF865"/>
      <c r="AG865"/>
      <c r="AO865"/>
      <c r="AP865"/>
      <c r="AQ865"/>
      <c r="AY865"/>
      <c r="AZ865"/>
      <c r="BA865"/>
      <c r="BI865"/>
      <c r="BJ865"/>
      <c r="BK865"/>
      <c r="BS865"/>
      <c r="BT865"/>
      <c r="BU865"/>
      <c r="CC865"/>
      <c r="CD865"/>
      <c r="CE865"/>
    </row>
    <row r="866" spans="21:83">
      <c r="U866"/>
      <c r="V866"/>
      <c r="W866"/>
      <c r="AE866"/>
      <c r="AF866"/>
      <c r="AG866"/>
      <c r="AO866"/>
      <c r="AP866"/>
      <c r="AQ866"/>
      <c r="AY866"/>
      <c r="AZ866"/>
      <c r="BA866"/>
      <c r="BI866"/>
      <c r="BJ866"/>
      <c r="BK866"/>
      <c r="BS866"/>
      <c r="BT866"/>
      <c r="BU866"/>
      <c r="CC866"/>
      <c r="CD866"/>
      <c r="CE866"/>
    </row>
    <row r="867" spans="21:83">
      <c r="U867"/>
      <c r="V867"/>
      <c r="W867"/>
      <c r="AE867"/>
      <c r="AF867"/>
      <c r="AG867"/>
      <c r="AO867"/>
      <c r="AP867"/>
      <c r="AQ867"/>
      <c r="AY867"/>
      <c r="AZ867"/>
      <c r="BA867"/>
      <c r="BI867"/>
      <c r="BJ867"/>
      <c r="BK867"/>
      <c r="BS867"/>
      <c r="BT867"/>
      <c r="BU867"/>
      <c r="CC867"/>
      <c r="CD867"/>
      <c r="CE867"/>
    </row>
    <row r="868" spans="21:83">
      <c r="U868"/>
      <c r="V868"/>
      <c r="W868"/>
      <c r="AE868"/>
      <c r="AF868"/>
      <c r="AG868"/>
      <c r="AO868"/>
      <c r="AP868"/>
      <c r="AQ868"/>
      <c r="AY868"/>
      <c r="AZ868"/>
      <c r="BA868"/>
      <c r="BI868"/>
      <c r="BJ868"/>
      <c r="BK868"/>
      <c r="BS868"/>
      <c r="BT868"/>
      <c r="BU868"/>
      <c r="CC868"/>
      <c r="CD868"/>
      <c r="CE868"/>
    </row>
    <row r="869" spans="21:83">
      <c r="U869"/>
      <c r="V869"/>
      <c r="W869"/>
      <c r="AE869"/>
      <c r="AF869"/>
      <c r="AG869"/>
      <c r="AO869"/>
      <c r="AP869"/>
      <c r="AQ869"/>
      <c r="AY869"/>
      <c r="AZ869"/>
      <c r="BA869"/>
      <c r="BI869"/>
      <c r="BJ869"/>
      <c r="BK869"/>
      <c r="BS869"/>
      <c r="BT869"/>
      <c r="BU869"/>
      <c r="CC869"/>
      <c r="CD869"/>
      <c r="CE869"/>
    </row>
    <row r="870" spans="21:83">
      <c r="U870"/>
      <c r="V870"/>
      <c r="W870"/>
      <c r="AE870"/>
      <c r="AF870"/>
      <c r="AG870"/>
      <c r="AO870"/>
      <c r="AP870"/>
      <c r="AQ870"/>
      <c r="AY870"/>
      <c r="AZ870"/>
      <c r="BA870"/>
      <c r="BI870"/>
      <c r="BJ870"/>
      <c r="BK870"/>
      <c r="BS870"/>
      <c r="BT870"/>
      <c r="BU870"/>
      <c r="CC870"/>
      <c r="CD870"/>
      <c r="CE870"/>
    </row>
    <row r="871" spans="21:83">
      <c r="U871"/>
      <c r="V871"/>
      <c r="W871"/>
      <c r="AE871"/>
      <c r="AF871"/>
      <c r="AG871"/>
      <c r="AO871"/>
      <c r="AP871"/>
      <c r="AQ871"/>
      <c r="AY871"/>
      <c r="AZ871"/>
      <c r="BA871"/>
      <c r="BI871"/>
      <c r="BJ871"/>
      <c r="BK871"/>
      <c r="BS871"/>
      <c r="BT871"/>
      <c r="BU871"/>
      <c r="CC871"/>
      <c r="CD871"/>
      <c r="CE871"/>
    </row>
    <row r="872" spans="21:83">
      <c r="U872"/>
      <c r="V872"/>
      <c r="W872"/>
      <c r="AE872"/>
      <c r="AF872"/>
      <c r="AG872"/>
      <c r="AO872"/>
      <c r="AP872"/>
      <c r="AQ872"/>
      <c r="AY872"/>
      <c r="AZ872"/>
      <c r="BA872"/>
      <c r="BI872"/>
      <c r="BJ872"/>
      <c r="BK872"/>
      <c r="BS872"/>
      <c r="BT872"/>
      <c r="BU872"/>
      <c r="CC872"/>
      <c r="CD872"/>
      <c r="CE872"/>
    </row>
    <row r="873" spans="21:83">
      <c r="U873"/>
      <c r="V873"/>
      <c r="W873"/>
      <c r="AE873"/>
      <c r="AF873"/>
      <c r="AG873"/>
      <c r="AO873"/>
      <c r="AP873"/>
      <c r="AQ873"/>
      <c r="AY873"/>
      <c r="AZ873"/>
      <c r="BA873"/>
      <c r="BI873"/>
      <c r="BJ873"/>
      <c r="BK873"/>
      <c r="BS873"/>
      <c r="BT873"/>
      <c r="BU873"/>
      <c r="CC873"/>
      <c r="CD873"/>
      <c r="CE873"/>
    </row>
    <row r="874" spans="21:83">
      <c r="U874"/>
      <c r="V874"/>
      <c r="W874"/>
      <c r="AE874"/>
      <c r="AF874"/>
      <c r="AG874"/>
      <c r="AO874"/>
      <c r="AP874"/>
      <c r="AQ874"/>
      <c r="AY874"/>
      <c r="AZ874"/>
      <c r="BA874"/>
      <c r="BI874"/>
      <c r="BJ874"/>
      <c r="BK874"/>
      <c r="BS874"/>
      <c r="BT874"/>
      <c r="BU874"/>
      <c r="CC874"/>
      <c r="CD874"/>
      <c r="CE874"/>
    </row>
    <row r="875" spans="21:83">
      <c r="U875"/>
      <c r="V875"/>
      <c r="W875"/>
      <c r="AE875"/>
      <c r="AF875"/>
      <c r="AG875"/>
      <c r="AO875"/>
      <c r="AP875"/>
      <c r="AQ875"/>
      <c r="AY875"/>
      <c r="AZ875"/>
      <c r="BA875"/>
      <c r="BI875"/>
      <c r="BJ875"/>
      <c r="BK875"/>
      <c r="BS875"/>
      <c r="BT875"/>
      <c r="BU875"/>
      <c r="CC875"/>
      <c r="CD875"/>
      <c r="CE875"/>
    </row>
    <row r="876" spans="21:83">
      <c r="U876"/>
      <c r="V876"/>
      <c r="W876"/>
      <c r="AE876"/>
      <c r="AF876"/>
      <c r="AG876"/>
      <c r="AO876"/>
      <c r="AP876"/>
      <c r="AQ876"/>
      <c r="AY876"/>
      <c r="AZ876"/>
      <c r="BA876"/>
      <c r="BI876"/>
      <c r="BJ876"/>
      <c r="BK876"/>
      <c r="BS876"/>
      <c r="BT876"/>
      <c r="BU876"/>
      <c r="CC876"/>
      <c r="CD876"/>
      <c r="CE876"/>
    </row>
    <row r="877" spans="21:83">
      <c r="U877"/>
      <c r="V877"/>
      <c r="W877"/>
      <c r="AE877"/>
      <c r="AF877"/>
      <c r="AG877"/>
      <c r="AO877"/>
      <c r="AP877"/>
      <c r="AQ877"/>
      <c r="AY877"/>
      <c r="AZ877"/>
      <c r="BA877"/>
      <c r="BI877"/>
      <c r="BJ877"/>
      <c r="BK877"/>
      <c r="BS877"/>
      <c r="BT877"/>
      <c r="BU877"/>
      <c r="CC877"/>
      <c r="CD877"/>
      <c r="CE877"/>
    </row>
    <row r="878" spans="21:83">
      <c r="U878"/>
      <c r="V878"/>
      <c r="W878"/>
      <c r="AE878"/>
      <c r="AF878"/>
      <c r="AG878"/>
      <c r="AO878"/>
      <c r="AP878"/>
      <c r="AQ878"/>
      <c r="AY878"/>
      <c r="AZ878"/>
      <c r="BA878"/>
      <c r="BI878"/>
      <c r="BJ878"/>
      <c r="BK878"/>
      <c r="BS878"/>
      <c r="BT878"/>
      <c r="BU878"/>
      <c r="CC878"/>
      <c r="CD878"/>
      <c r="CE878"/>
    </row>
    <row r="879" spans="21:83">
      <c r="U879"/>
      <c r="V879"/>
      <c r="W879"/>
      <c r="AE879"/>
      <c r="AF879"/>
      <c r="AG879"/>
      <c r="AO879"/>
      <c r="AP879"/>
      <c r="AQ879"/>
      <c r="AY879"/>
      <c r="AZ879"/>
      <c r="BA879"/>
      <c r="BI879"/>
      <c r="BJ879"/>
      <c r="BK879"/>
      <c r="BS879"/>
      <c r="BT879"/>
      <c r="BU879"/>
      <c r="CC879"/>
      <c r="CD879"/>
      <c r="CE879"/>
    </row>
    <row r="880" spans="21:83">
      <c r="U880"/>
      <c r="V880"/>
      <c r="W880"/>
      <c r="AE880"/>
      <c r="AF880"/>
      <c r="AG880"/>
      <c r="AO880"/>
      <c r="AP880"/>
      <c r="AQ880"/>
      <c r="AY880"/>
      <c r="AZ880"/>
      <c r="BA880"/>
      <c r="BI880"/>
      <c r="BJ880"/>
      <c r="BK880"/>
      <c r="BS880"/>
      <c r="BT880"/>
      <c r="BU880"/>
      <c r="CC880"/>
      <c r="CD880"/>
      <c r="CE880"/>
    </row>
    <row r="881" spans="21:83">
      <c r="U881"/>
      <c r="V881"/>
      <c r="W881"/>
      <c r="AE881"/>
      <c r="AF881"/>
      <c r="AG881"/>
      <c r="AO881"/>
      <c r="AP881"/>
      <c r="AQ881"/>
      <c r="AY881"/>
      <c r="AZ881"/>
      <c r="BA881"/>
      <c r="BI881"/>
      <c r="BJ881"/>
      <c r="BK881"/>
      <c r="BS881"/>
      <c r="BT881"/>
      <c r="BU881"/>
      <c r="CC881"/>
      <c r="CD881"/>
      <c r="CE881"/>
    </row>
    <row r="882" spans="21:83">
      <c r="U882"/>
      <c r="V882"/>
      <c r="W882"/>
      <c r="AE882"/>
      <c r="AF882"/>
      <c r="AG882"/>
      <c r="AO882"/>
      <c r="AP882"/>
      <c r="AQ882"/>
      <c r="AY882"/>
      <c r="AZ882"/>
      <c r="BA882"/>
      <c r="BI882"/>
      <c r="BJ882"/>
      <c r="BK882"/>
      <c r="BS882"/>
      <c r="BT882"/>
      <c r="BU882"/>
      <c r="CC882"/>
      <c r="CD882"/>
      <c r="CE882"/>
    </row>
    <row r="883" spans="21:83">
      <c r="U883"/>
      <c r="V883"/>
      <c r="W883"/>
      <c r="AE883"/>
      <c r="AF883"/>
      <c r="AG883"/>
      <c r="AO883"/>
      <c r="AP883"/>
      <c r="AQ883"/>
      <c r="AY883"/>
      <c r="AZ883"/>
      <c r="BA883"/>
      <c r="BI883"/>
      <c r="BJ883"/>
      <c r="BK883"/>
      <c r="BS883"/>
      <c r="BT883"/>
      <c r="BU883"/>
      <c r="CC883"/>
      <c r="CD883"/>
      <c r="CE883"/>
    </row>
    <row r="884" spans="21:83">
      <c r="U884"/>
      <c r="V884"/>
      <c r="W884"/>
      <c r="AE884"/>
      <c r="AF884"/>
      <c r="AG884"/>
      <c r="AO884"/>
      <c r="AP884"/>
      <c r="AQ884"/>
      <c r="AY884"/>
      <c r="AZ884"/>
      <c r="BA884"/>
      <c r="BI884"/>
      <c r="BJ884"/>
      <c r="BK884"/>
      <c r="BS884"/>
      <c r="BT884"/>
      <c r="BU884"/>
      <c r="CC884"/>
      <c r="CD884"/>
      <c r="CE884"/>
    </row>
    <row r="885" spans="21:83">
      <c r="U885"/>
      <c r="V885"/>
      <c r="W885"/>
      <c r="AE885"/>
      <c r="AF885"/>
      <c r="AG885"/>
      <c r="AO885"/>
      <c r="AP885"/>
      <c r="AQ885"/>
      <c r="AY885"/>
      <c r="AZ885"/>
      <c r="BA885"/>
      <c r="BI885"/>
      <c r="BJ885"/>
      <c r="BK885"/>
      <c r="BS885"/>
      <c r="BT885"/>
      <c r="BU885"/>
      <c r="CC885"/>
      <c r="CD885"/>
      <c r="CE885"/>
    </row>
    <row r="886" spans="21:83">
      <c r="U886"/>
      <c r="V886"/>
      <c r="W886"/>
      <c r="AE886"/>
      <c r="AF886"/>
      <c r="AG886"/>
      <c r="AO886"/>
      <c r="AP886"/>
      <c r="AQ886"/>
      <c r="AY886"/>
      <c r="AZ886"/>
      <c r="BA886"/>
      <c r="BI886"/>
      <c r="BJ886"/>
      <c r="BK886"/>
      <c r="BS886"/>
      <c r="BT886"/>
      <c r="BU886"/>
      <c r="CC886"/>
      <c r="CD886"/>
      <c r="CE886"/>
    </row>
    <row r="887" spans="21:83">
      <c r="U887"/>
      <c r="V887"/>
      <c r="W887"/>
      <c r="AE887"/>
      <c r="AF887"/>
      <c r="AG887"/>
      <c r="AO887"/>
      <c r="AP887"/>
      <c r="AQ887"/>
      <c r="AY887"/>
      <c r="AZ887"/>
      <c r="BA887"/>
      <c r="BI887"/>
      <c r="BJ887"/>
      <c r="BK887"/>
      <c r="BS887"/>
      <c r="BT887"/>
      <c r="BU887"/>
      <c r="CC887"/>
      <c r="CD887"/>
      <c r="CE887"/>
    </row>
    <row r="888" spans="21:83">
      <c r="U888"/>
      <c r="V888"/>
      <c r="W888"/>
      <c r="AE888"/>
      <c r="AF888"/>
      <c r="AG888"/>
      <c r="AO888"/>
      <c r="AP888"/>
      <c r="AQ888"/>
      <c r="AY888"/>
      <c r="AZ888"/>
      <c r="BA888"/>
      <c r="BI888"/>
      <c r="BJ888"/>
      <c r="BK888"/>
      <c r="BS888"/>
      <c r="BT888"/>
      <c r="BU888"/>
      <c r="CC888"/>
      <c r="CD888"/>
      <c r="CE888"/>
    </row>
    <row r="889" spans="21:83">
      <c r="U889"/>
      <c r="V889"/>
      <c r="W889"/>
      <c r="AE889"/>
      <c r="AF889"/>
      <c r="AG889"/>
      <c r="AO889"/>
      <c r="AP889"/>
      <c r="AQ889"/>
      <c r="AY889"/>
      <c r="AZ889"/>
      <c r="BA889"/>
      <c r="BI889"/>
      <c r="BJ889"/>
      <c r="BK889"/>
      <c r="BS889"/>
      <c r="BT889"/>
      <c r="BU889"/>
      <c r="CC889"/>
      <c r="CD889"/>
      <c r="CE889"/>
    </row>
    <row r="890" spans="21:83">
      <c r="U890"/>
      <c r="V890"/>
      <c r="W890"/>
      <c r="AE890"/>
      <c r="AF890"/>
      <c r="AG890"/>
      <c r="AO890"/>
      <c r="AP890"/>
      <c r="AQ890"/>
      <c r="AY890"/>
      <c r="AZ890"/>
      <c r="BA890"/>
      <c r="BI890"/>
      <c r="BJ890"/>
      <c r="BK890"/>
      <c r="BS890"/>
      <c r="BT890"/>
      <c r="BU890"/>
      <c r="CC890"/>
      <c r="CD890"/>
      <c r="CE890"/>
    </row>
    <row r="891" spans="21:83">
      <c r="U891"/>
      <c r="V891"/>
      <c r="W891"/>
      <c r="AE891"/>
      <c r="AF891"/>
      <c r="AG891"/>
      <c r="AO891"/>
      <c r="AP891"/>
      <c r="AQ891"/>
      <c r="AY891"/>
      <c r="AZ891"/>
      <c r="BA891"/>
      <c r="BI891"/>
      <c r="BJ891"/>
      <c r="BK891"/>
      <c r="BS891"/>
      <c r="BT891"/>
      <c r="BU891"/>
      <c r="CC891"/>
      <c r="CD891"/>
      <c r="CE891"/>
    </row>
    <row r="892" spans="21:83">
      <c r="U892"/>
      <c r="V892"/>
      <c r="W892"/>
      <c r="AE892"/>
      <c r="AF892"/>
      <c r="AG892"/>
      <c r="AO892"/>
      <c r="AP892"/>
      <c r="AQ892"/>
      <c r="AY892"/>
      <c r="AZ892"/>
      <c r="BA892"/>
      <c r="BI892"/>
      <c r="BJ892"/>
      <c r="BK892"/>
      <c r="BS892"/>
      <c r="BT892"/>
      <c r="BU892"/>
      <c r="CC892"/>
      <c r="CD892"/>
      <c r="CE892"/>
    </row>
    <row r="893" spans="21:83">
      <c r="U893"/>
      <c r="V893"/>
      <c r="W893"/>
      <c r="AE893"/>
      <c r="AF893"/>
      <c r="AG893"/>
      <c r="AO893"/>
      <c r="AP893"/>
      <c r="AQ893"/>
      <c r="AY893"/>
      <c r="AZ893"/>
      <c r="BA893"/>
      <c r="BI893"/>
      <c r="BJ893"/>
      <c r="BK893"/>
      <c r="BS893"/>
      <c r="BT893"/>
      <c r="BU893"/>
      <c r="CC893"/>
      <c r="CD893"/>
      <c r="CE893"/>
    </row>
    <row r="894" spans="21:83">
      <c r="U894"/>
      <c r="V894"/>
      <c r="W894"/>
      <c r="AE894"/>
      <c r="AF894"/>
      <c r="AG894"/>
      <c r="AO894"/>
      <c r="AP894"/>
      <c r="AQ894"/>
      <c r="AY894"/>
      <c r="AZ894"/>
      <c r="BA894"/>
      <c r="BI894"/>
      <c r="BJ894"/>
      <c r="BK894"/>
      <c r="BS894"/>
      <c r="BT894"/>
      <c r="BU894"/>
      <c r="CC894"/>
      <c r="CD894"/>
      <c r="CE894"/>
    </row>
    <row r="895" spans="21:83">
      <c r="U895"/>
      <c r="V895"/>
      <c r="W895"/>
      <c r="AE895"/>
      <c r="AF895"/>
      <c r="AG895"/>
      <c r="AO895"/>
      <c r="AP895"/>
      <c r="AQ895"/>
      <c r="AY895"/>
      <c r="AZ895"/>
      <c r="BA895"/>
      <c r="BI895"/>
      <c r="BJ895"/>
      <c r="BK895"/>
      <c r="BS895"/>
      <c r="BT895"/>
      <c r="BU895"/>
      <c r="CC895"/>
      <c r="CD895"/>
      <c r="CE895"/>
    </row>
    <row r="896" spans="21:83">
      <c r="U896"/>
      <c r="V896"/>
      <c r="W896"/>
      <c r="AE896"/>
      <c r="AF896"/>
      <c r="AG896"/>
      <c r="AO896"/>
      <c r="AP896"/>
      <c r="AQ896"/>
      <c r="AY896"/>
      <c r="AZ896"/>
      <c r="BA896"/>
      <c r="BI896"/>
      <c r="BJ896"/>
      <c r="BK896"/>
      <c r="BS896"/>
      <c r="BT896"/>
      <c r="BU896"/>
      <c r="CC896"/>
      <c r="CD896"/>
      <c r="CE896"/>
    </row>
    <row r="897" spans="21:83">
      <c r="U897"/>
      <c r="V897"/>
      <c r="W897"/>
      <c r="AE897"/>
      <c r="AF897"/>
      <c r="AG897"/>
      <c r="AO897"/>
      <c r="AP897"/>
      <c r="AQ897"/>
      <c r="AY897"/>
      <c r="AZ897"/>
      <c r="BA897"/>
      <c r="BI897"/>
      <c r="BJ897"/>
      <c r="BK897"/>
      <c r="BS897"/>
      <c r="BT897"/>
      <c r="BU897"/>
      <c r="CC897"/>
      <c r="CD897"/>
      <c r="CE897"/>
    </row>
    <row r="898" spans="21:83">
      <c r="U898"/>
      <c r="V898"/>
      <c r="W898"/>
      <c r="AE898"/>
      <c r="AF898"/>
      <c r="AG898"/>
      <c r="AO898"/>
      <c r="AP898"/>
      <c r="AQ898"/>
      <c r="AY898"/>
      <c r="AZ898"/>
      <c r="BA898"/>
      <c r="BI898"/>
      <c r="BJ898"/>
      <c r="BK898"/>
      <c r="BS898"/>
      <c r="BT898"/>
      <c r="BU898"/>
      <c r="CC898"/>
      <c r="CD898"/>
      <c r="CE898"/>
    </row>
    <row r="899" spans="21:83">
      <c r="U899"/>
      <c r="V899"/>
      <c r="W899"/>
      <c r="AE899"/>
      <c r="AF899"/>
      <c r="AG899"/>
      <c r="AO899"/>
      <c r="AP899"/>
      <c r="AQ899"/>
      <c r="AY899"/>
      <c r="AZ899"/>
      <c r="BA899"/>
      <c r="BI899"/>
      <c r="BJ899"/>
      <c r="BK899"/>
      <c r="BS899"/>
      <c r="BT899"/>
      <c r="BU899"/>
      <c r="CC899"/>
      <c r="CD899"/>
      <c r="CE899"/>
    </row>
    <row r="900" spans="21:83">
      <c r="U900"/>
      <c r="V900"/>
      <c r="W900"/>
      <c r="AE900"/>
      <c r="AF900"/>
      <c r="AG900"/>
      <c r="AO900"/>
      <c r="AP900"/>
      <c r="AQ900"/>
      <c r="AY900"/>
      <c r="AZ900"/>
      <c r="BA900"/>
      <c r="BI900"/>
      <c r="BJ900"/>
      <c r="BK900"/>
      <c r="BS900"/>
      <c r="BT900"/>
      <c r="BU900"/>
      <c r="CC900"/>
      <c r="CD900"/>
      <c r="CE900"/>
    </row>
    <row r="901" spans="21:83">
      <c r="U901"/>
      <c r="V901"/>
      <c r="W901"/>
      <c r="AE901"/>
      <c r="AF901"/>
      <c r="AG901"/>
      <c r="AO901"/>
      <c r="AP901"/>
      <c r="AQ901"/>
      <c r="AY901"/>
      <c r="AZ901"/>
      <c r="BA901"/>
      <c r="BI901"/>
      <c r="BJ901"/>
      <c r="BK901"/>
      <c r="BS901"/>
      <c r="BT901"/>
      <c r="BU901"/>
      <c r="CC901"/>
      <c r="CD901"/>
      <c r="CE901"/>
    </row>
    <row r="902" spans="21:83">
      <c r="U902"/>
      <c r="V902"/>
      <c r="W902"/>
      <c r="AE902"/>
      <c r="AF902"/>
      <c r="AG902"/>
      <c r="AO902"/>
      <c r="AP902"/>
      <c r="AQ902"/>
      <c r="AY902"/>
      <c r="AZ902"/>
      <c r="BA902"/>
      <c r="BI902"/>
      <c r="BJ902"/>
      <c r="BK902"/>
      <c r="BS902"/>
      <c r="BT902"/>
      <c r="BU902"/>
      <c r="CC902"/>
      <c r="CD902"/>
      <c r="CE902"/>
    </row>
    <row r="903" spans="21:83">
      <c r="U903"/>
      <c r="V903"/>
      <c r="W903"/>
      <c r="AE903"/>
      <c r="AF903"/>
      <c r="AG903"/>
      <c r="AO903"/>
      <c r="AP903"/>
      <c r="AQ903"/>
      <c r="AY903"/>
      <c r="AZ903"/>
      <c r="BA903"/>
      <c r="BI903"/>
      <c r="BJ903"/>
      <c r="BK903"/>
      <c r="BS903"/>
      <c r="BT903"/>
      <c r="BU903"/>
      <c r="CC903"/>
      <c r="CD903"/>
      <c r="CE903"/>
    </row>
    <row r="904" spans="21:83">
      <c r="U904"/>
      <c r="V904"/>
      <c r="W904"/>
      <c r="AE904"/>
      <c r="AF904"/>
      <c r="AG904"/>
      <c r="AO904"/>
      <c r="AP904"/>
      <c r="AQ904"/>
      <c r="AY904"/>
      <c r="AZ904"/>
      <c r="BA904"/>
      <c r="BI904"/>
      <c r="BJ904"/>
      <c r="BK904"/>
      <c r="BS904"/>
      <c r="BT904"/>
      <c r="BU904"/>
      <c r="CC904"/>
      <c r="CD904"/>
      <c r="CE904"/>
    </row>
    <row r="905" spans="21:83">
      <c r="U905"/>
      <c r="V905"/>
      <c r="W905"/>
      <c r="AE905"/>
      <c r="AF905"/>
      <c r="AG905"/>
      <c r="AO905"/>
      <c r="AP905"/>
      <c r="AQ905"/>
      <c r="AY905"/>
      <c r="AZ905"/>
      <c r="BA905"/>
      <c r="BI905"/>
      <c r="BJ905"/>
      <c r="BK905"/>
      <c r="BS905"/>
      <c r="BT905"/>
      <c r="BU905"/>
      <c r="CC905"/>
      <c r="CD905"/>
      <c r="CE905"/>
    </row>
    <row r="906" spans="21:83">
      <c r="U906"/>
      <c r="V906"/>
      <c r="W906"/>
      <c r="AE906"/>
      <c r="AF906"/>
      <c r="AG906"/>
      <c r="AO906"/>
      <c r="AP906"/>
      <c r="AQ906"/>
      <c r="AY906"/>
      <c r="AZ906"/>
      <c r="BA906"/>
      <c r="BI906"/>
      <c r="BJ906"/>
      <c r="BK906"/>
      <c r="BS906"/>
      <c r="BT906"/>
      <c r="BU906"/>
      <c r="CC906"/>
      <c r="CD906"/>
      <c r="CE906"/>
    </row>
    <row r="907" spans="21:83">
      <c r="U907"/>
      <c r="V907"/>
      <c r="W907"/>
      <c r="AE907"/>
      <c r="AF907"/>
      <c r="AG907"/>
      <c r="AO907"/>
      <c r="AP907"/>
      <c r="AQ907"/>
      <c r="AY907"/>
      <c r="AZ907"/>
      <c r="BA907"/>
      <c r="BI907"/>
      <c r="BJ907"/>
      <c r="BK907"/>
      <c r="BS907"/>
      <c r="BT907"/>
      <c r="BU907"/>
      <c r="CC907"/>
      <c r="CD907"/>
      <c r="CE907"/>
    </row>
    <row r="908" spans="21:83">
      <c r="U908"/>
      <c r="V908"/>
      <c r="W908"/>
      <c r="AE908"/>
      <c r="AF908"/>
      <c r="AG908"/>
      <c r="AO908"/>
      <c r="AP908"/>
      <c r="AQ908"/>
      <c r="AY908"/>
      <c r="AZ908"/>
      <c r="BA908"/>
      <c r="BI908"/>
      <c r="BJ908"/>
      <c r="BK908"/>
      <c r="BS908"/>
      <c r="BT908"/>
      <c r="BU908"/>
      <c r="CC908"/>
      <c r="CD908"/>
      <c r="CE908"/>
    </row>
    <row r="909" spans="21:83">
      <c r="U909"/>
      <c r="V909"/>
      <c r="W909"/>
      <c r="AE909"/>
      <c r="AF909"/>
      <c r="AG909"/>
      <c r="AO909"/>
      <c r="AP909"/>
      <c r="AQ909"/>
      <c r="AY909"/>
      <c r="AZ909"/>
      <c r="BA909"/>
      <c r="BI909"/>
      <c r="BJ909"/>
      <c r="BK909"/>
      <c r="BS909"/>
      <c r="BT909"/>
      <c r="BU909"/>
      <c r="CC909"/>
      <c r="CD909"/>
      <c r="CE909"/>
    </row>
    <row r="910" spans="21:83">
      <c r="U910"/>
      <c r="V910"/>
      <c r="W910"/>
      <c r="AE910"/>
      <c r="AF910"/>
      <c r="AG910"/>
      <c r="AO910"/>
      <c r="AP910"/>
      <c r="AQ910"/>
      <c r="AY910"/>
      <c r="AZ910"/>
      <c r="BA910"/>
      <c r="BI910"/>
      <c r="BJ910"/>
      <c r="BK910"/>
      <c r="BS910"/>
      <c r="BT910"/>
      <c r="BU910"/>
      <c r="CC910"/>
      <c r="CD910"/>
      <c r="CE910"/>
    </row>
    <row r="911" spans="21:83">
      <c r="U911"/>
      <c r="V911"/>
      <c r="W911"/>
      <c r="AE911"/>
      <c r="AF911"/>
      <c r="AG911"/>
      <c r="AO911"/>
      <c r="AP911"/>
      <c r="AQ911"/>
      <c r="AY911"/>
      <c r="AZ911"/>
      <c r="BA911"/>
      <c r="BI911"/>
      <c r="BJ911"/>
      <c r="BK911"/>
      <c r="BS911"/>
      <c r="BT911"/>
      <c r="BU911"/>
      <c r="CC911"/>
      <c r="CD911"/>
      <c r="CE911"/>
    </row>
    <row r="912" spans="21:83">
      <c r="U912"/>
      <c r="V912"/>
      <c r="W912"/>
      <c r="AE912"/>
      <c r="AF912"/>
      <c r="AG912"/>
      <c r="AO912"/>
      <c r="AP912"/>
      <c r="AQ912"/>
      <c r="AY912"/>
      <c r="AZ912"/>
      <c r="BA912"/>
      <c r="BI912"/>
      <c r="BJ912"/>
      <c r="BK912"/>
      <c r="BS912"/>
      <c r="BT912"/>
      <c r="BU912"/>
      <c r="CC912"/>
      <c r="CD912"/>
      <c r="CE912"/>
    </row>
    <row r="913" spans="21:83">
      <c r="U913"/>
      <c r="V913"/>
      <c r="W913"/>
      <c r="AE913"/>
      <c r="AF913"/>
      <c r="AG913"/>
      <c r="AO913"/>
      <c r="AP913"/>
      <c r="AQ913"/>
      <c r="AY913"/>
      <c r="AZ913"/>
      <c r="BA913"/>
      <c r="BI913"/>
      <c r="BJ913"/>
      <c r="BK913"/>
      <c r="BS913"/>
      <c r="BT913"/>
      <c r="BU913"/>
      <c r="CC913"/>
      <c r="CD913"/>
      <c r="CE913"/>
    </row>
    <row r="914" spans="21:83">
      <c r="U914"/>
      <c r="V914"/>
      <c r="W914"/>
      <c r="AE914"/>
      <c r="AF914"/>
      <c r="AG914"/>
      <c r="AO914"/>
      <c r="AP914"/>
      <c r="AQ914"/>
      <c r="AY914"/>
      <c r="AZ914"/>
      <c r="BA914"/>
      <c r="BI914"/>
      <c r="BJ914"/>
      <c r="BK914"/>
      <c r="BS914"/>
      <c r="BT914"/>
      <c r="BU914"/>
      <c r="CC914"/>
      <c r="CD914"/>
      <c r="CE914"/>
    </row>
    <row r="915" spans="21:83">
      <c r="U915"/>
      <c r="V915"/>
      <c r="W915"/>
      <c r="AE915"/>
      <c r="AF915"/>
      <c r="AG915"/>
      <c r="AO915"/>
      <c r="AP915"/>
      <c r="AQ915"/>
      <c r="AY915"/>
      <c r="AZ915"/>
      <c r="BA915"/>
      <c r="BI915"/>
      <c r="BJ915"/>
      <c r="BK915"/>
      <c r="BS915"/>
      <c r="BT915"/>
      <c r="BU915"/>
      <c r="CC915"/>
      <c r="CD915"/>
      <c r="CE915"/>
    </row>
    <row r="916" spans="21:83">
      <c r="U916"/>
      <c r="V916"/>
      <c r="W916"/>
      <c r="AE916"/>
      <c r="AF916"/>
      <c r="AG916"/>
      <c r="AO916"/>
      <c r="AP916"/>
      <c r="AQ916"/>
      <c r="AY916"/>
      <c r="AZ916"/>
      <c r="BA916"/>
      <c r="BI916"/>
      <c r="BJ916"/>
      <c r="BK916"/>
      <c r="BS916"/>
      <c r="BT916"/>
      <c r="BU916"/>
      <c r="CC916"/>
      <c r="CD916"/>
      <c r="CE916"/>
    </row>
    <row r="917" spans="21:83">
      <c r="U917"/>
      <c r="V917"/>
      <c r="W917"/>
      <c r="AE917"/>
      <c r="AF917"/>
      <c r="AG917"/>
      <c r="AO917"/>
      <c r="AP917"/>
      <c r="AQ917"/>
      <c r="AY917"/>
      <c r="AZ917"/>
      <c r="BA917"/>
      <c r="BI917"/>
      <c r="BJ917"/>
      <c r="BK917"/>
      <c r="BS917"/>
      <c r="BT917"/>
      <c r="BU917"/>
      <c r="CC917"/>
      <c r="CD917"/>
      <c r="CE917"/>
    </row>
    <row r="918" spans="21:83">
      <c r="U918"/>
      <c r="V918"/>
      <c r="W918"/>
      <c r="AE918"/>
      <c r="AF918"/>
      <c r="AG918"/>
      <c r="AO918"/>
      <c r="AP918"/>
      <c r="AQ918"/>
      <c r="AY918"/>
      <c r="AZ918"/>
      <c r="BA918"/>
      <c r="BI918"/>
      <c r="BJ918"/>
      <c r="BK918"/>
      <c r="BS918"/>
      <c r="BT918"/>
      <c r="BU918"/>
      <c r="CC918"/>
      <c r="CD918"/>
      <c r="CE918"/>
    </row>
    <row r="919" spans="21:83">
      <c r="U919"/>
      <c r="V919"/>
      <c r="W919"/>
      <c r="AE919"/>
      <c r="AF919"/>
      <c r="AG919"/>
      <c r="AO919"/>
      <c r="AP919"/>
      <c r="AQ919"/>
      <c r="AY919"/>
      <c r="AZ919"/>
      <c r="BA919"/>
      <c r="BI919"/>
      <c r="BJ919"/>
      <c r="BK919"/>
      <c r="BS919"/>
      <c r="BT919"/>
      <c r="BU919"/>
      <c r="CC919"/>
      <c r="CD919"/>
      <c r="CE919"/>
    </row>
    <row r="920" spans="21:83">
      <c r="U920"/>
      <c r="V920"/>
      <c r="W920"/>
      <c r="AE920"/>
      <c r="AF920"/>
      <c r="AG920"/>
      <c r="AO920"/>
      <c r="AP920"/>
      <c r="AQ920"/>
      <c r="AY920"/>
      <c r="AZ920"/>
      <c r="BA920"/>
      <c r="BI920"/>
      <c r="BJ920"/>
      <c r="BK920"/>
      <c r="BS920"/>
      <c r="BT920"/>
      <c r="BU920"/>
      <c r="CC920"/>
      <c r="CD920"/>
      <c r="CE920"/>
    </row>
    <row r="921" spans="21:83">
      <c r="U921"/>
      <c r="V921"/>
      <c r="W921"/>
      <c r="AE921"/>
      <c r="AF921"/>
      <c r="AG921"/>
      <c r="AO921"/>
      <c r="AP921"/>
      <c r="AQ921"/>
      <c r="AY921"/>
      <c r="AZ921"/>
      <c r="BA921"/>
      <c r="BI921"/>
      <c r="BJ921"/>
      <c r="BK921"/>
      <c r="BS921"/>
      <c r="BT921"/>
      <c r="BU921"/>
      <c r="CC921"/>
      <c r="CD921"/>
      <c r="CE921"/>
    </row>
    <row r="922" spans="21:83">
      <c r="U922"/>
      <c r="V922"/>
      <c r="W922"/>
      <c r="AE922"/>
      <c r="AF922"/>
      <c r="AG922"/>
      <c r="AO922"/>
      <c r="AP922"/>
      <c r="AQ922"/>
      <c r="AY922"/>
      <c r="AZ922"/>
      <c r="BA922"/>
      <c r="BI922"/>
      <c r="BJ922"/>
      <c r="BK922"/>
      <c r="BS922"/>
      <c r="BT922"/>
      <c r="BU922"/>
      <c r="CC922"/>
      <c r="CD922"/>
      <c r="CE922"/>
    </row>
    <row r="923" spans="21:83">
      <c r="U923"/>
      <c r="V923"/>
      <c r="W923"/>
      <c r="AE923"/>
      <c r="AF923"/>
      <c r="AG923"/>
      <c r="AO923"/>
      <c r="AP923"/>
      <c r="AQ923"/>
      <c r="AY923"/>
      <c r="AZ923"/>
      <c r="BA923"/>
      <c r="BI923"/>
      <c r="BJ923"/>
      <c r="BK923"/>
      <c r="BS923"/>
      <c r="BT923"/>
      <c r="BU923"/>
      <c r="CC923"/>
      <c r="CD923"/>
      <c r="CE923"/>
    </row>
    <row r="924" spans="21:83">
      <c r="U924"/>
      <c r="V924"/>
      <c r="W924"/>
      <c r="AE924"/>
      <c r="AF924"/>
      <c r="AG924"/>
      <c r="AO924"/>
      <c r="AP924"/>
      <c r="AQ924"/>
      <c r="AY924"/>
      <c r="AZ924"/>
      <c r="BA924"/>
      <c r="BI924"/>
      <c r="BJ924"/>
      <c r="BK924"/>
      <c r="BS924"/>
      <c r="BT924"/>
      <c r="BU924"/>
      <c r="CC924"/>
      <c r="CD924"/>
      <c r="CE924"/>
    </row>
    <row r="925" spans="21:83">
      <c r="U925"/>
      <c r="V925"/>
      <c r="W925"/>
      <c r="AE925"/>
      <c r="AF925"/>
      <c r="AG925"/>
      <c r="AO925"/>
      <c r="AP925"/>
      <c r="AQ925"/>
      <c r="AY925"/>
      <c r="AZ925"/>
      <c r="BA925"/>
      <c r="BI925"/>
      <c r="BJ925"/>
      <c r="BK925"/>
      <c r="BS925"/>
      <c r="BT925"/>
      <c r="BU925"/>
      <c r="CC925"/>
      <c r="CD925"/>
      <c r="CE925"/>
    </row>
    <row r="926" spans="21:83">
      <c r="U926"/>
      <c r="V926"/>
      <c r="W926"/>
      <c r="AE926"/>
      <c r="AF926"/>
      <c r="AG926"/>
      <c r="AO926"/>
      <c r="AP926"/>
      <c r="AQ926"/>
      <c r="AY926"/>
      <c r="AZ926"/>
      <c r="BA926"/>
      <c r="BI926"/>
      <c r="BJ926"/>
      <c r="BK926"/>
      <c r="BS926"/>
      <c r="BT926"/>
      <c r="BU926"/>
      <c r="CC926"/>
      <c r="CD926"/>
      <c r="CE926"/>
    </row>
    <row r="927" spans="21:83">
      <c r="U927"/>
      <c r="V927"/>
      <c r="W927"/>
      <c r="AE927"/>
      <c r="AF927"/>
      <c r="AG927"/>
      <c r="AO927"/>
      <c r="AP927"/>
      <c r="AQ927"/>
      <c r="AY927"/>
      <c r="AZ927"/>
      <c r="BA927"/>
      <c r="BI927"/>
      <c r="BJ927"/>
      <c r="BK927"/>
      <c r="BS927"/>
      <c r="BT927"/>
      <c r="BU927"/>
      <c r="CC927"/>
      <c r="CD927"/>
      <c r="CE927"/>
    </row>
    <row r="928" spans="21:83">
      <c r="U928"/>
      <c r="V928"/>
      <c r="W928"/>
      <c r="AE928"/>
      <c r="AF928"/>
      <c r="AG928"/>
      <c r="AO928"/>
      <c r="AP928"/>
      <c r="AQ928"/>
      <c r="AY928"/>
      <c r="AZ928"/>
      <c r="BA928"/>
      <c r="BI928"/>
      <c r="BJ928"/>
      <c r="BK928"/>
      <c r="BS928"/>
      <c r="BT928"/>
      <c r="BU928"/>
      <c r="CC928"/>
      <c r="CD928"/>
      <c r="CE928"/>
    </row>
    <row r="929" spans="21:83">
      <c r="U929"/>
      <c r="V929"/>
      <c r="W929"/>
      <c r="AE929"/>
      <c r="AF929"/>
      <c r="AG929"/>
      <c r="AO929"/>
      <c r="AP929"/>
      <c r="AQ929"/>
      <c r="AY929"/>
      <c r="AZ929"/>
      <c r="BA929"/>
      <c r="BI929"/>
      <c r="BJ929"/>
      <c r="BK929"/>
      <c r="BS929"/>
      <c r="BT929"/>
      <c r="BU929"/>
      <c r="CC929"/>
      <c r="CD929"/>
      <c r="CE929"/>
    </row>
    <row r="930" spans="21:83">
      <c r="U930"/>
      <c r="V930"/>
      <c r="W930"/>
      <c r="AE930"/>
      <c r="AF930"/>
      <c r="AG930"/>
      <c r="AO930"/>
      <c r="AP930"/>
      <c r="AQ930"/>
      <c r="AY930"/>
      <c r="AZ930"/>
      <c r="BA930"/>
      <c r="BI930"/>
      <c r="BJ930"/>
      <c r="BK930"/>
      <c r="BS930"/>
      <c r="BT930"/>
      <c r="BU930"/>
      <c r="CC930"/>
      <c r="CD930"/>
      <c r="CE930"/>
    </row>
    <row r="931" spans="21:83">
      <c r="U931"/>
      <c r="V931"/>
      <c r="W931"/>
      <c r="AE931"/>
      <c r="AF931"/>
      <c r="AG931"/>
      <c r="AO931"/>
      <c r="AP931"/>
      <c r="AQ931"/>
      <c r="AY931"/>
      <c r="AZ931"/>
      <c r="BA931"/>
      <c r="BI931"/>
      <c r="BJ931"/>
      <c r="BK931"/>
      <c r="BS931"/>
      <c r="BT931"/>
      <c r="BU931"/>
      <c r="CC931"/>
      <c r="CD931"/>
      <c r="CE931"/>
    </row>
    <row r="932" spans="21:83">
      <c r="U932"/>
      <c r="V932"/>
      <c r="W932"/>
      <c r="AE932"/>
      <c r="AF932"/>
      <c r="AG932"/>
      <c r="AO932"/>
      <c r="AP932"/>
      <c r="AQ932"/>
      <c r="AY932"/>
      <c r="AZ932"/>
      <c r="BA932"/>
      <c r="BI932"/>
      <c r="BJ932"/>
      <c r="BK932"/>
      <c r="BS932"/>
      <c r="BT932"/>
      <c r="BU932"/>
      <c r="CC932"/>
      <c r="CD932"/>
      <c r="CE932"/>
    </row>
    <row r="933" spans="21:83">
      <c r="U933"/>
      <c r="V933"/>
      <c r="W933"/>
      <c r="AE933"/>
      <c r="AF933"/>
      <c r="AG933"/>
      <c r="AO933"/>
      <c r="AP933"/>
      <c r="AQ933"/>
      <c r="AY933"/>
      <c r="AZ933"/>
      <c r="BA933"/>
      <c r="BI933"/>
      <c r="BJ933"/>
      <c r="BK933"/>
      <c r="BS933"/>
      <c r="BT933"/>
      <c r="BU933"/>
      <c r="CC933"/>
      <c r="CD933"/>
      <c r="CE933"/>
    </row>
    <row r="934" spans="21:83">
      <c r="U934"/>
      <c r="V934"/>
      <c r="W934"/>
      <c r="AE934"/>
      <c r="AF934"/>
      <c r="AG934"/>
      <c r="AO934"/>
      <c r="AP934"/>
      <c r="AQ934"/>
      <c r="AY934"/>
      <c r="AZ934"/>
      <c r="BA934"/>
      <c r="BI934"/>
      <c r="BJ934"/>
      <c r="BK934"/>
      <c r="BS934"/>
      <c r="BT934"/>
      <c r="BU934"/>
      <c r="CC934"/>
      <c r="CD934"/>
      <c r="CE934"/>
    </row>
    <row r="935" spans="21:83">
      <c r="U935"/>
      <c r="V935"/>
      <c r="W935"/>
      <c r="AE935"/>
      <c r="AF935"/>
      <c r="AG935"/>
      <c r="AO935"/>
      <c r="AP935"/>
      <c r="AQ935"/>
      <c r="AY935"/>
      <c r="AZ935"/>
      <c r="BA935"/>
      <c r="BI935"/>
      <c r="BJ935"/>
      <c r="BK935"/>
      <c r="BS935"/>
      <c r="BT935"/>
      <c r="BU935"/>
      <c r="CC935"/>
      <c r="CD935"/>
      <c r="CE935"/>
    </row>
    <row r="936" spans="21:83">
      <c r="U936"/>
      <c r="V936"/>
      <c r="W936"/>
      <c r="AE936"/>
      <c r="AF936"/>
      <c r="AG936"/>
      <c r="AO936"/>
      <c r="AP936"/>
      <c r="AQ936"/>
      <c r="AY936"/>
      <c r="AZ936"/>
      <c r="BA936"/>
      <c r="BI936"/>
      <c r="BJ936"/>
      <c r="BK936"/>
      <c r="BS936"/>
      <c r="BT936"/>
      <c r="BU936"/>
      <c r="CC936"/>
      <c r="CD936"/>
      <c r="CE936"/>
    </row>
    <row r="937" spans="21:83">
      <c r="U937"/>
      <c r="V937"/>
      <c r="W937"/>
      <c r="AE937"/>
      <c r="AF937"/>
      <c r="AG937"/>
      <c r="AO937"/>
      <c r="AP937"/>
      <c r="AQ937"/>
      <c r="AY937"/>
      <c r="AZ937"/>
      <c r="BA937"/>
      <c r="BI937"/>
      <c r="BJ937"/>
      <c r="BK937"/>
      <c r="BS937"/>
      <c r="BT937"/>
      <c r="BU937"/>
      <c r="CC937"/>
      <c r="CD937"/>
      <c r="CE937"/>
    </row>
    <row r="938" spans="21:83">
      <c r="U938"/>
      <c r="V938"/>
      <c r="W938"/>
      <c r="AE938"/>
      <c r="AF938"/>
      <c r="AG938"/>
      <c r="AO938"/>
      <c r="AP938"/>
      <c r="AQ938"/>
      <c r="AY938"/>
      <c r="AZ938"/>
      <c r="BA938"/>
      <c r="BI938"/>
      <c r="BJ938"/>
      <c r="BK938"/>
      <c r="BS938"/>
      <c r="BT938"/>
      <c r="BU938"/>
      <c r="CC938"/>
      <c r="CD938"/>
      <c r="CE938"/>
    </row>
    <row r="939" spans="21:83">
      <c r="U939"/>
      <c r="V939"/>
      <c r="W939"/>
      <c r="AE939"/>
      <c r="AF939"/>
      <c r="AG939"/>
      <c r="AO939"/>
      <c r="AP939"/>
      <c r="AQ939"/>
      <c r="AY939"/>
      <c r="AZ939"/>
      <c r="BA939"/>
      <c r="BI939"/>
      <c r="BJ939"/>
      <c r="BK939"/>
      <c r="BS939"/>
      <c r="BT939"/>
      <c r="BU939"/>
      <c r="CC939"/>
      <c r="CD939"/>
      <c r="CE939"/>
    </row>
    <row r="940" spans="21:83">
      <c r="U940"/>
      <c r="V940"/>
      <c r="W940"/>
      <c r="AE940"/>
      <c r="AF940"/>
      <c r="AG940"/>
      <c r="AO940"/>
      <c r="AP940"/>
      <c r="AQ940"/>
      <c r="AY940"/>
      <c r="AZ940"/>
      <c r="BA940"/>
      <c r="BI940"/>
      <c r="BJ940"/>
      <c r="BK940"/>
      <c r="BS940"/>
      <c r="BT940"/>
      <c r="BU940"/>
      <c r="CC940"/>
      <c r="CD940"/>
      <c r="CE940"/>
    </row>
    <row r="941" spans="21:83">
      <c r="U941"/>
      <c r="V941"/>
      <c r="W941"/>
      <c r="AE941"/>
      <c r="AF941"/>
      <c r="AG941"/>
      <c r="AO941"/>
      <c r="AP941"/>
      <c r="AQ941"/>
      <c r="AY941"/>
      <c r="AZ941"/>
      <c r="BA941"/>
      <c r="BI941"/>
      <c r="BJ941"/>
      <c r="BK941"/>
      <c r="BS941"/>
      <c r="BT941"/>
      <c r="BU941"/>
      <c r="CC941"/>
      <c r="CD941"/>
      <c r="CE941"/>
    </row>
    <row r="942" spans="21:83">
      <c r="U942"/>
      <c r="V942"/>
      <c r="W942"/>
      <c r="AE942"/>
      <c r="AF942"/>
      <c r="AG942"/>
      <c r="AO942"/>
      <c r="AP942"/>
      <c r="AQ942"/>
      <c r="AY942"/>
      <c r="AZ942"/>
      <c r="BA942"/>
      <c r="BI942"/>
      <c r="BJ942"/>
      <c r="BK942"/>
      <c r="BS942"/>
      <c r="BT942"/>
      <c r="BU942"/>
      <c r="CC942"/>
      <c r="CD942"/>
      <c r="CE942"/>
    </row>
    <row r="943" spans="21:83">
      <c r="U943"/>
      <c r="V943"/>
      <c r="W943"/>
      <c r="AE943"/>
      <c r="AF943"/>
      <c r="AG943"/>
      <c r="AO943"/>
      <c r="AP943"/>
      <c r="AQ943"/>
      <c r="AY943"/>
      <c r="AZ943"/>
      <c r="BA943"/>
      <c r="BI943"/>
      <c r="BJ943"/>
      <c r="BK943"/>
      <c r="BS943"/>
      <c r="BT943"/>
      <c r="BU943"/>
      <c r="CC943"/>
      <c r="CD943"/>
      <c r="CE943"/>
    </row>
    <row r="944" spans="21:83">
      <c r="U944"/>
      <c r="V944"/>
      <c r="W944"/>
      <c r="AE944"/>
      <c r="AF944"/>
      <c r="AG944"/>
      <c r="AO944"/>
      <c r="AP944"/>
      <c r="AQ944"/>
      <c r="AY944"/>
      <c r="AZ944"/>
      <c r="BA944"/>
      <c r="BI944"/>
      <c r="BJ944"/>
      <c r="BK944"/>
      <c r="BS944"/>
      <c r="BT944"/>
      <c r="BU944"/>
      <c r="CC944"/>
      <c r="CD944"/>
      <c r="CE944"/>
    </row>
    <row r="945" spans="21:83">
      <c r="U945"/>
      <c r="V945"/>
      <c r="W945"/>
      <c r="AE945"/>
      <c r="AF945"/>
      <c r="AG945"/>
      <c r="AO945"/>
      <c r="AP945"/>
      <c r="AQ945"/>
      <c r="AY945"/>
      <c r="AZ945"/>
      <c r="BA945"/>
      <c r="BI945"/>
      <c r="BJ945"/>
      <c r="BK945"/>
      <c r="BS945"/>
      <c r="BT945"/>
      <c r="BU945"/>
      <c r="CC945"/>
      <c r="CD945"/>
      <c r="CE945"/>
    </row>
    <row r="946" spans="21:83">
      <c r="U946"/>
      <c r="V946"/>
      <c r="W946"/>
      <c r="AE946"/>
      <c r="AF946"/>
      <c r="AG946"/>
      <c r="AO946"/>
      <c r="AP946"/>
      <c r="AQ946"/>
      <c r="AY946"/>
      <c r="AZ946"/>
      <c r="BA946"/>
      <c r="BI946"/>
      <c r="BJ946"/>
      <c r="BK946"/>
      <c r="BS946"/>
      <c r="BT946"/>
      <c r="BU946"/>
      <c r="CC946"/>
      <c r="CD946"/>
      <c r="CE946"/>
    </row>
    <row r="947" spans="21:83">
      <c r="U947"/>
      <c r="V947"/>
      <c r="W947"/>
      <c r="AE947"/>
      <c r="AF947"/>
      <c r="AG947"/>
      <c r="AO947"/>
      <c r="AP947"/>
      <c r="AQ947"/>
      <c r="AY947"/>
      <c r="AZ947"/>
      <c r="BA947"/>
      <c r="BI947"/>
      <c r="BJ947"/>
      <c r="BK947"/>
      <c r="BS947"/>
      <c r="BT947"/>
      <c r="BU947"/>
      <c r="CC947"/>
      <c r="CD947"/>
      <c r="CE947"/>
    </row>
    <row r="948" spans="21:83">
      <c r="U948"/>
      <c r="V948"/>
      <c r="W948"/>
      <c r="AE948"/>
      <c r="AF948"/>
      <c r="AG948"/>
      <c r="AO948"/>
      <c r="AP948"/>
      <c r="AQ948"/>
      <c r="AY948"/>
      <c r="AZ948"/>
      <c r="BA948"/>
      <c r="BI948"/>
      <c r="BJ948"/>
      <c r="BK948"/>
      <c r="BS948"/>
      <c r="BT948"/>
      <c r="BU948"/>
      <c r="CC948"/>
      <c r="CD948"/>
      <c r="CE948"/>
    </row>
    <row r="949" spans="21:83">
      <c r="U949"/>
      <c r="V949"/>
      <c r="W949"/>
      <c r="AE949"/>
      <c r="AF949"/>
      <c r="AG949"/>
      <c r="AO949"/>
      <c r="AP949"/>
      <c r="AQ949"/>
      <c r="AY949"/>
      <c r="AZ949"/>
      <c r="BA949"/>
      <c r="BI949"/>
      <c r="BJ949"/>
      <c r="BK949"/>
      <c r="BS949"/>
      <c r="BT949"/>
      <c r="BU949"/>
      <c r="CC949"/>
      <c r="CD949"/>
      <c r="CE949"/>
    </row>
    <row r="950" spans="21:83">
      <c r="U950"/>
      <c r="V950"/>
      <c r="W950"/>
      <c r="AE950"/>
      <c r="AF950"/>
      <c r="AG950"/>
      <c r="AO950"/>
      <c r="AP950"/>
      <c r="AQ950"/>
      <c r="AY950"/>
      <c r="AZ950"/>
      <c r="BA950"/>
      <c r="BI950"/>
      <c r="BJ950"/>
      <c r="BK950"/>
      <c r="BS950"/>
      <c r="BT950"/>
      <c r="BU950"/>
      <c r="CC950"/>
      <c r="CD950"/>
      <c r="CE950"/>
    </row>
    <row r="951" spans="21:83">
      <c r="U951"/>
      <c r="V951"/>
      <c r="W951"/>
      <c r="AE951"/>
      <c r="AF951"/>
      <c r="AG951"/>
      <c r="AO951"/>
      <c r="AP951"/>
      <c r="AQ951"/>
      <c r="AY951"/>
      <c r="AZ951"/>
      <c r="BA951"/>
      <c r="BI951"/>
      <c r="BJ951"/>
      <c r="BK951"/>
      <c r="BS951"/>
      <c r="BT951"/>
      <c r="BU951"/>
      <c r="CC951"/>
      <c r="CD951"/>
      <c r="CE951"/>
    </row>
    <row r="952" spans="21:83">
      <c r="U952"/>
      <c r="V952"/>
      <c r="W952"/>
      <c r="AE952"/>
      <c r="AF952"/>
      <c r="AG952"/>
      <c r="AO952"/>
      <c r="AP952"/>
      <c r="AQ952"/>
      <c r="AY952"/>
      <c r="AZ952"/>
      <c r="BA952"/>
      <c r="BI952"/>
      <c r="BJ952"/>
      <c r="BK952"/>
      <c r="BS952"/>
      <c r="BT952"/>
      <c r="BU952"/>
      <c r="CC952"/>
      <c r="CD952"/>
      <c r="CE952"/>
    </row>
    <row r="953" spans="21:83">
      <c r="U953"/>
      <c r="V953"/>
      <c r="W953"/>
      <c r="AE953"/>
      <c r="AF953"/>
      <c r="AG953"/>
      <c r="AO953"/>
      <c r="AP953"/>
      <c r="AQ953"/>
      <c r="AY953"/>
      <c r="AZ953"/>
      <c r="BA953"/>
      <c r="BI953"/>
      <c r="BJ953"/>
      <c r="BK953"/>
      <c r="BS953"/>
      <c r="BT953"/>
      <c r="BU953"/>
      <c r="CC953"/>
      <c r="CD953"/>
      <c r="CE953"/>
    </row>
    <row r="954" spans="21:83">
      <c r="U954"/>
      <c r="V954"/>
      <c r="W954"/>
      <c r="AE954"/>
      <c r="AF954"/>
      <c r="AG954"/>
      <c r="AO954"/>
      <c r="AP954"/>
      <c r="AQ954"/>
      <c r="AY954"/>
      <c r="AZ954"/>
      <c r="BA954"/>
      <c r="BI954"/>
      <c r="BJ954"/>
      <c r="BK954"/>
      <c r="BS954"/>
      <c r="BT954"/>
      <c r="BU954"/>
      <c r="CC954"/>
      <c r="CD954"/>
      <c r="CE954"/>
    </row>
    <row r="955" spans="21:83">
      <c r="U955"/>
      <c r="V955"/>
      <c r="W955"/>
      <c r="AE955"/>
      <c r="AF955"/>
      <c r="AG955"/>
      <c r="AO955"/>
      <c r="AP955"/>
      <c r="AQ955"/>
      <c r="AY955"/>
      <c r="AZ955"/>
      <c r="BA955"/>
      <c r="BI955"/>
      <c r="BJ955"/>
      <c r="BK955"/>
      <c r="BS955"/>
      <c r="BT955"/>
      <c r="BU955"/>
      <c r="CC955"/>
      <c r="CD955"/>
      <c r="CE955"/>
    </row>
    <row r="956" spans="21:83">
      <c r="U956"/>
      <c r="V956"/>
      <c r="W956"/>
      <c r="AE956"/>
      <c r="AF956"/>
      <c r="AG956"/>
      <c r="AO956"/>
      <c r="AP956"/>
      <c r="AQ956"/>
      <c r="AY956"/>
      <c r="AZ956"/>
      <c r="BA956"/>
      <c r="BI956"/>
      <c r="BJ956"/>
      <c r="BK956"/>
      <c r="BS956"/>
      <c r="BT956"/>
      <c r="BU956"/>
      <c r="CC956"/>
      <c r="CD956"/>
      <c r="CE956"/>
    </row>
    <row r="957" spans="21:83">
      <c r="U957"/>
      <c r="V957"/>
      <c r="W957"/>
      <c r="AE957"/>
      <c r="AF957"/>
      <c r="AG957"/>
      <c r="AO957"/>
      <c r="AP957"/>
      <c r="AQ957"/>
      <c r="AY957"/>
      <c r="AZ957"/>
      <c r="BA957"/>
      <c r="BI957"/>
      <c r="BJ957"/>
      <c r="BK957"/>
      <c r="BS957"/>
      <c r="BT957"/>
      <c r="BU957"/>
      <c r="CC957"/>
      <c r="CD957"/>
      <c r="CE957"/>
    </row>
    <row r="958" spans="21:83">
      <c r="U958"/>
      <c r="V958"/>
      <c r="W958"/>
      <c r="AE958"/>
      <c r="AF958"/>
      <c r="AG958"/>
      <c r="AO958"/>
      <c r="AP958"/>
      <c r="AQ958"/>
      <c r="AY958"/>
      <c r="AZ958"/>
      <c r="BA958"/>
      <c r="BI958"/>
      <c r="BJ958"/>
      <c r="BK958"/>
      <c r="BS958"/>
      <c r="BT958"/>
      <c r="BU958"/>
      <c r="CC958"/>
      <c r="CD958"/>
      <c r="CE958"/>
    </row>
    <row r="959" spans="21:83">
      <c r="U959"/>
      <c r="V959"/>
      <c r="W959"/>
      <c r="AE959"/>
      <c r="AF959"/>
      <c r="AG959"/>
      <c r="AO959"/>
      <c r="AP959"/>
      <c r="AQ959"/>
      <c r="AY959"/>
      <c r="AZ959"/>
      <c r="BA959"/>
      <c r="BI959"/>
      <c r="BJ959"/>
      <c r="BK959"/>
      <c r="BS959"/>
      <c r="BT959"/>
      <c r="BU959"/>
      <c r="CC959"/>
      <c r="CD959"/>
      <c r="CE959"/>
    </row>
    <row r="960" spans="21:83">
      <c r="U960"/>
      <c r="V960"/>
      <c r="W960"/>
      <c r="AE960"/>
      <c r="AF960"/>
      <c r="AG960"/>
      <c r="AO960"/>
      <c r="AP960"/>
      <c r="AQ960"/>
      <c r="AY960"/>
      <c r="AZ960"/>
      <c r="BA960"/>
      <c r="BI960"/>
      <c r="BJ960"/>
      <c r="BK960"/>
      <c r="BS960"/>
      <c r="BT960"/>
      <c r="BU960"/>
      <c r="CC960"/>
      <c r="CD960"/>
      <c r="CE960"/>
    </row>
    <row r="961" spans="21:83">
      <c r="U961"/>
      <c r="V961"/>
      <c r="W961"/>
      <c r="AE961"/>
      <c r="AF961"/>
      <c r="AG961"/>
      <c r="AO961"/>
      <c r="AP961"/>
      <c r="AQ961"/>
      <c r="AY961"/>
      <c r="AZ961"/>
      <c r="BA961"/>
      <c r="BI961"/>
      <c r="BJ961"/>
      <c r="BK961"/>
      <c r="BS961"/>
      <c r="BT961"/>
      <c r="BU961"/>
      <c r="CC961"/>
      <c r="CD961"/>
      <c r="CE961"/>
    </row>
    <row r="962" spans="21:83">
      <c r="U962"/>
      <c r="V962"/>
      <c r="W962"/>
      <c r="AE962"/>
      <c r="AF962"/>
      <c r="AG962"/>
      <c r="AO962"/>
      <c r="AP962"/>
      <c r="AQ962"/>
      <c r="AY962"/>
      <c r="AZ962"/>
      <c r="BA962"/>
      <c r="BI962"/>
      <c r="BJ962"/>
      <c r="BK962"/>
      <c r="BS962"/>
      <c r="BT962"/>
      <c r="BU962"/>
      <c r="CC962"/>
      <c r="CD962"/>
      <c r="CE962"/>
    </row>
    <row r="963" spans="21:83">
      <c r="U963"/>
      <c r="V963"/>
      <c r="W963"/>
      <c r="AE963"/>
      <c r="AF963"/>
      <c r="AG963"/>
      <c r="AO963"/>
      <c r="AP963"/>
      <c r="AQ963"/>
      <c r="AY963"/>
      <c r="AZ963"/>
      <c r="BA963"/>
      <c r="BI963"/>
      <c r="BJ963"/>
      <c r="BK963"/>
      <c r="BS963"/>
      <c r="BT963"/>
      <c r="BU963"/>
      <c r="CC963"/>
      <c r="CD963"/>
      <c r="CE963"/>
    </row>
    <row r="964" spans="21:83">
      <c r="U964"/>
      <c r="V964"/>
      <c r="W964"/>
      <c r="AE964"/>
      <c r="AF964"/>
      <c r="AG964"/>
      <c r="AO964"/>
      <c r="AP964"/>
      <c r="AQ964"/>
      <c r="AY964"/>
      <c r="AZ964"/>
      <c r="BA964"/>
      <c r="BI964"/>
      <c r="BJ964"/>
      <c r="BK964"/>
      <c r="BS964"/>
      <c r="BT964"/>
      <c r="BU964"/>
      <c r="CC964"/>
      <c r="CD964"/>
      <c r="CE964"/>
    </row>
    <row r="965" spans="21:83">
      <c r="U965"/>
      <c r="V965"/>
      <c r="W965"/>
      <c r="AE965"/>
      <c r="AF965"/>
      <c r="AG965"/>
      <c r="AO965"/>
      <c r="AP965"/>
      <c r="AQ965"/>
      <c r="AY965"/>
      <c r="AZ965"/>
      <c r="BA965"/>
      <c r="BI965"/>
      <c r="BJ965"/>
      <c r="BK965"/>
      <c r="BS965"/>
      <c r="BT965"/>
      <c r="BU965"/>
      <c r="CC965"/>
      <c r="CD965"/>
      <c r="CE965"/>
    </row>
    <row r="966" spans="21:83">
      <c r="U966"/>
      <c r="V966"/>
      <c r="W966"/>
      <c r="AE966"/>
      <c r="AF966"/>
      <c r="AG966"/>
      <c r="AO966"/>
      <c r="AP966"/>
      <c r="AQ966"/>
      <c r="AY966"/>
      <c r="AZ966"/>
      <c r="BA966"/>
      <c r="BI966"/>
      <c r="BJ966"/>
      <c r="BK966"/>
      <c r="BS966"/>
      <c r="BT966"/>
      <c r="BU966"/>
      <c r="CC966"/>
      <c r="CD966"/>
      <c r="CE966"/>
    </row>
    <row r="967" spans="21:83">
      <c r="U967"/>
      <c r="V967"/>
      <c r="W967"/>
      <c r="AE967"/>
      <c r="AF967"/>
      <c r="AG967"/>
      <c r="AO967"/>
      <c r="AP967"/>
      <c r="AQ967"/>
      <c r="AY967"/>
      <c r="AZ967"/>
      <c r="BA967"/>
      <c r="BI967"/>
      <c r="BJ967"/>
      <c r="BK967"/>
      <c r="BS967"/>
      <c r="BT967"/>
      <c r="BU967"/>
      <c r="CC967"/>
      <c r="CD967"/>
      <c r="CE967"/>
    </row>
    <row r="968" spans="21:83">
      <c r="U968"/>
      <c r="V968"/>
      <c r="W968"/>
      <c r="AE968"/>
      <c r="AF968"/>
      <c r="AG968"/>
      <c r="AO968"/>
      <c r="AP968"/>
      <c r="AQ968"/>
      <c r="AY968"/>
      <c r="AZ968"/>
      <c r="BA968"/>
      <c r="BI968"/>
      <c r="BJ968"/>
      <c r="BK968"/>
      <c r="BS968"/>
      <c r="BT968"/>
      <c r="BU968"/>
      <c r="CC968"/>
      <c r="CD968"/>
      <c r="CE968"/>
    </row>
    <row r="969" spans="21:83">
      <c r="U969"/>
      <c r="V969"/>
      <c r="W969"/>
      <c r="AE969"/>
      <c r="AF969"/>
      <c r="AG969"/>
      <c r="AO969"/>
      <c r="AP969"/>
      <c r="AQ969"/>
      <c r="AY969"/>
      <c r="AZ969"/>
      <c r="BA969"/>
      <c r="BI969"/>
      <c r="BJ969"/>
      <c r="BK969"/>
      <c r="BS969"/>
      <c r="BT969"/>
      <c r="BU969"/>
      <c r="CC969"/>
      <c r="CD969"/>
      <c r="CE969"/>
    </row>
    <row r="970" spans="21:83">
      <c r="U970"/>
      <c r="V970"/>
      <c r="W970"/>
      <c r="AE970"/>
      <c r="AF970"/>
      <c r="AG970"/>
      <c r="AO970"/>
      <c r="AP970"/>
      <c r="AQ970"/>
      <c r="AY970"/>
      <c r="AZ970"/>
      <c r="BA970"/>
      <c r="BI970"/>
      <c r="BJ970"/>
      <c r="BK970"/>
      <c r="BS970"/>
      <c r="BT970"/>
      <c r="BU970"/>
      <c r="CC970"/>
      <c r="CD970"/>
      <c r="CE970"/>
    </row>
    <row r="971" spans="21:83">
      <c r="U971"/>
      <c r="V971"/>
      <c r="W971"/>
      <c r="AE971"/>
      <c r="AF971"/>
      <c r="AG971"/>
      <c r="AO971"/>
      <c r="AP971"/>
      <c r="AQ971"/>
      <c r="AY971"/>
      <c r="AZ971"/>
      <c r="BA971"/>
      <c r="BI971"/>
      <c r="BJ971"/>
      <c r="BK971"/>
      <c r="BS971"/>
      <c r="BT971"/>
      <c r="BU971"/>
      <c r="CC971"/>
      <c r="CD971"/>
      <c r="CE971"/>
    </row>
    <row r="972" spans="21:83">
      <c r="U972"/>
      <c r="V972"/>
      <c r="W972"/>
      <c r="AE972"/>
      <c r="AF972"/>
      <c r="AG972"/>
      <c r="AO972"/>
      <c r="AP972"/>
      <c r="AQ972"/>
      <c r="AY972"/>
      <c r="AZ972"/>
      <c r="BA972"/>
      <c r="BI972"/>
      <c r="BJ972"/>
      <c r="BK972"/>
      <c r="BS972"/>
      <c r="BT972"/>
      <c r="BU972"/>
      <c r="CC972"/>
      <c r="CD972"/>
      <c r="CE972"/>
    </row>
    <row r="973" spans="21:83">
      <c r="U973"/>
      <c r="V973"/>
      <c r="W973"/>
      <c r="AE973"/>
      <c r="AF973"/>
      <c r="AG973"/>
      <c r="AO973"/>
      <c r="AP973"/>
      <c r="AQ973"/>
      <c r="AY973"/>
      <c r="AZ973"/>
      <c r="BA973"/>
      <c r="BI973"/>
      <c r="BJ973"/>
      <c r="BK973"/>
      <c r="BS973"/>
      <c r="BT973"/>
      <c r="BU973"/>
      <c r="CC973"/>
      <c r="CD973"/>
      <c r="CE973"/>
    </row>
    <row r="974" spans="21:83">
      <c r="U974"/>
      <c r="V974"/>
      <c r="W974"/>
      <c r="AE974"/>
      <c r="AF974"/>
      <c r="AG974"/>
      <c r="AO974"/>
      <c r="AP974"/>
      <c r="AQ974"/>
      <c r="AY974"/>
      <c r="AZ974"/>
      <c r="BA974"/>
      <c r="BI974"/>
      <c r="BJ974"/>
      <c r="BK974"/>
      <c r="BS974"/>
      <c r="BT974"/>
      <c r="BU974"/>
      <c r="CC974"/>
      <c r="CD974"/>
      <c r="CE974"/>
    </row>
    <row r="975" spans="21:83">
      <c r="U975"/>
      <c r="V975"/>
      <c r="W975"/>
      <c r="AE975"/>
      <c r="AF975"/>
      <c r="AG975"/>
      <c r="AO975"/>
      <c r="AP975"/>
      <c r="AQ975"/>
      <c r="AY975"/>
      <c r="AZ975"/>
      <c r="BA975"/>
      <c r="BI975"/>
      <c r="BJ975"/>
      <c r="BK975"/>
      <c r="BS975"/>
      <c r="BT975"/>
      <c r="BU975"/>
      <c r="CC975"/>
      <c r="CD975"/>
      <c r="CE975"/>
    </row>
    <row r="976" spans="21:83">
      <c r="U976"/>
      <c r="V976"/>
      <c r="W976"/>
      <c r="AE976"/>
      <c r="AF976"/>
      <c r="AG976"/>
      <c r="AO976"/>
      <c r="AP976"/>
      <c r="AQ976"/>
      <c r="AY976"/>
      <c r="AZ976"/>
      <c r="BA976"/>
      <c r="BI976"/>
      <c r="BJ976"/>
      <c r="BK976"/>
      <c r="BS976"/>
      <c r="BT976"/>
      <c r="BU976"/>
      <c r="CC976"/>
      <c r="CD976"/>
      <c r="CE976"/>
    </row>
    <row r="977" spans="21:83">
      <c r="U977"/>
      <c r="V977"/>
      <c r="W977"/>
      <c r="AE977"/>
      <c r="AF977"/>
      <c r="AG977"/>
      <c r="AO977"/>
      <c r="AP977"/>
      <c r="AQ977"/>
      <c r="AY977"/>
      <c r="AZ977"/>
      <c r="BA977"/>
      <c r="BI977"/>
      <c r="BJ977"/>
      <c r="BK977"/>
      <c r="BS977"/>
      <c r="BT977"/>
      <c r="BU977"/>
      <c r="CC977"/>
      <c r="CD977"/>
      <c r="CE977"/>
    </row>
    <row r="978" spans="21:83">
      <c r="U978"/>
      <c r="V978"/>
      <c r="W978"/>
      <c r="AE978"/>
      <c r="AF978"/>
      <c r="AG978"/>
      <c r="AO978"/>
      <c r="AP978"/>
      <c r="AQ978"/>
      <c r="AY978"/>
      <c r="AZ978"/>
      <c r="BA978"/>
      <c r="BI978"/>
      <c r="BJ978"/>
      <c r="BK978"/>
      <c r="BS978"/>
      <c r="BT978"/>
      <c r="BU978"/>
      <c r="CC978"/>
      <c r="CD978"/>
      <c r="CE978"/>
    </row>
    <row r="979" spans="21:83">
      <c r="U979"/>
      <c r="V979"/>
      <c r="W979"/>
      <c r="AE979"/>
      <c r="AF979"/>
      <c r="AG979"/>
      <c r="AO979"/>
      <c r="AP979"/>
      <c r="AQ979"/>
      <c r="AY979"/>
      <c r="AZ979"/>
      <c r="BA979"/>
      <c r="BI979"/>
      <c r="BJ979"/>
      <c r="BK979"/>
      <c r="BS979"/>
      <c r="BT979"/>
      <c r="BU979"/>
      <c r="CC979"/>
      <c r="CD979"/>
      <c r="CE979"/>
    </row>
    <row r="980" spans="21:83">
      <c r="U980"/>
      <c r="V980"/>
      <c r="W980"/>
      <c r="AE980"/>
      <c r="AF980"/>
      <c r="AG980"/>
      <c r="AO980"/>
      <c r="AP980"/>
      <c r="AQ980"/>
      <c r="AY980"/>
      <c r="AZ980"/>
      <c r="BA980"/>
      <c r="BI980"/>
      <c r="BJ980"/>
      <c r="BK980"/>
      <c r="BS980"/>
      <c r="BT980"/>
      <c r="BU980"/>
      <c r="CC980"/>
      <c r="CD980"/>
      <c r="CE980"/>
    </row>
    <row r="981" spans="21:83">
      <c r="W981"/>
      <c r="AE981"/>
      <c r="AF981"/>
      <c r="AG981"/>
      <c r="AO981"/>
      <c r="AP981"/>
      <c r="AQ981"/>
      <c r="AY981"/>
      <c r="AZ981"/>
      <c r="BA981"/>
      <c r="BI981"/>
      <c r="BJ981"/>
      <c r="BK981"/>
      <c r="BS981"/>
      <c r="BT981"/>
      <c r="BU981"/>
      <c r="CC981"/>
      <c r="CD981"/>
      <c r="CE981"/>
    </row>
    <row r="982" spans="21:83">
      <c r="W982"/>
      <c r="AE982"/>
      <c r="AF982"/>
      <c r="AG982"/>
      <c r="AO982"/>
      <c r="AP982"/>
      <c r="AQ982"/>
      <c r="AY982"/>
      <c r="AZ982"/>
      <c r="BA982"/>
      <c r="BI982"/>
      <c r="BJ982"/>
      <c r="BK982"/>
      <c r="BS982"/>
      <c r="BT982"/>
      <c r="BU982"/>
      <c r="CC982"/>
      <c r="CD982"/>
      <c r="CE982"/>
    </row>
    <row r="983" spans="21:83">
      <c r="W983"/>
      <c r="AE983"/>
      <c r="AF983"/>
      <c r="AG983"/>
      <c r="AO983"/>
      <c r="AP983"/>
      <c r="AQ983"/>
      <c r="AY983"/>
      <c r="AZ983"/>
      <c r="BA983"/>
      <c r="BI983"/>
      <c r="BJ983"/>
      <c r="BK983"/>
      <c r="BS983"/>
      <c r="BT983"/>
      <c r="BU983"/>
      <c r="CC983"/>
      <c r="CD983"/>
      <c r="CE983"/>
    </row>
    <row r="984" spans="21:83">
      <c r="W984"/>
      <c r="AE984"/>
      <c r="AF984"/>
      <c r="AG984"/>
      <c r="AO984"/>
      <c r="AP984"/>
      <c r="AQ984"/>
      <c r="AY984"/>
      <c r="AZ984"/>
      <c r="BA984"/>
      <c r="BI984"/>
      <c r="BJ984"/>
      <c r="BK984"/>
      <c r="BS984"/>
      <c r="BT984"/>
      <c r="BU984"/>
      <c r="CC984"/>
      <c r="CD984"/>
      <c r="CE984"/>
    </row>
    <row r="985" spans="21:83">
      <c r="W985"/>
      <c r="AE985"/>
      <c r="AF985"/>
      <c r="AG985"/>
      <c r="AO985"/>
      <c r="AP985"/>
      <c r="AQ985"/>
      <c r="AY985"/>
      <c r="AZ985"/>
      <c r="BA985"/>
      <c r="BI985"/>
      <c r="BJ985"/>
      <c r="BK985"/>
      <c r="BS985"/>
      <c r="BT985"/>
      <c r="BU985"/>
      <c r="CC985"/>
      <c r="CD985"/>
      <c r="CE985"/>
    </row>
    <row r="986" spans="21:83">
      <c r="W986"/>
      <c r="AE986"/>
      <c r="AF986"/>
      <c r="AG986"/>
      <c r="AO986"/>
      <c r="AP986"/>
      <c r="AQ986"/>
      <c r="AY986"/>
      <c r="AZ986"/>
      <c r="BA986"/>
      <c r="BI986"/>
      <c r="BJ986"/>
      <c r="BK986"/>
      <c r="BS986"/>
      <c r="BT986"/>
      <c r="BU986"/>
      <c r="CC986"/>
      <c r="CD986"/>
      <c r="CE986"/>
    </row>
    <row r="987" spans="21:83">
      <c r="W987"/>
      <c r="AE987"/>
      <c r="AF987"/>
      <c r="AG987"/>
      <c r="AO987"/>
      <c r="AP987"/>
      <c r="AQ987"/>
      <c r="AY987"/>
      <c r="AZ987"/>
      <c r="BA987"/>
      <c r="BI987"/>
      <c r="BJ987"/>
      <c r="BK987"/>
      <c r="BS987"/>
      <c r="BT987"/>
      <c r="BU987"/>
      <c r="CC987"/>
      <c r="CD987"/>
      <c r="CE987"/>
    </row>
    <row r="988" spans="21:83">
      <c r="W988"/>
      <c r="AE988"/>
      <c r="AF988"/>
      <c r="AG988"/>
      <c r="AO988"/>
      <c r="AP988"/>
      <c r="AQ988"/>
      <c r="AY988"/>
      <c r="AZ988"/>
      <c r="BA988"/>
      <c r="BI988"/>
      <c r="BJ988"/>
      <c r="BK988"/>
      <c r="BS988"/>
      <c r="BT988"/>
      <c r="BU988"/>
      <c r="CC988"/>
      <c r="CD988"/>
      <c r="CE988"/>
    </row>
    <row r="989" spans="21:83">
      <c r="W989"/>
      <c r="AE989"/>
      <c r="AF989"/>
      <c r="AG989"/>
      <c r="AO989"/>
      <c r="AP989"/>
      <c r="AQ989"/>
      <c r="AY989"/>
      <c r="AZ989"/>
      <c r="BA989"/>
      <c r="BI989"/>
      <c r="BJ989"/>
      <c r="BK989"/>
      <c r="BS989"/>
      <c r="BT989"/>
      <c r="BU989"/>
      <c r="CC989"/>
      <c r="CD989"/>
      <c r="CE989"/>
    </row>
    <row r="990" spans="21:83">
      <c r="W990"/>
      <c r="AE990"/>
      <c r="AF990"/>
      <c r="AG990"/>
      <c r="AO990"/>
      <c r="AP990"/>
      <c r="AQ990"/>
      <c r="AY990"/>
      <c r="AZ990"/>
      <c r="BA990"/>
      <c r="BI990"/>
      <c r="BJ990"/>
      <c r="BK990"/>
      <c r="BS990"/>
      <c r="BT990"/>
      <c r="BU990"/>
      <c r="CC990"/>
      <c r="CD990"/>
      <c r="CE990"/>
    </row>
    <row r="991" spans="21:83">
      <c r="W991"/>
      <c r="AE991"/>
      <c r="AF991"/>
      <c r="AG991"/>
      <c r="AO991"/>
      <c r="AP991"/>
      <c r="AQ991"/>
      <c r="AY991"/>
      <c r="AZ991"/>
      <c r="BA991"/>
      <c r="BI991"/>
      <c r="BJ991"/>
      <c r="BK991"/>
      <c r="BS991"/>
      <c r="BT991"/>
      <c r="BU991"/>
      <c r="CC991"/>
      <c r="CD991"/>
      <c r="CE991"/>
    </row>
    <row r="992" spans="21:83">
      <c r="W992"/>
      <c r="AE992"/>
      <c r="AF992"/>
      <c r="AG992"/>
      <c r="AO992"/>
      <c r="AP992"/>
      <c r="AQ992"/>
      <c r="AY992"/>
      <c r="AZ992"/>
      <c r="BA992"/>
      <c r="BI992"/>
      <c r="BJ992"/>
      <c r="BK992"/>
      <c r="BS992"/>
      <c r="BT992"/>
      <c r="BU992"/>
      <c r="CC992"/>
      <c r="CD992"/>
      <c r="CE992"/>
    </row>
    <row r="993" spans="23:83">
      <c r="W993"/>
      <c r="AE993"/>
      <c r="AF993"/>
      <c r="AG993"/>
      <c r="AO993"/>
      <c r="AP993"/>
      <c r="AQ993"/>
      <c r="AY993"/>
      <c r="AZ993"/>
      <c r="BA993"/>
      <c r="BI993"/>
      <c r="BJ993"/>
      <c r="BK993"/>
      <c r="BS993"/>
      <c r="BT993"/>
      <c r="BU993"/>
      <c r="CC993"/>
      <c r="CD993"/>
      <c r="CE993"/>
    </row>
    <row r="994" spans="23:83">
      <c r="W994"/>
      <c r="AE994"/>
      <c r="AF994"/>
      <c r="AG994"/>
      <c r="AO994"/>
      <c r="AP994"/>
      <c r="AQ994"/>
      <c r="AY994"/>
      <c r="AZ994"/>
      <c r="BA994"/>
      <c r="BI994"/>
      <c r="BJ994"/>
      <c r="BK994"/>
      <c r="BS994"/>
      <c r="BT994"/>
      <c r="BU994"/>
      <c r="CC994"/>
      <c r="CD994"/>
      <c r="CE994"/>
    </row>
    <row r="995" spans="23:83">
      <c r="W995"/>
      <c r="AE995"/>
      <c r="AF995"/>
      <c r="AG995"/>
      <c r="AO995"/>
      <c r="AP995"/>
      <c r="AQ995"/>
      <c r="AY995"/>
      <c r="AZ995"/>
      <c r="BA995"/>
      <c r="BI995"/>
      <c r="BJ995"/>
      <c r="BK995"/>
      <c r="BS995"/>
      <c r="BT995"/>
      <c r="BU995"/>
      <c r="CC995"/>
      <c r="CD995"/>
      <c r="CE995"/>
    </row>
    <row r="996" spans="23:83">
      <c r="W996"/>
      <c r="AE996"/>
      <c r="AF996"/>
      <c r="AG996"/>
      <c r="AO996"/>
      <c r="AP996"/>
      <c r="AQ996"/>
      <c r="AY996"/>
      <c r="AZ996"/>
      <c r="BA996"/>
      <c r="BI996"/>
      <c r="BJ996"/>
      <c r="BK996"/>
      <c r="BS996"/>
      <c r="BT996"/>
      <c r="BU996"/>
      <c r="CC996"/>
      <c r="CD996"/>
      <c r="CE996"/>
    </row>
    <row r="997" spans="23:83">
      <c r="W997"/>
      <c r="AG997"/>
      <c r="AO997"/>
      <c r="AP997"/>
      <c r="AQ997"/>
      <c r="AY997"/>
      <c r="AZ997"/>
      <c r="BA997"/>
      <c r="BI997"/>
      <c r="BJ997"/>
      <c r="BK997"/>
      <c r="BS997"/>
      <c r="BT997"/>
      <c r="BU997"/>
      <c r="CC997"/>
      <c r="CD997"/>
      <c r="CE997"/>
    </row>
    <row r="998" spans="23:83">
      <c r="W998"/>
      <c r="AG998"/>
      <c r="AO998"/>
      <c r="AP998"/>
      <c r="AQ998"/>
      <c r="AY998"/>
      <c r="AZ998"/>
      <c r="BA998"/>
      <c r="BI998"/>
      <c r="BJ998"/>
      <c r="BK998"/>
      <c r="BS998"/>
      <c r="BT998"/>
      <c r="BU998"/>
      <c r="CC998"/>
      <c r="CD998"/>
      <c r="CE998"/>
    </row>
    <row r="999" spans="23:83">
      <c r="W999"/>
      <c r="AG999"/>
      <c r="AO999"/>
      <c r="AP999"/>
      <c r="AQ999"/>
      <c r="AY999"/>
      <c r="AZ999"/>
      <c r="BA999"/>
      <c r="BI999"/>
      <c r="BJ999"/>
      <c r="BK999"/>
      <c r="BS999"/>
      <c r="BT999"/>
      <c r="BU999"/>
      <c r="CC999"/>
      <c r="CD999"/>
      <c r="CE999"/>
    </row>
    <row r="1000" spans="23:83">
      <c r="W1000"/>
      <c r="AG1000"/>
      <c r="AO1000"/>
      <c r="AP1000"/>
      <c r="AQ1000"/>
      <c r="AY1000"/>
      <c r="AZ1000"/>
      <c r="BA1000"/>
      <c r="BI1000"/>
      <c r="BJ1000"/>
      <c r="BK1000"/>
      <c r="BS1000"/>
      <c r="BT1000"/>
      <c r="BU1000"/>
      <c r="CC1000"/>
      <c r="CD1000"/>
      <c r="CE1000"/>
    </row>
  </sheetData>
  <customSheetViews>
    <customSheetView guid="{86E069D6-AAB6-4ACE-BC4B-ADB04AF4E9D6}" showAutoFilter="1">
      <selection activeCell="M25" sqref="M25"/>
      <pageMargins left="0.7" right="0.7" top="0.75" bottom="0.75" header="0.3" footer="0.3"/>
      <autoFilter ref="A1:J520">
        <filterColumn colId="5"/>
      </autoFilter>
    </customSheetView>
  </customSheetViews>
  <mergeCells count="23">
    <mergeCell ref="Z1:Z2"/>
    <mergeCell ref="A1:D1"/>
    <mergeCell ref="F1:F2"/>
    <mergeCell ref="P1:P2"/>
    <mergeCell ref="CH1:CH2"/>
    <mergeCell ref="BX1:BX2"/>
    <mergeCell ref="BN1:BN2"/>
    <mergeCell ref="AT1:AT2"/>
    <mergeCell ref="BD1:BD2"/>
    <mergeCell ref="BE1:BF2"/>
    <mergeCell ref="G1:H2"/>
    <mergeCell ref="Q1:R2"/>
    <mergeCell ref="CS1:CT2"/>
    <mergeCell ref="CI1:CJ2"/>
    <mergeCell ref="DC1:DD2"/>
    <mergeCell ref="AA1:AB2"/>
    <mergeCell ref="AK1:AL2"/>
    <mergeCell ref="AU1:AV2"/>
    <mergeCell ref="BO1:BP2"/>
    <mergeCell ref="BY1:BZ2"/>
    <mergeCell ref="CR1:CR2"/>
    <mergeCell ref="DB1:DB2"/>
    <mergeCell ref="AJ1:AJ2"/>
  </mergeCells>
  <phoneticPr fontId="1" type="noConversion"/>
  <hyperlinks>
    <hyperlink ref="BE1:BE2" location="看板!A1" display="回看板"/>
    <hyperlink ref="G1:G2" location="看板!A1" display="回看板"/>
    <hyperlink ref="Q1:Q2" location="看板!A1" display="回看板"/>
    <hyperlink ref="AA1:AA2" location="看板!A1" display="回看板"/>
    <hyperlink ref="AK1:AK2" location="看板!A1" display="回看板"/>
    <hyperlink ref="AU1:AU2" location="看板!A1" display="回看板"/>
    <hyperlink ref="BO1:BO2" location="看板!A1" display="回看板"/>
    <hyperlink ref="BY1:BY2" location="看板!A1" display="回看板"/>
    <hyperlink ref="CS1:CS2" location="看板!A1" display="回看板"/>
    <hyperlink ref="CI1:CI2" location="看板!A1" display="回看板"/>
    <hyperlink ref="DC1:DC2" location="看板!A1" display="回看板"/>
  </hyperlink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sheetPr codeName="Sheet13"/>
  <dimension ref="A1:BF84"/>
  <sheetViews>
    <sheetView topLeftCell="AJ1" workbookViewId="0">
      <selection activeCell="AP3" sqref="AP3:AV92"/>
    </sheetView>
  </sheetViews>
  <sheetFormatPr defaultRowHeight="16.5"/>
  <cols>
    <col min="1" max="1" width="18.625" customWidth="1"/>
    <col min="5" max="5" width="15.375" customWidth="1"/>
    <col min="15" max="15" width="12.75" bestFit="1" customWidth="1"/>
    <col min="16" max="16" width="12.75" customWidth="1"/>
    <col min="25" max="25" width="12.75" bestFit="1" customWidth="1"/>
    <col min="42" max="42" width="11.625" bestFit="1" customWidth="1"/>
    <col min="52" max="52" width="12.625" bestFit="1" customWidth="1"/>
  </cols>
  <sheetData>
    <row r="1" spans="1:58" ht="16.5" customHeight="1">
      <c r="A1" s="279" t="s">
        <v>199</v>
      </c>
      <c r="B1" s="280"/>
      <c r="E1" s="285" t="s">
        <v>197</v>
      </c>
      <c r="F1" s="279" t="s">
        <v>199</v>
      </c>
      <c r="G1" s="280"/>
      <c r="O1" s="285" t="s">
        <v>200</v>
      </c>
      <c r="P1" s="279" t="s">
        <v>199</v>
      </c>
      <c r="Q1" s="280"/>
      <c r="Y1" s="287" t="s">
        <v>186</v>
      </c>
      <c r="Z1" s="279" t="s">
        <v>199</v>
      </c>
      <c r="AA1" s="280"/>
      <c r="AP1" s="281" t="s">
        <v>591</v>
      </c>
      <c r="AZ1" s="281" t="s">
        <v>593</v>
      </c>
    </row>
    <row r="2" spans="1:58" ht="16.5" customHeight="1" thickBot="1">
      <c r="A2" s="279"/>
      <c r="B2" s="280"/>
      <c r="E2" s="286"/>
      <c r="F2" s="279"/>
      <c r="G2" s="280"/>
      <c r="O2" s="286"/>
      <c r="P2" s="279"/>
      <c r="Q2" s="280"/>
      <c r="Y2" s="288"/>
      <c r="Z2" s="279"/>
      <c r="AA2" s="280"/>
      <c r="AP2" s="282"/>
      <c r="AZ2" s="282"/>
    </row>
    <row r="3" spans="1:58">
      <c r="E3" s="7" t="s">
        <v>101</v>
      </c>
      <c r="F3" s="7" t="s">
        <v>180</v>
      </c>
      <c r="G3" s="7" t="s">
        <v>78</v>
      </c>
      <c r="H3" s="7" t="s">
        <v>171</v>
      </c>
      <c r="I3" s="7" t="s">
        <v>154</v>
      </c>
      <c r="J3" s="7" t="s">
        <v>169</v>
      </c>
      <c r="K3" s="7" t="s">
        <v>156</v>
      </c>
      <c r="L3" s="7"/>
      <c r="O3" s="7" t="s">
        <v>101</v>
      </c>
      <c r="P3" s="7" t="s">
        <v>180</v>
      </c>
      <c r="Q3" s="7" t="s">
        <v>78</v>
      </c>
      <c r="R3" s="7" t="s">
        <v>171</v>
      </c>
      <c r="S3" s="7" t="s">
        <v>154</v>
      </c>
      <c r="T3" s="7" t="s">
        <v>169</v>
      </c>
      <c r="U3" s="7" t="s">
        <v>156</v>
      </c>
      <c r="V3" s="7"/>
      <c r="Y3" s="7" t="s">
        <v>101</v>
      </c>
      <c r="Z3" s="7" t="s">
        <v>180</v>
      </c>
      <c r="AA3" s="7" t="s">
        <v>78</v>
      </c>
      <c r="AB3" s="7" t="s">
        <v>171</v>
      </c>
      <c r="AC3" s="7" t="s">
        <v>154</v>
      </c>
      <c r="AD3" s="7" t="s">
        <v>169</v>
      </c>
      <c r="AE3" s="7" t="s">
        <v>156</v>
      </c>
      <c r="AF3" s="7"/>
      <c r="AP3" s="7" t="s">
        <v>101</v>
      </c>
      <c r="AQ3" s="7" t="s">
        <v>180</v>
      </c>
      <c r="AR3" s="7" t="s">
        <v>78</v>
      </c>
      <c r="AS3" s="7" t="s">
        <v>171</v>
      </c>
      <c r="AT3" s="7" t="s">
        <v>154</v>
      </c>
      <c r="AU3" s="7" t="s">
        <v>169</v>
      </c>
      <c r="AV3" s="7" t="s">
        <v>156</v>
      </c>
      <c r="AW3" s="7"/>
      <c r="AZ3" s="7" t="s">
        <v>101</v>
      </c>
      <c r="BA3" s="7" t="s">
        <v>180</v>
      </c>
      <c r="BB3" s="7" t="s">
        <v>78</v>
      </c>
      <c r="BC3" s="7" t="s">
        <v>171</v>
      </c>
      <c r="BD3" s="7" t="s">
        <v>154</v>
      </c>
      <c r="BE3" s="7" t="s">
        <v>169</v>
      </c>
      <c r="BF3" s="7" t="s">
        <v>156</v>
      </c>
    </row>
    <row r="4" spans="1:58">
      <c r="E4">
        <v>1300</v>
      </c>
      <c r="F4" s="63" t="s">
        <v>2502</v>
      </c>
      <c r="G4" s="63" t="s">
        <v>285</v>
      </c>
      <c r="H4" s="63" t="s">
        <v>185</v>
      </c>
      <c r="I4" s="63" t="s">
        <v>1378</v>
      </c>
      <c r="J4">
        <v>1</v>
      </c>
      <c r="K4">
        <v>30</v>
      </c>
      <c r="O4">
        <v>7560</v>
      </c>
      <c r="P4" s="63" t="s">
        <v>1719</v>
      </c>
      <c r="Q4" s="63" t="s">
        <v>365</v>
      </c>
      <c r="R4" s="63" t="s">
        <v>184</v>
      </c>
      <c r="S4" s="63" t="s">
        <v>1533</v>
      </c>
      <c r="T4">
        <v>1</v>
      </c>
      <c r="U4">
        <v>3</v>
      </c>
      <c r="Y4" s="63" t="s">
        <v>518</v>
      </c>
      <c r="Z4" s="63" t="s">
        <v>1855</v>
      </c>
      <c r="AA4" s="63" t="s">
        <v>285</v>
      </c>
      <c r="AB4" s="63" t="s">
        <v>174</v>
      </c>
      <c r="AC4" s="63" t="s">
        <v>2033</v>
      </c>
      <c r="AD4">
        <v>1</v>
      </c>
      <c r="AE4">
        <v>29</v>
      </c>
      <c r="AP4">
        <v>190</v>
      </c>
      <c r="AQ4" s="63" t="s">
        <v>282</v>
      </c>
      <c r="AR4" s="63" t="s">
        <v>285</v>
      </c>
      <c r="AS4" s="63" t="s">
        <v>203</v>
      </c>
      <c r="AT4" s="63" t="s">
        <v>1429</v>
      </c>
      <c r="AU4">
        <v>1</v>
      </c>
      <c r="AV4">
        <v>52</v>
      </c>
      <c r="AZ4">
        <v>7560</v>
      </c>
      <c r="BA4" s="63" t="s">
        <v>1719</v>
      </c>
      <c r="BB4" s="63" t="s">
        <v>365</v>
      </c>
      <c r="BC4" s="63" t="s">
        <v>184</v>
      </c>
      <c r="BD4" s="63" t="s">
        <v>1533</v>
      </c>
      <c r="BE4">
        <v>1</v>
      </c>
      <c r="BF4">
        <v>3</v>
      </c>
    </row>
    <row r="5" spans="1:58">
      <c r="E5">
        <v>1300</v>
      </c>
      <c r="F5" s="63" t="s">
        <v>2502</v>
      </c>
      <c r="G5" s="63" t="s">
        <v>285</v>
      </c>
      <c r="H5" s="63" t="s">
        <v>172</v>
      </c>
      <c r="I5" s="63" t="s">
        <v>1450</v>
      </c>
      <c r="J5">
        <v>1</v>
      </c>
      <c r="K5">
        <v>60</v>
      </c>
      <c r="O5">
        <v>7560</v>
      </c>
      <c r="P5" s="63" t="s">
        <v>1815</v>
      </c>
      <c r="Q5" s="63" t="s">
        <v>365</v>
      </c>
      <c r="R5" s="63" t="s">
        <v>184</v>
      </c>
      <c r="S5" s="63" t="s">
        <v>1533</v>
      </c>
      <c r="T5">
        <v>1</v>
      </c>
      <c r="U5">
        <v>9</v>
      </c>
      <c r="Y5" s="63" t="s">
        <v>518</v>
      </c>
      <c r="Z5" s="63" t="s">
        <v>904</v>
      </c>
      <c r="AA5" s="63" t="s">
        <v>301</v>
      </c>
      <c r="AB5" s="63" t="s">
        <v>254</v>
      </c>
      <c r="AC5" s="63" t="s">
        <v>1089</v>
      </c>
      <c r="AD5">
        <v>1</v>
      </c>
      <c r="AE5">
        <v>58</v>
      </c>
      <c r="AP5">
        <v>190</v>
      </c>
      <c r="AQ5" s="63" t="s">
        <v>297</v>
      </c>
      <c r="AR5" s="63" t="s">
        <v>285</v>
      </c>
      <c r="AS5" s="63" t="s">
        <v>175</v>
      </c>
      <c r="AT5" s="63" t="s">
        <v>1012</v>
      </c>
      <c r="AU5">
        <v>1</v>
      </c>
      <c r="AV5">
        <v>1</v>
      </c>
      <c r="AZ5">
        <v>7560</v>
      </c>
      <c r="BA5" s="63" t="s">
        <v>1815</v>
      </c>
      <c r="BB5" s="63" t="s">
        <v>365</v>
      </c>
      <c r="BC5" s="63" t="s">
        <v>184</v>
      </c>
      <c r="BD5" s="63" t="s">
        <v>1533</v>
      </c>
      <c r="BE5">
        <v>1</v>
      </c>
      <c r="BF5">
        <v>9</v>
      </c>
    </row>
    <row r="6" spans="1:58">
      <c r="E6">
        <v>1300</v>
      </c>
      <c r="F6" s="63" t="s">
        <v>2502</v>
      </c>
      <c r="G6" s="63" t="s">
        <v>285</v>
      </c>
      <c r="H6" s="63" t="s">
        <v>172</v>
      </c>
      <c r="I6" s="63" t="s">
        <v>1268</v>
      </c>
      <c r="J6">
        <v>1</v>
      </c>
      <c r="K6">
        <v>60</v>
      </c>
      <c r="O6">
        <v>7560</v>
      </c>
      <c r="P6" s="63" t="s">
        <v>387</v>
      </c>
      <c r="Q6" s="63" t="s">
        <v>365</v>
      </c>
      <c r="R6" s="63" t="s">
        <v>174</v>
      </c>
      <c r="S6" s="63" t="s">
        <v>1364</v>
      </c>
      <c r="T6">
        <v>1</v>
      </c>
      <c r="U6">
        <v>40</v>
      </c>
      <c r="Y6" s="63" t="s">
        <v>518</v>
      </c>
      <c r="Z6" s="63" t="s">
        <v>612</v>
      </c>
      <c r="AA6" s="63" t="s">
        <v>285</v>
      </c>
      <c r="AB6" s="63" t="s">
        <v>311</v>
      </c>
      <c r="AC6" s="63" t="s">
        <v>1995</v>
      </c>
      <c r="AD6">
        <v>1</v>
      </c>
      <c r="AE6">
        <v>11</v>
      </c>
      <c r="AP6">
        <v>201</v>
      </c>
      <c r="AQ6" s="63" t="s">
        <v>2321</v>
      </c>
      <c r="AR6" s="63" t="s">
        <v>285</v>
      </c>
      <c r="AS6" s="63" t="s">
        <v>184</v>
      </c>
      <c r="AT6" s="63" t="s">
        <v>2322</v>
      </c>
      <c r="AU6">
        <v>1</v>
      </c>
      <c r="AV6">
        <v>10</v>
      </c>
      <c r="AZ6">
        <v>7560</v>
      </c>
      <c r="BA6" s="63" t="s">
        <v>387</v>
      </c>
      <c r="BB6" s="63" t="s">
        <v>365</v>
      </c>
      <c r="BC6" s="63" t="s">
        <v>174</v>
      </c>
      <c r="BD6" s="63" t="s">
        <v>1364</v>
      </c>
      <c r="BE6">
        <v>1</v>
      </c>
      <c r="BF6">
        <v>40</v>
      </c>
    </row>
    <row r="7" spans="1:58">
      <c r="E7">
        <v>3300</v>
      </c>
      <c r="F7" s="63" t="s">
        <v>2509</v>
      </c>
      <c r="G7" s="63" t="s">
        <v>285</v>
      </c>
      <c r="H7" s="63" t="s">
        <v>993</v>
      </c>
      <c r="I7" s="63" t="s">
        <v>1346</v>
      </c>
      <c r="J7">
        <v>1</v>
      </c>
      <c r="K7">
        <v>27</v>
      </c>
      <c r="O7">
        <v>7560</v>
      </c>
      <c r="P7" s="63" t="s">
        <v>2671</v>
      </c>
      <c r="Q7" s="63" t="s">
        <v>325</v>
      </c>
      <c r="R7" s="63" t="s">
        <v>172</v>
      </c>
      <c r="S7" s="63" t="s">
        <v>2690</v>
      </c>
      <c r="T7">
        <v>1</v>
      </c>
      <c r="U7">
        <v>60</v>
      </c>
      <c r="Y7" s="63" t="s">
        <v>518</v>
      </c>
      <c r="Z7" s="63" t="s">
        <v>1017</v>
      </c>
      <c r="AA7" s="63" t="s">
        <v>285</v>
      </c>
      <c r="AB7" s="63" t="s">
        <v>175</v>
      </c>
      <c r="AC7" s="63" t="s">
        <v>1082</v>
      </c>
      <c r="AD7">
        <v>1</v>
      </c>
      <c r="AE7">
        <v>45</v>
      </c>
      <c r="AP7">
        <v>201</v>
      </c>
      <c r="AQ7" s="63" t="s">
        <v>1031</v>
      </c>
      <c r="AR7" s="63" t="s">
        <v>285</v>
      </c>
      <c r="AS7" s="63" t="s">
        <v>175</v>
      </c>
      <c r="AT7" s="63" t="s">
        <v>1981</v>
      </c>
      <c r="AU7">
        <v>1</v>
      </c>
      <c r="AV7">
        <v>24</v>
      </c>
      <c r="AZ7">
        <v>7571</v>
      </c>
      <c r="BA7" s="63" t="s">
        <v>1888</v>
      </c>
      <c r="BB7" s="63" t="s">
        <v>365</v>
      </c>
      <c r="BC7" s="63" t="s">
        <v>184</v>
      </c>
      <c r="BD7" s="63" t="s">
        <v>1433</v>
      </c>
      <c r="BE7">
        <v>1</v>
      </c>
      <c r="BF7">
        <v>7</v>
      </c>
    </row>
    <row r="8" spans="1:58">
      <c r="E8">
        <v>3300</v>
      </c>
      <c r="F8" s="63" t="s">
        <v>2509</v>
      </c>
      <c r="G8" s="63" t="s">
        <v>285</v>
      </c>
      <c r="H8" s="63" t="s">
        <v>993</v>
      </c>
      <c r="I8" s="63" t="s">
        <v>1161</v>
      </c>
      <c r="J8">
        <v>1</v>
      </c>
      <c r="K8">
        <v>60</v>
      </c>
      <c r="O8">
        <v>7560</v>
      </c>
      <c r="P8" s="63" t="s">
        <v>2671</v>
      </c>
      <c r="Q8" s="63" t="s">
        <v>325</v>
      </c>
      <c r="R8" s="63" t="s">
        <v>172</v>
      </c>
      <c r="S8" s="63" t="s">
        <v>2041</v>
      </c>
      <c r="T8">
        <v>1</v>
      </c>
      <c r="U8">
        <v>60</v>
      </c>
      <c r="Y8" s="63" t="s">
        <v>518</v>
      </c>
      <c r="Z8" s="63" t="s">
        <v>893</v>
      </c>
      <c r="AA8" s="63" t="s">
        <v>285</v>
      </c>
      <c r="AB8" s="63" t="s">
        <v>175</v>
      </c>
      <c r="AC8" s="63" t="s">
        <v>922</v>
      </c>
      <c r="AD8">
        <v>1</v>
      </c>
      <c r="AE8">
        <v>35</v>
      </c>
      <c r="AP8">
        <v>206</v>
      </c>
      <c r="AQ8" s="63" t="s">
        <v>308</v>
      </c>
      <c r="AR8" s="63" t="s">
        <v>301</v>
      </c>
      <c r="AS8" s="63" t="s">
        <v>254</v>
      </c>
      <c r="AT8" s="63" t="s">
        <v>1563</v>
      </c>
      <c r="AU8">
        <v>1</v>
      </c>
      <c r="AV8">
        <v>15</v>
      </c>
      <c r="AZ8">
        <v>8300</v>
      </c>
      <c r="BA8" s="63" t="s">
        <v>1177</v>
      </c>
      <c r="BB8" s="63" t="s">
        <v>365</v>
      </c>
      <c r="BC8" s="63" t="s">
        <v>203</v>
      </c>
      <c r="BD8" s="63" t="s">
        <v>1222</v>
      </c>
      <c r="BE8">
        <v>1</v>
      </c>
      <c r="BF8">
        <v>1</v>
      </c>
    </row>
    <row r="9" spans="1:58">
      <c r="E9">
        <v>4300</v>
      </c>
      <c r="F9" s="63" t="s">
        <v>2564</v>
      </c>
      <c r="G9" s="63" t="s">
        <v>285</v>
      </c>
      <c r="H9" s="63" t="s">
        <v>174</v>
      </c>
      <c r="I9" s="63" t="s">
        <v>1990</v>
      </c>
      <c r="J9">
        <v>1</v>
      </c>
      <c r="K9">
        <v>60</v>
      </c>
      <c r="O9">
        <v>7560</v>
      </c>
      <c r="P9" s="63" t="s">
        <v>2671</v>
      </c>
      <c r="Q9" s="63" t="s">
        <v>325</v>
      </c>
      <c r="R9" s="63" t="s">
        <v>175</v>
      </c>
      <c r="S9" s="63" t="s">
        <v>1125</v>
      </c>
      <c r="T9">
        <v>1</v>
      </c>
      <c r="U9">
        <v>60</v>
      </c>
      <c r="Y9" s="63" t="s">
        <v>518</v>
      </c>
      <c r="Z9" s="63" t="s">
        <v>923</v>
      </c>
      <c r="AA9" s="63" t="s">
        <v>285</v>
      </c>
      <c r="AB9" s="63" t="s">
        <v>172</v>
      </c>
      <c r="AC9" s="63" t="s">
        <v>967</v>
      </c>
      <c r="AD9">
        <v>1</v>
      </c>
      <c r="AE9">
        <v>3</v>
      </c>
      <c r="AP9">
        <v>1300</v>
      </c>
      <c r="AQ9" s="63" t="s">
        <v>2502</v>
      </c>
      <c r="AR9" s="63" t="s">
        <v>285</v>
      </c>
      <c r="AS9" s="63" t="s">
        <v>185</v>
      </c>
      <c r="AT9" s="63" t="s">
        <v>1378</v>
      </c>
      <c r="AU9">
        <v>1</v>
      </c>
      <c r="AV9">
        <v>30</v>
      </c>
      <c r="AZ9" s="63" t="s">
        <v>518</v>
      </c>
      <c r="BA9" s="63" t="s">
        <v>464</v>
      </c>
      <c r="BB9" s="63" t="s">
        <v>305</v>
      </c>
      <c r="BC9" s="63" t="s">
        <v>177</v>
      </c>
      <c r="BD9" s="63" t="s">
        <v>995</v>
      </c>
      <c r="BE9">
        <v>1</v>
      </c>
      <c r="BF9">
        <v>48</v>
      </c>
    </row>
    <row r="10" spans="1:58">
      <c r="E10">
        <v>4300</v>
      </c>
      <c r="F10" s="63" t="s">
        <v>2569</v>
      </c>
      <c r="G10" s="63" t="s">
        <v>285</v>
      </c>
      <c r="H10" s="63" t="s">
        <v>203</v>
      </c>
      <c r="I10" s="63" t="s">
        <v>2124</v>
      </c>
      <c r="J10">
        <v>1</v>
      </c>
      <c r="K10">
        <v>3</v>
      </c>
      <c r="O10">
        <v>7560</v>
      </c>
      <c r="P10" s="63" t="s">
        <v>2671</v>
      </c>
      <c r="Q10" s="63" t="s">
        <v>325</v>
      </c>
      <c r="R10" s="63" t="s">
        <v>175</v>
      </c>
      <c r="S10" s="63" t="s">
        <v>2029</v>
      </c>
      <c r="T10">
        <v>1</v>
      </c>
      <c r="U10">
        <v>3</v>
      </c>
      <c r="Y10" s="63" t="s">
        <v>518</v>
      </c>
      <c r="Z10" s="63" t="s">
        <v>1020</v>
      </c>
      <c r="AA10" s="63" t="s">
        <v>285</v>
      </c>
      <c r="AB10" s="63" t="s">
        <v>172</v>
      </c>
      <c r="AC10" s="63" t="s">
        <v>1172</v>
      </c>
      <c r="AD10">
        <v>1</v>
      </c>
      <c r="AE10">
        <v>60</v>
      </c>
      <c r="AP10">
        <v>1300</v>
      </c>
      <c r="AQ10" s="63" t="s">
        <v>2502</v>
      </c>
      <c r="AR10" s="63" t="s">
        <v>285</v>
      </c>
      <c r="AS10" s="63" t="s">
        <v>172</v>
      </c>
      <c r="AT10" s="63" t="s">
        <v>1450</v>
      </c>
      <c r="AU10">
        <v>1</v>
      </c>
      <c r="AV10">
        <v>60</v>
      </c>
      <c r="AZ10" s="63" t="s">
        <v>518</v>
      </c>
      <c r="BA10" s="63" t="s">
        <v>1110</v>
      </c>
      <c r="BB10" s="63" t="s">
        <v>305</v>
      </c>
      <c r="BC10" s="63" t="s">
        <v>175</v>
      </c>
      <c r="BD10" s="63" t="s">
        <v>1510</v>
      </c>
      <c r="BE10">
        <v>1</v>
      </c>
      <c r="BF10">
        <v>44</v>
      </c>
    </row>
    <row r="11" spans="1:58">
      <c r="E11">
        <v>4300</v>
      </c>
      <c r="F11" s="63" t="s">
        <v>2569</v>
      </c>
      <c r="G11" s="63" t="s">
        <v>285</v>
      </c>
      <c r="H11" s="63" t="s">
        <v>173</v>
      </c>
      <c r="I11" s="63" t="s">
        <v>1404</v>
      </c>
      <c r="J11">
        <v>1</v>
      </c>
      <c r="K11">
        <v>3</v>
      </c>
      <c r="O11">
        <v>7560</v>
      </c>
      <c r="P11" s="63" t="s">
        <v>2671</v>
      </c>
      <c r="Q11" s="63" t="s">
        <v>205</v>
      </c>
      <c r="R11" s="63" t="s">
        <v>174</v>
      </c>
      <c r="S11" s="63" t="s">
        <v>2691</v>
      </c>
      <c r="T11">
        <v>1</v>
      </c>
      <c r="U11">
        <v>3</v>
      </c>
      <c r="Y11" s="63" t="s">
        <v>518</v>
      </c>
      <c r="Z11" s="63" t="s">
        <v>1020</v>
      </c>
      <c r="AA11" s="63" t="s">
        <v>285</v>
      </c>
      <c r="AB11" s="63" t="s">
        <v>172</v>
      </c>
      <c r="AC11" s="63" t="s">
        <v>1143</v>
      </c>
      <c r="AD11">
        <v>1</v>
      </c>
      <c r="AE11">
        <v>4</v>
      </c>
      <c r="AP11">
        <v>1300</v>
      </c>
      <c r="AQ11" s="63" t="s">
        <v>2502</v>
      </c>
      <c r="AR11" s="63" t="s">
        <v>285</v>
      </c>
      <c r="AS11" s="63" t="s">
        <v>172</v>
      </c>
      <c r="AT11" s="63" t="s">
        <v>1268</v>
      </c>
      <c r="AU11">
        <v>1</v>
      </c>
      <c r="AV11">
        <v>60</v>
      </c>
    </row>
    <row r="12" spans="1:58">
      <c r="E12">
        <v>4300</v>
      </c>
      <c r="F12" s="63" t="s">
        <v>2569</v>
      </c>
      <c r="G12" s="63" t="s">
        <v>285</v>
      </c>
      <c r="H12" s="63" t="s">
        <v>173</v>
      </c>
      <c r="I12" s="63" t="s">
        <v>1426</v>
      </c>
      <c r="J12">
        <v>1</v>
      </c>
      <c r="K12">
        <v>3</v>
      </c>
      <c r="O12">
        <v>7571</v>
      </c>
      <c r="P12" s="63" t="s">
        <v>1888</v>
      </c>
      <c r="Q12" s="63" t="s">
        <v>365</v>
      </c>
      <c r="R12" s="63" t="s">
        <v>184</v>
      </c>
      <c r="S12" s="63" t="s">
        <v>1433</v>
      </c>
      <c r="T12">
        <v>1</v>
      </c>
      <c r="U12">
        <v>7</v>
      </c>
      <c r="Y12" s="63" t="s">
        <v>518</v>
      </c>
      <c r="Z12" s="63" t="s">
        <v>1734</v>
      </c>
      <c r="AA12" s="63" t="s">
        <v>285</v>
      </c>
      <c r="AB12" s="63" t="s">
        <v>174</v>
      </c>
      <c r="AC12" s="63" t="s">
        <v>1234</v>
      </c>
      <c r="AD12">
        <v>1</v>
      </c>
      <c r="AE12">
        <v>22</v>
      </c>
      <c r="AP12">
        <v>3300</v>
      </c>
      <c r="AQ12" s="63" t="s">
        <v>2509</v>
      </c>
      <c r="AR12" s="63" t="s">
        <v>285</v>
      </c>
      <c r="AS12" s="63" t="s">
        <v>993</v>
      </c>
      <c r="AT12" s="63" t="s">
        <v>1346</v>
      </c>
      <c r="AU12">
        <v>1</v>
      </c>
      <c r="AV12">
        <v>27</v>
      </c>
    </row>
    <row r="13" spans="1:58">
      <c r="E13">
        <v>4300</v>
      </c>
      <c r="F13" s="63" t="s">
        <v>2509</v>
      </c>
      <c r="G13" s="63" t="s">
        <v>285</v>
      </c>
      <c r="H13" s="63" t="s">
        <v>174</v>
      </c>
      <c r="I13" s="63" t="s">
        <v>1801</v>
      </c>
      <c r="J13">
        <v>1</v>
      </c>
      <c r="K13">
        <v>3</v>
      </c>
      <c r="Y13" s="63" t="s">
        <v>518</v>
      </c>
      <c r="Z13" s="63" t="s">
        <v>464</v>
      </c>
      <c r="AA13" s="63" t="s">
        <v>305</v>
      </c>
      <c r="AB13" s="63" t="s">
        <v>177</v>
      </c>
      <c r="AC13" s="63" t="s">
        <v>995</v>
      </c>
      <c r="AD13">
        <v>1</v>
      </c>
      <c r="AE13">
        <v>48</v>
      </c>
      <c r="AP13">
        <v>3300</v>
      </c>
      <c r="AQ13" s="63" t="s">
        <v>2509</v>
      </c>
      <c r="AR13" s="63" t="s">
        <v>285</v>
      </c>
      <c r="AS13" s="63" t="s">
        <v>993</v>
      </c>
      <c r="AT13" s="63" t="s">
        <v>1161</v>
      </c>
      <c r="AU13">
        <v>1</v>
      </c>
      <c r="AV13">
        <v>60</v>
      </c>
    </row>
    <row r="14" spans="1:58">
      <c r="E14">
        <v>4560</v>
      </c>
      <c r="F14" s="63" t="s">
        <v>1725</v>
      </c>
      <c r="G14" s="63" t="s">
        <v>305</v>
      </c>
      <c r="H14" s="63" t="s">
        <v>203</v>
      </c>
      <c r="I14" s="63" t="s">
        <v>2575</v>
      </c>
      <c r="J14">
        <v>1</v>
      </c>
      <c r="K14">
        <v>13</v>
      </c>
      <c r="Y14" s="63" t="s">
        <v>518</v>
      </c>
      <c r="Z14" s="63" t="s">
        <v>1097</v>
      </c>
      <c r="AA14" s="63" t="s">
        <v>285</v>
      </c>
      <c r="AB14" s="63" t="s">
        <v>174</v>
      </c>
      <c r="AC14" s="63" t="s">
        <v>751</v>
      </c>
      <c r="AD14">
        <v>1</v>
      </c>
      <c r="AE14">
        <v>35</v>
      </c>
      <c r="AP14">
        <v>3310</v>
      </c>
      <c r="AQ14" s="63" t="s">
        <v>2564</v>
      </c>
      <c r="AR14" s="63" t="s">
        <v>285</v>
      </c>
      <c r="AS14" s="63" t="s">
        <v>173</v>
      </c>
      <c r="AT14" s="63" t="s">
        <v>479</v>
      </c>
      <c r="AU14">
        <v>1</v>
      </c>
      <c r="AV14">
        <v>19</v>
      </c>
    </row>
    <row r="15" spans="1:58">
      <c r="E15">
        <v>4560</v>
      </c>
      <c r="F15" s="63" t="s">
        <v>1071</v>
      </c>
      <c r="G15" s="63" t="s">
        <v>305</v>
      </c>
      <c r="H15" s="63" t="s">
        <v>184</v>
      </c>
      <c r="I15" s="63" t="s">
        <v>1050</v>
      </c>
      <c r="J15">
        <v>1</v>
      </c>
      <c r="K15">
        <v>45</v>
      </c>
      <c r="Y15" s="63" t="s">
        <v>518</v>
      </c>
      <c r="Z15" s="63" t="s">
        <v>1008</v>
      </c>
      <c r="AA15" s="63" t="s">
        <v>285</v>
      </c>
      <c r="AB15" s="63" t="s">
        <v>172</v>
      </c>
      <c r="AC15" s="63" t="s">
        <v>1257</v>
      </c>
      <c r="AD15">
        <v>1</v>
      </c>
      <c r="AE15">
        <v>25</v>
      </c>
      <c r="AP15">
        <v>3350</v>
      </c>
      <c r="AQ15" s="63" t="s">
        <v>2509</v>
      </c>
      <c r="AR15" s="63" t="s">
        <v>285</v>
      </c>
      <c r="AS15" s="63" t="s">
        <v>173</v>
      </c>
      <c r="AT15" s="63" t="s">
        <v>1414</v>
      </c>
      <c r="AU15">
        <v>1</v>
      </c>
      <c r="AV15">
        <v>3</v>
      </c>
    </row>
    <row r="16" spans="1:58">
      <c r="E16">
        <v>4560</v>
      </c>
      <c r="F16" s="63" t="s">
        <v>1071</v>
      </c>
      <c r="G16" s="63" t="s">
        <v>305</v>
      </c>
      <c r="H16" s="63" t="s">
        <v>184</v>
      </c>
      <c r="I16" s="63" t="s">
        <v>1484</v>
      </c>
      <c r="J16">
        <v>1</v>
      </c>
      <c r="K16">
        <v>47</v>
      </c>
      <c r="Y16" s="63" t="s">
        <v>518</v>
      </c>
      <c r="Z16" s="63" t="s">
        <v>1049</v>
      </c>
      <c r="AA16" s="63" t="s">
        <v>285</v>
      </c>
      <c r="AB16" s="63" t="s">
        <v>173</v>
      </c>
      <c r="AC16" s="63" t="s">
        <v>1145</v>
      </c>
      <c r="AD16">
        <v>1</v>
      </c>
      <c r="AE16">
        <v>1</v>
      </c>
      <c r="AP16">
        <v>4300</v>
      </c>
      <c r="AQ16" s="63" t="s">
        <v>2564</v>
      </c>
      <c r="AR16" s="63" t="s">
        <v>285</v>
      </c>
      <c r="AS16" s="63" t="s">
        <v>174</v>
      </c>
      <c r="AT16" s="63" t="s">
        <v>1990</v>
      </c>
      <c r="AU16">
        <v>1</v>
      </c>
      <c r="AV16">
        <v>60</v>
      </c>
    </row>
    <row r="17" spans="5:48">
      <c r="E17">
        <v>4571</v>
      </c>
      <c r="F17" s="63" t="s">
        <v>2576</v>
      </c>
      <c r="G17" s="63" t="s">
        <v>305</v>
      </c>
      <c r="H17" s="63" t="s">
        <v>203</v>
      </c>
      <c r="I17" s="63" t="s">
        <v>638</v>
      </c>
      <c r="J17">
        <v>1</v>
      </c>
      <c r="K17">
        <v>9</v>
      </c>
      <c r="Y17" s="63" t="s">
        <v>518</v>
      </c>
      <c r="Z17" s="63" t="s">
        <v>1132</v>
      </c>
      <c r="AA17" s="63" t="s">
        <v>285</v>
      </c>
      <c r="AB17" s="63" t="s">
        <v>172</v>
      </c>
      <c r="AC17" s="63" t="s">
        <v>1191</v>
      </c>
      <c r="AD17">
        <v>1</v>
      </c>
      <c r="AE17">
        <v>18</v>
      </c>
      <c r="AP17">
        <v>4300</v>
      </c>
      <c r="AQ17" s="63" t="s">
        <v>2569</v>
      </c>
      <c r="AR17" s="63" t="s">
        <v>285</v>
      </c>
      <c r="AS17" s="63" t="s">
        <v>203</v>
      </c>
      <c r="AT17" s="63" t="s">
        <v>2124</v>
      </c>
      <c r="AU17">
        <v>1</v>
      </c>
      <c r="AV17">
        <v>3</v>
      </c>
    </row>
    <row r="18" spans="5:48">
      <c r="E18">
        <v>5200</v>
      </c>
      <c r="F18" s="63" t="s">
        <v>2583</v>
      </c>
      <c r="G18" s="63" t="s">
        <v>205</v>
      </c>
      <c r="H18" s="63" t="s">
        <v>174</v>
      </c>
      <c r="I18" s="63" t="s">
        <v>2140</v>
      </c>
      <c r="J18">
        <v>1</v>
      </c>
      <c r="K18">
        <v>18</v>
      </c>
      <c r="Y18" s="63" t="s">
        <v>518</v>
      </c>
      <c r="Z18" s="63" t="s">
        <v>1110</v>
      </c>
      <c r="AA18" s="63" t="s">
        <v>305</v>
      </c>
      <c r="AB18" s="63" t="s">
        <v>175</v>
      </c>
      <c r="AC18" s="63" t="s">
        <v>1510</v>
      </c>
      <c r="AD18">
        <v>1</v>
      </c>
      <c r="AE18">
        <v>44</v>
      </c>
      <c r="AP18">
        <v>4300</v>
      </c>
      <c r="AQ18" s="63" t="s">
        <v>2569</v>
      </c>
      <c r="AR18" s="63" t="s">
        <v>285</v>
      </c>
      <c r="AS18" s="63" t="s">
        <v>173</v>
      </c>
      <c r="AT18" s="63" t="s">
        <v>1404</v>
      </c>
      <c r="AU18">
        <v>1</v>
      </c>
      <c r="AV18">
        <v>3</v>
      </c>
    </row>
    <row r="19" spans="5:48">
      <c r="E19">
        <v>7300</v>
      </c>
      <c r="F19" s="63" t="s">
        <v>2674</v>
      </c>
      <c r="G19" s="63" t="s">
        <v>285</v>
      </c>
      <c r="H19" s="63" t="s">
        <v>175</v>
      </c>
      <c r="I19" s="63" t="s">
        <v>1957</v>
      </c>
      <c r="J19">
        <v>1</v>
      </c>
      <c r="K19">
        <v>57</v>
      </c>
      <c r="Y19" s="63" t="s">
        <v>518</v>
      </c>
      <c r="Z19" s="63" t="s">
        <v>541</v>
      </c>
      <c r="AA19" s="63" t="s">
        <v>285</v>
      </c>
      <c r="AB19" s="63" t="s">
        <v>174</v>
      </c>
      <c r="AC19" s="63" t="s">
        <v>1331</v>
      </c>
      <c r="AD19">
        <v>1</v>
      </c>
      <c r="AE19">
        <v>32</v>
      </c>
      <c r="AP19">
        <v>4300</v>
      </c>
      <c r="AQ19" s="63" t="s">
        <v>2569</v>
      </c>
      <c r="AR19" s="63" t="s">
        <v>285</v>
      </c>
      <c r="AS19" s="63" t="s">
        <v>173</v>
      </c>
      <c r="AT19" s="63" t="s">
        <v>1426</v>
      </c>
      <c r="AU19">
        <v>1</v>
      </c>
      <c r="AV19">
        <v>3</v>
      </c>
    </row>
    <row r="20" spans="5:48">
      <c r="E20">
        <v>7300</v>
      </c>
      <c r="F20" s="63" t="s">
        <v>2675</v>
      </c>
      <c r="G20" s="63" t="s">
        <v>285</v>
      </c>
      <c r="H20" s="63" t="s">
        <v>172</v>
      </c>
      <c r="I20" s="63" t="s">
        <v>1522</v>
      </c>
      <c r="J20">
        <v>1</v>
      </c>
      <c r="K20">
        <v>3</v>
      </c>
      <c r="Y20" s="63" t="s">
        <v>518</v>
      </c>
      <c r="Z20" s="63" t="s">
        <v>700</v>
      </c>
      <c r="AA20" s="63" t="s">
        <v>285</v>
      </c>
      <c r="AB20" s="63" t="s">
        <v>172</v>
      </c>
      <c r="AC20" s="63" t="s">
        <v>1963</v>
      </c>
      <c r="AD20">
        <v>1</v>
      </c>
      <c r="AE20">
        <v>60</v>
      </c>
      <c r="AP20">
        <v>4300</v>
      </c>
      <c r="AQ20" s="63" t="s">
        <v>2509</v>
      </c>
      <c r="AR20" s="63" t="s">
        <v>285</v>
      </c>
      <c r="AS20" s="63" t="s">
        <v>174</v>
      </c>
      <c r="AT20" s="63" t="s">
        <v>1801</v>
      </c>
      <c r="AU20">
        <v>1</v>
      </c>
      <c r="AV20">
        <v>3</v>
      </c>
    </row>
    <row r="21" spans="5:48">
      <c r="E21">
        <v>7300</v>
      </c>
      <c r="F21" s="63" t="s">
        <v>1721</v>
      </c>
      <c r="G21" s="63" t="s">
        <v>305</v>
      </c>
      <c r="H21" s="63" t="s">
        <v>172</v>
      </c>
      <c r="I21" s="63" t="s">
        <v>1330</v>
      </c>
      <c r="J21">
        <v>1</v>
      </c>
      <c r="K21">
        <v>5</v>
      </c>
      <c r="Y21" s="63" t="s">
        <v>518</v>
      </c>
      <c r="Z21" s="63" t="s">
        <v>2830</v>
      </c>
      <c r="AA21" s="63" t="s">
        <v>285</v>
      </c>
      <c r="AB21" s="63" t="s">
        <v>172</v>
      </c>
      <c r="AC21" s="63" t="s">
        <v>1025</v>
      </c>
      <c r="AD21">
        <v>1</v>
      </c>
      <c r="AE21">
        <v>23</v>
      </c>
      <c r="AP21">
        <v>5200</v>
      </c>
      <c r="AQ21" s="63" t="s">
        <v>2583</v>
      </c>
      <c r="AR21" s="63" t="s">
        <v>205</v>
      </c>
      <c r="AS21" s="63" t="s">
        <v>174</v>
      </c>
      <c r="AT21" s="63" t="s">
        <v>2140</v>
      </c>
      <c r="AU21">
        <v>1</v>
      </c>
      <c r="AV21">
        <v>18</v>
      </c>
    </row>
    <row r="22" spans="5:48">
      <c r="E22">
        <v>7300</v>
      </c>
      <c r="F22" s="63" t="s">
        <v>1806</v>
      </c>
      <c r="G22" s="63" t="s">
        <v>285</v>
      </c>
      <c r="H22" s="63" t="s">
        <v>174</v>
      </c>
      <c r="I22" s="63" t="s">
        <v>1372</v>
      </c>
      <c r="J22">
        <v>1</v>
      </c>
      <c r="K22">
        <v>60</v>
      </c>
      <c r="Y22" s="63" t="s">
        <v>518</v>
      </c>
      <c r="Z22" s="63" t="s">
        <v>576</v>
      </c>
      <c r="AA22" s="63" t="s">
        <v>285</v>
      </c>
      <c r="AB22" s="63" t="s">
        <v>174</v>
      </c>
      <c r="AC22" s="63" t="s">
        <v>536</v>
      </c>
      <c r="AD22">
        <v>1</v>
      </c>
      <c r="AE22">
        <v>45</v>
      </c>
      <c r="AP22">
        <v>7300</v>
      </c>
      <c r="AQ22" s="63" t="s">
        <v>2674</v>
      </c>
      <c r="AR22" s="63" t="s">
        <v>285</v>
      </c>
      <c r="AS22" s="63" t="s">
        <v>175</v>
      </c>
      <c r="AT22" s="63" t="s">
        <v>1957</v>
      </c>
      <c r="AU22">
        <v>1</v>
      </c>
      <c r="AV22">
        <v>57</v>
      </c>
    </row>
    <row r="23" spans="5:48">
      <c r="E23">
        <v>7300</v>
      </c>
      <c r="F23" s="63" t="s">
        <v>2677</v>
      </c>
      <c r="G23" s="63" t="s">
        <v>285</v>
      </c>
      <c r="H23" s="63" t="s">
        <v>175</v>
      </c>
      <c r="I23" s="63" t="s">
        <v>1996</v>
      </c>
      <c r="J23">
        <v>1</v>
      </c>
      <c r="K23">
        <v>26</v>
      </c>
      <c r="Y23" s="63" t="s">
        <v>518</v>
      </c>
      <c r="Z23" s="63" t="s">
        <v>1792</v>
      </c>
      <c r="AA23" s="63" t="s">
        <v>285</v>
      </c>
      <c r="AB23" s="63" t="s">
        <v>172</v>
      </c>
      <c r="AC23" s="63" t="s">
        <v>1314</v>
      </c>
      <c r="AD23">
        <v>1</v>
      </c>
      <c r="AE23">
        <v>6</v>
      </c>
      <c r="AP23">
        <v>7300</v>
      </c>
      <c r="AQ23" s="63" t="s">
        <v>2675</v>
      </c>
      <c r="AR23" s="63" t="s">
        <v>285</v>
      </c>
      <c r="AS23" s="63" t="s">
        <v>172</v>
      </c>
      <c r="AT23" s="63" t="s">
        <v>1522</v>
      </c>
      <c r="AU23">
        <v>1</v>
      </c>
      <c r="AV23">
        <v>3</v>
      </c>
    </row>
    <row r="24" spans="5:48">
      <c r="E24">
        <v>7300</v>
      </c>
      <c r="F24" s="63" t="s">
        <v>2677</v>
      </c>
      <c r="G24" s="63" t="s">
        <v>285</v>
      </c>
      <c r="H24" s="63" t="s">
        <v>175</v>
      </c>
      <c r="I24" s="63" t="s">
        <v>1277</v>
      </c>
      <c r="J24">
        <v>1</v>
      </c>
      <c r="K24">
        <v>60</v>
      </c>
      <c r="Y24" s="63" t="s">
        <v>518</v>
      </c>
      <c r="Z24" s="63" t="s">
        <v>1793</v>
      </c>
      <c r="AA24" s="63" t="s">
        <v>285</v>
      </c>
      <c r="AB24" s="63" t="s">
        <v>172</v>
      </c>
      <c r="AC24" s="63" t="s">
        <v>1171</v>
      </c>
      <c r="AD24">
        <v>1</v>
      </c>
      <c r="AE24">
        <v>6</v>
      </c>
      <c r="AP24">
        <v>7300</v>
      </c>
      <c r="AQ24" s="63" t="s">
        <v>1806</v>
      </c>
      <c r="AR24" s="63" t="s">
        <v>285</v>
      </c>
      <c r="AS24" s="63" t="s">
        <v>174</v>
      </c>
      <c r="AT24" s="63" t="s">
        <v>1372</v>
      </c>
      <c r="AU24">
        <v>1</v>
      </c>
      <c r="AV24">
        <v>60</v>
      </c>
    </row>
    <row r="25" spans="5:48">
      <c r="E25">
        <v>7300</v>
      </c>
      <c r="F25" s="63" t="s">
        <v>2679</v>
      </c>
      <c r="G25" s="63" t="s">
        <v>285</v>
      </c>
      <c r="H25" s="63" t="s">
        <v>175</v>
      </c>
      <c r="I25" s="63" t="s">
        <v>1215</v>
      </c>
      <c r="J25">
        <v>1</v>
      </c>
      <c r="K25">
        <v>24</v>
      </c>
      <c r="Y25" s="63" t="s">
        <v>518</v>
      </c>
      <c r="Z25" s="63" t="s">
        <v>1794</v>
      </c>
      <c r="AA25" s="63" t="s">
        <v>285</v>
      </c>
      <c r="AB25" s="63" t="s">
        <v>174</v>
      </c>
      <c r="AC25" s="63" t="s">
        <v>2104</v>
      </c>
      <c r="AD25">
        <v>1</v>
      </c>
      <c r="AE25">
        <v>15</v>
      </c>
      <c r="AP25">
        <v>7300</v>
      </c>
      <c r="AQ25" s="63" t="s">
        <v>2677</v>
      </c>
      <c r="AR25" s="63" t="s">
        <v>285</v>
      </c>
      <c r="AS25" s="63" t="s">
        <v>175</v>
      </c>
      <c r="AT25" s="63" t="s">
        <v>1996</v>
      </c>
      <c r="AU25">
        <v>1</v>
      </c>
      <c r="AV25">
        <v>26</v>
      </c>
    </row>
    <row r="26" spans="5:48">
      <c r="E26">
        <v>7300</v>
      </c>
      <c r="F26" s="63" t="s">
        <v>2680</v>
      </c>
      <c r="G26" s="63" t="s">
        <v>285</v>
      </c>
      <c r="H26" s="63" t="s">
        <v>175</v>
      </c>
      <c r="I26" s="63" t="s">
        <v>1504</v>
      </c>
      <c r="J26">
        <v>1</v>
      </c>
      <c r="K26">
        <v>11</v>
      </c>
      <c r="Y26" s="63" t="s">
        <v>518</v>
      </c>
      <c r="Z26" s="63" t="s">
        <v>1728</v>
      </c>
      <c r="AA26" s="63" t="s">
        <v>285</v>
      </c>
      <c r="AB26" s="63" t="s">
        <v>174</v>
      </c>
      <c r="AC26" s="63" t="s">
        <v>1453</v>
      </c>
      <c r="AD26">
        <v>1</v>
      </c>
      <c r="AE26">
        <v>27</v>
      </c>
      <c r="AP26">
        <v>7300</v>
      </c>
      <c r="AQ26" s="63" t="s">
        <v>2677</v>
      </c>
      <c r="AR26" s="63" t="s">
        <v>285</v>
      </c>
      <c r="AS26" s="63" t="s">
        <v>175</v>
      </c>
      <c r="AT26" s="63" t="s">
        <v>1277</v>
      </c>
      <c r="AU26">
        <v>1</v>
      </c>
      <c r="AV26">
        <v>60</v>
      </c>
    </row>
    <row r="27" spans="5:48">
      <c r="E27">
        <v>7300</v>
      </c>
      <c r="F27" s="63" t="s">
        <v>2681</v>
      </c>
      <c r="G27" s="63" t="s">
        <v>285</v>
      </c>
      <c r="H27" s="63" t="s">
        <v>175</v>
      </c>
      <c r="I27" s="63" t="s">
        <v>2037</v>
      </c>
      <c r="J27">
        <v>1</v>
      </c>
      <c r="K27">
        <v>30</v>
      </c>
      <c r="AP27">
        <v>7300</v>
      </c>
      <c r="AQ27" s="63" t="s">
        <v>2679</v>
      </c>
      <c r="AR27" s="63" t="s">
        <v>285</v>
      </c>
      <c r="AS27" s="63" t="s">
        <v>175</v>
      </c>
      <c r="AT27" s="63" t="s">
        <v>1215</v>
      </c>
      <c r="AU27">
        <v>1</v>
      </c>
      <c r="AV27">
        <v>24</v>
      </c>
    </row>
    <row r="28" spans="5:48">
      <c r="E28">
        <v>7300</v>
      </c>
      <c r="F28" s="63" t="s">
        <v>2683</v>
      </c>
      <c r="G28" s="63" t="s">
        <v>285</v>
      </c>
      <c r="H28" s="63" t="s">
        <v>203</v>
      </c>
      <c r="I28" s="63" t="s">
        <v>1843</v>
      </c>
      <c r="J28">
        <v>1</v>
      </c>
      <c r="K28">
        <v>51</v>
      </c>
      <c r="AP28">
        <v>7300</v>
      </c>
      <c r="AQ28" s="63" t="s">
        <v>2680</v>
      </c>
      <c r="AR28" s="63" t="s">
        <v>285</v>
      </c>
      <c r="AS28" s="63" t="s">
        <v>175</v>
      </c>
      <c r="AT28" s="63" t="s">
        <v>1504</v>
      </c>
      <c r="AU28">
        <v>1</v>
      </c>
      <c r="AV28">
        <v>11</v>
      </c>
    </row>
    <row r="29" spans="5:48">
      <c r="E29">
        <v>7300</v>
      </c>
      <c r="F29" s="63" t="s">
        <v>2683</v>
      </c>
      <c r="G29" s="63" t="s">
        <v>285</v>
      </c>
      <c r="H29" s="63" t="s">
        <v>175</v>
      </c>
      <c r="I29" s="63" t="s">
        <v>1975</v>
      </c>
      <c r="J29">
        <v>1</v>
      </c>
      <c r="K29">
        <v>45</v>
      </c>
      <c r="AP29">
        <v>7300</v>
      </c>
      <c r="AQ29" s="63" t="s">
        <v>2681</v>
      </c>
      <c r="AR29" s="63" t="s">
        <v>285</v>
      </c>
      <c r="AS29" s="63" t="s">
        <v>175</v>
      </c>
      <c r="AT29" s="63" t="s">
        <v>2037</v>
      </c>
      <c r="AU29">
        <v>1</v>
      </c>
      <c r="AV29">
        <v>30</v>
      </c>
    </row>
    <row r="30" spans="5:48">
      <c r="E30">
        <v>7300</v>
      </c>
      <c r="F30" s="63" t="s">
        <v>2684</v>
      </c>
      <c r="G30" s="63" t="s">
        <v>285</v>
      </c>
      <c r="H30" s="63" t="s">
        <v>173</v>
      </c>
      <c r="I30" s="63" t="s">
        <v>1077</v>
      </c>
      <c r="J30">
        <v>1</v>
      </c>
      <c r="K30">
        <v>2</v>
      </c>
      <c r="AP30">
        <v>7300</v>
      </c>
      <c r="AQ30" s="63" t="s">
        <v>2683</v>
      </c>
      <c r="AR30" s="63" t="s">
        <v>285</v>
      </c>
      <c r="AS30" s="63" t="s">
        <v>203</v>
      </c>
      <c r="AT30" s="63" t="s">
        <v>1843</v>
      </c>
      <c r="AU30">
        <v>1</v>
      </c>
      <c r="AV30">
        <v>51</v>
      </c>
    </row>
    <row r="31" spans="5:48">
      <c r="E31">
        <v>7300</v>
      </c>
      <c r="F31" s="63" t="s">
        <v>1725</v>
      </c>
      <c r="G31" s="63" t="s">
        <v>305</v>
      </c>
      <c r="H31" s="63" t="s">
        <v>175</v>
      </c>
      <c r="I31" s="63" t="s">
        <v>1261</v>
      </c>
      <c r="J31">
        <v>1</v>
      </c>
      <c r="K31">
        <v>4</v>
      </c>
      <c r="AP31">
        <v>7300</v>
      </c>
      <c r="AQ31" s="63" t="s">
        <v>2683</v>
      </c>
      <c r="AR31" s="63" t="s">
        <v>285</v>
      </c>
      <c r="AS31" s="63" t="s">
        <v>175</v>
      </c>
      <c r="AT31" s="63" t="s">
        <v>1975</v>
      </c>
      <c r="AU31">
        <v>1</v>
      </c>
      <c r="AV31">
        <v>45</v>
      </c>
    </row>
    <row r="32" spans="5:48">
      <c r="E32">
        <v>8300</v>
      </c>
      <c r="F32" s="63" t="s">
        <v>1177</v>
      </c>
      <c r="G32" s="63" t="s">
        <v>365</v>
      </c>
      <c r="H32" s="63" t="s">
        <v>203</v>
      </c>
      <c r="I32" s="63" t="s">
        <v>1222</v>
      </c>
      <c r="J32">
        <v>1</v>
      </c>
      <c r="K32">
        <v>1</v>
      </c>
      <c r="AP32">
        <v>7300</v>
      </c>
      <c r="AQ32" s="63" t="s">
        <v>2684</v>
      </c>
      <c r="AR32" s="63" t="s">
        <v>285</v>
      </c>
      <c r="AS32" s="63" t="s">
        <v>173</v>
      </c>
      <c r="AT32" s="63" t="s">
        <v>1077</v>
      </c>
      <c r="AU32">
        <v>1</v>
      </c>
      <c r="AV32">
        <v>2</v>
      </c>
    </row>
    <row r="33" spans="5:48">
      <c r="E33">
        <v>8300</v>
      </c>
      <c r="F33" s="63" t="s">
        <v>1725</v>
      </c>
      <c r="G33" s="63" t="s">
        <v>305</v>
      </c>
      <c r="H33" s="63" t="s">
        <v>172</v>
      </c>
      <c r="I33" s="63" t="s">
        <v>1603</v>
      </c>
      <c r="J33">
        <v>1</v>
      </c>
      <c r="K33">
        <v>51</v>
      </c>
      <c r="AP33">
        <v>7560</v>
      </c>
      <c r="AQ33" s="63" t="s">
        <v>2671</v>
      </c>
      <c r="AR33" s="63" t="s">
        <v>325</v>
      </c>
      <c r="AS33" s="63" t="s">
        <v>172</v>
      </c>
      <c r="AT33" s="63" t="s">
        <v>2690</v>
      </c>
      <c r="AU33">
        <v>1</v>
      </c>
      <c r="AV33">
        <v>60</v>
      </c>
    </row>
    <row r="34" spans="5:48">
      <c r="AP34">
        <v>7560</v>
      </c>
      <c r="AQ34" s="63" t="s">
        <v>2671</v>
      </c>
      <c r="AR34" s="63" t="s">
        <v>325</v>
      </c>
      <c r="AS34" s="63" t="s">
        <v>172</v>
      </c>
      <c r="AT34" s="63" t="s">
        <v>2041</v>
      </c>
      <c r="AU34">
        <v>1</v>
      </c>
      <c r="AV34">
        <v>60</v>
      </c>
    </row>
    <row r="35" spans="5:48">
      <c r="AP35">
        <v>7560</v>
      </c>
      <c r="AQ35" s="63" t="s">
        <v>2671</v>
      </c>
      <c r="AR35" s="63" t="s">
        <v>325</v>
      </c>
      <c r="AS35" s="63" t="s">
        <v>175</v>
      </c>
      <c r="AT35" s="63" t="s">
        <v>1125</v>
      </c>
      <c r="AU35">
        <v>1</v>
      </c>
      <c r="AV35">
        <v>60</v>
      </c>
    </row>
    <row r="36" spans="5:48">
      <c r="AP36">
        <v>7560</v>
      </c>
      <c r="AQ36" s="63" t="s">
        <v>2671</v>
      </c>
      <c r="AR36" s="63" t="s">
        <v>325</v>
      </c>
      <c r="AS36" s="63" t="s">
        <v>175</v>
      </c>
      <c r="AT36" s="63" t="s">
        <v>2029</v>
      </c>
      <c r="AU36">
        <v>1</v>
      </c>
      <c r="AV36">
        <v>3</v>
      </c>
    </row>
    <row r="37" spans="5:48">
      <c r="AP37">
        <v>7560</v>
      </c>
      <c r="AQ37" s="63" t="s">
        <v>2671</v>
      </c>
      <c r="AR37" s="63" t="s">
        <v>205</v>
      </c>
      <c r="AS37" s="63" t="s">
        <v>174</v>
      </c>
      <c r="AT37" s="63" t="s">
        <v>2691</v>
      </c>
      <c r="AU37">
        <v>1</v>
      </c>
      <c r="AV37">
        <v>3</v>
      </c>
    </row>
    <row r="38" spans="5:48">
      <c r="AP38">
        <v>9199</v>
      </c>
      <c r="AQ38" s="63" t="s">
        <v>958</v>
      </c>
      <c r="AR38" s="63" t="s">
        <v>301</v>
      </c>
      <c r="AS38" s="63" t="s">
        <v>177</v>
      </c>
      <c r="AT38" s="63" t="s">
        <v>1482</v>
      </c>
      <c r="AU38">
        <v>1</v>
      </c>
      <c r="AV38">
        <v>2</v>
      </c>
    </row>
    <row r="39" spans="5:48">
      <c r="AP39">
        <v>9199</v>
      </c>
      <c r="AQ39" s="63" t="s">
        <v>2734</v>
      </c>
      <c r="AR39" s="63" t="s">
        <v>301</v>
      </c>
      <c r="AS39" s="63" t="s">
        <v>177</v>
      </c>
      <c r="AT39" s="63" t="s">
        <v>2735</v>
      </c>
      <c r="AU39">
        <v>1</v>
      </c>
      <c r="AV39">
        <v>18</v>
      </c>
    </row>
    <row r="40" spans="5:48">
      <c r="AP40">
        <v>9199</v>
      </c>
      <c r="AQ40" s="63" t="s">
        <v>1868</v>
      </c>
      <c r="AR40" s="63" t="s">
        <v>301</v>
      </c>
      <c r="AS40" s="63" t="s">
        <v>177</v>
      </c>
      <c r="AT40" s="63" t="s">
        <v>1869</v>
      </c>
      <c r="AU40">
        <v>1</v>
      </c>
      <c r="AV40">
        <v>37</v>
      </c>
    </row>
    <row r="41" spans="5:48">
      <c r="AP41">
        <v>9500</v>
      </c>
      <c r="AQ41" s="63" t="s">
        <v>2749</v>
      </c>
      <c r="AR41" s="63" t="s">
        <v>285</v>
      </c>
      <c r="AS41" s="63" t="s">
        <v>172</v>
      </c>
      <c r="AT41" s="63" t="s">
        <v>1673</v>
      </c>
      <c r="AU41">
        <v>1</v>
      </c>
      <c r="AV41">
        <v>36</v>
      </c>
    </row>
    <row r="42" spans="5:48">
      <c r="AP42">
        <v>9500</v>
      </c>
      <c r="AQ42" s="63" t="s">
        <v>2750</v>
      </c>
      <c r="AR42" s="63" t="s">
        <v>285</v>
      </c>
      <c r="AS42" s="63" t="s">
        <v>254</v>
      </c>
      <c r="AT42" s="63" t="s">
        <v>1084</v>
      </c>
      <c r="AU42">
        <v>1</v>
      </c>
      <c r="AV42">
        <v>5</v>
      </c>
    </row>
    <row r="43" spans="5:48">
      <c r="AP43">
        <v>9500</v>
      </c>
      <c r="AQ43" s="63" t="s">
        <v>2752</v>
      </c>
      <c r="AR43" s="63" t="s">
        <v>285</v>
      </c>
      <c r="AS43" s="63" t="s">
        <v>172</v>
      </c>
      <c r="AT43" s="63" t="s">
        <v>2753</v>
      </c>
      <c r="AU43">
        <v>1</v>
      </c>
      <c r="AV43">
        <v>26</v>
      </c>
    </row>
    <row r="44" spans="5:48">
      <c r="AP44">
        <v>9580</v>
      </c>
      <c r="AQ44" s="63" t="s">
        <v>2066</v>
      </c>
      <c r="AR44" s="63" t="s">
        <v>285</v>
      </c>
      <c r="AS44" s="63" t="s">
        <v>172</v>
      </c>
      <c r="AT44" s="63" t="s">
        <v>1452</v>
      </c>
      <c r="AU44">
        <v>1</v>
      </c>
      <c r="AV44">
        <v>27</v>
      </c>
    </row>
    <row r="45" spans="5:48">
      <c r="AP45">
        <v>9580</v>
      </c>
      <c r="AQ45" s="63" t="s">
        <v>958</v>
      </c>
      <c r="AR45" s="63" t="s">
        <v>301</v>
      </c>
      <c r="AS45" s="63" t="s">
        <v>174</v>
      </c>
      <c r="AT45" s="63" t="s">
        <v>1818</v>
      </c>
      <c r="AU45">
        <v>1</v>
      </c>
      <c r="AV45">
        <v>5</v>
      </c>
    </row>
    <row r="46" spans="5:48">
      <c r="AP46">
        <v>9580</v>
      </c>
      <c r="AQ46" s="63" t="s">
        <v>437</v>
      </c>
      <c r="AR46" s="63" t="s">
        <v>285</v>
      </c>
      <c r="AS46" s="63" t="s">
        <v>203</v>
      </c>
      <c r="AT46" s="63" t="s">
        <v>1259</v>
      </c>
      <c r="AU46">
        <v>1</v>
      </c>
      <c r="AV46">
        <v>44</v>
      </c>
    </row>
    <row r="47" spans="5:48">
      <c r="AP47">
        <v>9580</v>
      </c>
      <c r="AQ47" s="63" t="s">
        <v>2786</v>
      </c>
      <c r="AR47" s="63" t="s">
        <v>285</v>
      </c>
      <c r="AS47" s="63" t="s">
        <v>172</v>
      </c>
      <c r="AT47" s="63" t="s">
        <v>2117</v>
      </c>
      <c r="AU47">
        <v>1</v>
      </c>
      <c r="AV47">
        <v>9</v>
      </c>
    </row>
    <row r="48" spans="5:48">
      <c r="AP48">
        <v>9580</v>
      </c>
      <c r="AQ48" s="63" t="s">
        <v>2787</v>
      </c>
      <c r="AR48" s="63" t="s">
        <v>325</v>
      </c>
      <c r="AS48" s="63" t="s">
        <v>254</v>
      </c>
      <c r="AT48" s="63" t="s">
        <v>2788</v>
      </c>
      <c r="AU48">
        <v>1</v>
      </c>
      <c r="AV48">
        <v>8</v>
      </c>
    </row>
    <row r="49" spans="42:48">
      <c r="AP49">
        <v>9580</v>
      </c>
      <c r="AQ49" s="63" t="s">
        <v>1871</v>
      </c>
      <c r="AR49" s="63" t="s">
        <v>285</v>
      </c>
      <c r="AS49" s="63" t="s">
        <v>172</v>
      </c>
      <c r="AT49" s="63" t="s">
        <v>1537</v>
      </c>
      <c r="AU49">
        <v>1</v>
      </c>
      <c r="AV49">
        <v>14</v>
      </c>
    </row>
    <row r="50" spans="42:48">
      <c r="AP50">
        <v>9580</v>
      </c>
      <c r="AQ50" s="63" t="s">
        <v>2677</v>
      </c>
      <c r="AR50" s="63" t="s">
        <v>285</v>
      </c>
      <c r="AS50" s="63" t="s">
        <v>177</v>
      </c>
      <c r="AT50" s="63" t="s">
        <v>1366</v>
      </c>
      <c r="AU50">
        <v>1</v>
      </c>
      <c r="AV50">
        <v>30</v>
      </c>
    </row>
    <row r="51" spans="42:48">
      <c r="AP51">
        <v>9580</v>
      </c>
      <c r="AQ51" s="63" t="s">
        <v>1736</v>
      </c>
      <c r="AR51" s="63" t="s">
        <v>301</v>
      </c>
      <c r="AS51" s="63" t="s">
        <v>174</v>
      </c>
      <c r="AT51" s="63" t="s">
        <v>2132</v>
      </c>
      <c r="AU51">
        <v>1</v>
      </c>
      <c r="AV51">
        <v>30</v>
      </c>
    </row>
    <row r="52" spans="42:48">
      <c r="AP52">
        <v>9580</v>
      </c>
      <c r="AQ52" s="63" t="s">
        <v>834</v>
      </c>
      <c r="AR52" s="63" t="s">
        <v>285</v>
      </c>
      <c r="AS52" s="63" t="s">
        <v>185</v>
      </c>
      <c r="AT52" s="63" t="s">
        <v>1543</v>
      </c>
      <c r="AU52">
        <v>1</v>
      </c>
      <c r="AV52">
        <v>60</v>
      </c>
    </row>
    <row r="53" spans="42:48">
      <c r="AP53">
        <v>9580</v>
      </c>
      <c r="AQ53" s="63" t="s">
        <v>834</v>
      </c>
      <c r="AR53" s="63" t="s">
        <v>285</v>
      </c>
      <c r="AS53" s="63" t="s">
        <v>172</v>
      </c>
      <c r="AT53" s="63" t="s">
        <v>1400</v>
      </c>
      <c r="AU53">
        <v>1</v>
      </c>
      <c r="AV53">
        <v>20</v>
      </c>
    </row>
    <row r="54" spans="42:48">
      <c r="AP54">
        <v>9580</v>
      </c>
      <c r="AQ54" s="63" t="s">
        <v>1823</v>
      </c>
      <c r="AR54" s="63" t="s">
        <v>285</v>
      </c>
      <c r="AS54" s="63" t="s">
        <v>203</v>
      </c>
      <c r="AT54" s="63" t="s">
        <v>379</v>
      </c>
      <c r="AU54">
        <v>1</v>
      </c>
      <c r="AV54">
        <v>9</v>
      </c>
    </row>
    <row r="55" spans="42:48">
      <c r="AP55">
        <v>9920</v>
      </c>
      <c r="AQ55" s="63" t="s">
        <v>2817</v>
      </c>
      <c r="AR55" s="63" t="s">
        <v>325</v>
      </c>
      <c r="AS55" s="63" t="s">
        <v>459</v>
      </c>
      <c r="AT55" s="63" t="s">
        <v>1230</v>
      </c>
      <c r="AU55">
        <v>1</v>
      </c>
      <c r="AV55">
        <v>37</v>
      </c>
    </row>
    <row r="56" spans="42:48">
      <c r="AP56">
        <v>9920</v>
      </c>
      <c r="AQ56" s="63" t="s">
        <v>699</v>
      </c>
      <c r="AR56" s="63" t="s">
        <v>325</v>
      </c>
      <c r="AS56" s="63" t="s">
        <v>459</v>
      </c>
      <c r="AT56" s="63" t="s">
        <v>1572</v>
      </c>
      <c r="AU56">
        <v>1</v>
      </c>
      <c r="AV56">
        <v>23</v>
      </c>
    </row>
    <row r="57" spans="42:48">
      <c r="AP57">
        <v>9920</v>
      </c>
      <c r="AQ57" s="63" t="s">
        <v>700</v>
      </c>
      <c r="AR57" s="63" t="s">
        <v>325</v>
      </c>
      <c r="AS57" s="63" t="s">
        <v>311</v>
      </c>
      <c r="AT57" s="63" t="s">
        <v>1302</v>
      </c>
      <c r="AU57">
        <v>1</v>
      </c>
      <c r="AV57">
        <v>9</v>
      </c>
    </row>
    <row r="58" spans="42:48">
      <c r="AP58">
        <v>9920</v>
      </c>
      <c r="AQ58" s="63" t="s">
        <v>845</v>
      </c>
      <c r="AR58" s="63" t="s">
        <v>325</v>
      </c>
      <c r="AS58" s="63" t="s">
        <v>508</v>
      </c>
      <c r="AT58" s="63" t="s">
        <v>1866</v>
      </c>
      <c r="AU58">
        <v>1</v>
      </c>
      <c r="AV58">
        <v>18</v>
      </c>
    </row>
    <row r="59" spans="42:48">
      <c r="AP59">
        <v>9920</v>
      </c>
      <c r="AQ59" s="63" t="s">
        <v>1822</v>
      </c>
      <c r="AR59" s="63" t="s">
        <v>325</v>
      </c>
      <c r="AS59" s="63" t="s">
        <v>311</v>
      </c>
      <c r="AT59" s="63" t="s">
        <v>2821</v>
      </c>
      <c r="AU59">
        <v>1</v>
      </c>
      <c r="AV59">
        <v>6</v>
      </c>
    </row>
    <row r="60" spans="42:48">
      <c r="AP60">
        <v>9920</v>
      </c>
      <c r="AQ60" s="63" t="s">
        <v>1822</v>
      </c>
      <c r="AR60" s="63" t="s">
        <v>325</v>
      </c>
      <c r="AS60" s="63" t="s">
        <v>504</v>
      </c>
      <c r="AT60" s="63" t="s">
        <v>1571</v>
      </c>
      <c r="AU60">
        <v>1</v>
      </c>
      <c r="AV60">
        <v>30</v>
      </c>
    </row>
    <row r="61" spans="42:48">
      <c r="AP61">
        <v>9920</v>
      </c>
      <c r="AQ61" s="63" t="s">
        <v>2752</v>
      </c>
      <c r="AR61" s="63" t="s">
        <v>325</v>
      </c>
      <c r="AS61" s="63" t="s">
        <v>459</v>
      </c>
      <c r="AT61" s="63" t="s">
        <v>1221</v>
      </c>
      <c r="AU61">
        <v>1</v>
      </c>
      <c r="AV61">
        <v>1</v>
      </c>
    </row>
    <row r="62" spans="42:48">
      <c r="AP62">
        <v>9994</v>
      </c>
      <c r="AQ62" s="63" t="s">
        <v>1080</v>
      </c>
      <c r="AR62" s="63" t="s">
        <v>285</v>
      </c>
      <c r="AS62" s="63" t="s">
        <v>459</v>
      </c>
      <c r="AT62" s="63" t="s">
        <v>2825</v>
      </c>
      <c r="AU62">
        <v>1</v>
      </c>
      <c r="AV62">
        <v>60</v>
      </c>
    </row>
    <row r="63" spans="42:48">
      <c r="AP63">
        <v>9999</v>
      </c>
      <c r="AQ63" s="63" t="s">
        <v>958</v>
      </c>
      <c r="AR63" s="63" t="s">
        <v>301</v>
      </c>
      <c r="AS63" s="63" t="s">
        <v>254</v>
      </c>
      <c r="AT63" s="63" t="s">
        <v>2826</v>
      </c>
      <c r="AU63">
        <v>1</v>
      </c>
      <c r="AV63">
        <v>24</v>
      </c>
    </row>
    <row r="64" spans="42:48">
      <c r="AP64" s="63" t="s">
        <v>518</v>
      </c>
      <c r="AQ64" s="63" t="s">
        <v>1855</v>
      </c>
      <c r="AR64" s="63" t="s">
        <v>285</v>
      </c>
      <c r="AS64" s="63" t="s">
        <v>174</v>
      </c>
      <c r="AT64" s="63" t="s">
        <v>2033</v>
      </c>
      <c r="AU64">
        <v>1</v>
      </c>
      <c r="AV64">
        <v>29</v>
      </c>
    </row>
    <row r="65" spans="42:48">
      <c r="AP65" s="63" t="s">
        <v>518</v>
      </c>
      <c r="AQ65" s="63" t="s">
        <v>904</v>
      </c>
      <c r="AR65" s="63" t="s">
        <v>301</v>
      </c>
      <c r="AS65" s="63" t="s">
        <v>254</v>
      </c>
      <c r="AT65" s="63" t="s">
        <v>1089</v>
      </c>
      <c r="AU65">
        <v>1</v>
      </c>
      <c r="AV65">
        <v>58</v>
      </c>
    </row>
    <row r="66" spans="42:48">
      <c r="AP66" s="63" t="s">
        <v>518</v>
      </c>
      <c r="AQ66" s="63" t="s">
        <v>612</v>
      </c>
      <c r="AR66" s="63" t="s">
        <v>285</v>
      </c>
      <c r="AS66" s="63" t="s">
        <v>311</v>
      </c>
      <c r="AT66" s="63" t="s">
        <v>1995</v>
      </c>
      <c r="AU66">
        <v>1</v>
      </c>
      <c r="AV66">
        <v>11</v>
      </c>
    </row>
    <row r="67" spans="42:48">
      <c r="AP67" s="63" t="s">
        <v>518</v>
      </c>
      <c r="AQ67" s="63" t="s">
        <v>1017</v>
      </c>
      <c r="AR67" s="63" t="s">
        <v>285</v>
      </c>
      <c r="AS67" s="63" t="s">
        <v>175</v>
      </c>
      <c r="AT67" s="63" t="s">
        <v>1082</v>
      </c>
      <c r="AU67">
        <v>1</v>
      </c>
      <c r="AV67">
        <v>45</v>
      </c>
    </row>
    <row r="68" spans="42:48">
      <c r="AP68" s="63" t="s">
        <v>518</v>
      </c>
      <c r="AQ68" s="63" t="s">
        <v>893</v>
      </c>
      <c r="AR68" s="63" t="s">
        <v>285</v>
      </c>
      <c r="AS68" s="63" t="s">
        <v>175</v>
      </c>
      <c r="AT68" s="63" t="s">
        <v>922</v>
      </c>
      <c r="AU68">
        <v>1</v>
      </c>
      <c r="AV68">
        <v>35</v>
      </c>
    </row>
    <row r="69" spans="42:48">
      <c r="AP69" s="63" t="s">
        <v>518</v>
      </c>
      <c r="AQ69" s="63" t="s">
        <v>923</v>
      </c>
      <c r="AR69" s="63" t="s">
        <v>285</v>
      </c>
      <c r="AS69" s="63" t="s">
        <v>172</v>
      </c>
      <c r="AT69" s="63" t="s">
        <v>967</v>
      </c>
      <c r="AU69">
        <v>1</v>
      </c>
      <c r="AV69">
        <v>3</v>
      </c>
    </row>
    <row r="70" spans="42:48">
      <c r="AP70" s="63" t="s">
        <v>518</v>
      </c>
      <c r="AQ70" s="63" t="s">
        <v>1020</v>
      </c>
      <c r="AR70" s="63" t="s">
        <v>285</v>
      </c>
      <c r="AS70" s="63" t="s">
        <v>172</v>
      </c>
      <c r="AT70" s="63" t="s">
        <v>1172</v>
      </c>
      <c r="AU70">
        <v>1</v>
      </c>
      <c r="AV70">
        <v>60</v>
      </c>
    </row>
    <row r="71" spans="42:48">
      <c r="AP71" s="63" t="s">
        <v>518</v>
      </c>
      <c r="AQ71" s="63" t="s">
        <v>1020</v>
      </c>
      <c r="AR71" s="63" t="s">
        <v>285</v>
      </c>
      <c r="AS71" s="63" t="s">
        <v>172</v>
      </c>
      <c r="AT71" s="63" t="s">
        <v>1143</v>
      </c>
      <c r="AU71">
        <v>1</v>
      </c>
      <c r="AV71">
        <v>4</v>
      </c>
    </row>
    <row r="72" spans="42:48">
      <c r="AP72" s="63" t="s">
        <v>518</v>
      </c>
      <c r="AQ72" s="63" t="s">
        <v>1734</v>
      </c>
      <c r="AR72" s="63" t="s">
        <v>285</v>
      </c>
      <c r="AS72" s="63" t="s">
        <v>174</v>
      </c>
      <c r="AT72" s="63" t="s">
        <v>1234</v>
      </c>
      <c r="AU72">
        <v>1</v>
      </c>
      <c r="AV72">
        <v>22</v>
      </c>
    </row>
    <row r="73" spans="42:48">
      <c r="AP73" s="63" t="s">
        <v>518</v>
      </c>
      <c r="AQ73" s="63" t="s">
        <v>1097</v>
      </c>
      <c r="AR73" s="63" t="s">
        <v>285</v>
      </c>
      <c r="AS73" s="63" t="s">
        <v>174</v>
      </c>
      <c r="AT73" s="63" t="s">
        <v>751</v>
      </c>
      <c r="AU73">
        <v>1</v>
      </c>
      <c r="AV73">
        <v>35</v>
      </c>
    </row>
    <row r="74" spans="42:48">
      <c r="AP74" s="63" t="s">
        <v>518</v>
      </c>
      <c r="AQ74" s="63" t="s">
        <v>1008</v>
      </c>
      <c r="AR74" s="63" t="s">
        <v>285</v>
      </c>
      <c r="AS74" s="63" t="s">
        <v>172</v>
      </c>
      <c r="AT74" s="63" t="s">
        <v>1257</v>
      </c>
      <c r="AU74">
        <v>1</v>
      </c>
      <c r="AV74">
        <v>25</v>
      </c>
    </row>
    <row r="75" spans="42:48">
      <c r="AP75" s="63" t="s">
        <v>518</v>
      </c>
      <c r="AQ75" s="63" t="s">
        <v>1049</v>
      </c>
      <c r="AR75" s="63" t="s">
        <v>285</v>
      </c>
      <c r="AS75" s="63" t="s">
        <v>173</v>
      </c>
      <c r="AT75" s="63" t="s">
        <v>1145</v>
      </c>
      <c r="AU75">
        <v>1</v>
      </c>
      <c r="AV75">
        <v>1</v>
      </c>
    </row>
    <row r="76" spans="42:48">
      <c r="AP76" s="63" t="s">
        <v>518</v>
      </c>
      <c r="AQ76" s="63" t="s">
        <v>1132</v>
      </c>
      <c r="AR76" s="63" t="s">
        <v>285</v>
      </c>
      <c r="AS76" s="63" t="s">
        <v>172</v>
      </c>
      <c r="AT76" s="63" t="s">
        <v>1191</v>
      </c>
      <c r="AU76">
        <v>1</v>
      </c>
      <c r="AV76">
        <v>18</v>
      </c>
    </row>
    <row r="77" spans="42:48">
      <c r="AP77" s="63" t="s">
        <v>518</v>
      </c>
      <c r="AQ77" s="63" t="s">
        <v>541</v>
      </c>
      <c r="AR77" s="63" t="s">
        <v>285</v>
      </c>
      <c r="AS77" s="63" t="s">
        <v>174</v>
      </c>
      <c r="AT77" s="63" t="s">
        <v>1331</v>
      </c>
      <c r="AU77">
        <v>1</v>
      </c>
      <c r="AV77">
        <v>32</v>
      </c>
    </row>
    <row r="78" spans="42:48">
      <c r="AP78" s="63" t="s">
        <v>518</v>
      </c>
      <c r="AQ78" s="63" t="s">
        <v>700</v>
      </c>
      <c r="AR78" s="63" t="s">
        <v>285</v>
      </c>
      <c r="AS78" s="63" t="s">
        <v>172</v>
      </c>
      <c r="AT78" s="63" t="s">
        <v>1963</v>
      </c>
      <c r="AU78">
        <v>1</v>
      </c>
      <c r="AV78">
        <v>60</v>
      </c>
    </row>
    <row r="79" spans="42:48">
      <c r="AP79" s="63" t="s">
        <v>518</v>
      </c>
      <c r="AQ79" s="63" t="s">
        <v>2830</v>
      </c>
      <c r="AR79" s="63" t="s">
        <v>285</v>
      </c>
      <c r="AS79" s="63" t="s">
        <v>172</v>
      </c>
      <c r="AT79" s="63" t="s">
        <v>1025</v>
      </c>
      <c r="AU79">
        <v>1</v>
      </c>
      <c r="AV79">
        <v>23</v>
      </c>
    </row>
    <row r="80" spans="42:48">
      <c r="AP80" s="63" t="s">
        <v>518</v>
      </c>
      <c r="AQ80" s="63" t="s">
        <v>576</v>
      </c>
      <c r="AR80" s="63" t="s">
        <v>285</v>
      </c>
      <c r="AS80" s="63" t="s">
        <v>174</v>
      </c>
      <c r="AT80" s="63" t="s">
        <v>536</v>
      </c>
      <c r="AU80">
        <v>1</v>
      </c>
      <c r="AV80">
        <v>45</v>
      </c>
    </row>
    <row r="81" spans="42:48">
      <c r="AP81" s="63" t="s">
        <v>518</v>
      </c>
      <c r="AQ81" s="63" t="s">
        <v>1792</v>
      </c>
      <c r="AR81" s="63" t="s">
        <v>285</v>
      </c>
      <c r="AS81" s="63" t="s">
        <v>172</v>
      </c>
      <c r="AT81" s="63" t="s">
        <v>1314</v>
      </c>
      <c r="AU81">
        <v>1</v>
      </c>
      <c r="AV81">
        <v>6</v>
      </c>
    </row>
    <row r="82" spans="42:48">
      <c r="AP82" s="63" t="s">
        <v>518</v>
      </c>
      <c r="AQ82" s="63" t="s">
        <v>1793</v>
      </c>
      <c r="AR82" s="63" t="s">
        <v>285</v>
      </c>
      <c r="AS82" s="63" t="s">
        <v>172</v>
      </c>
      <c r="AT82" s="63" t="s">
        <v>1171</v>
      </c>
      <c r="AU82">
        <v>1</v>
      </c>
      <c r="AV82">
        <v>6</v>
      </c>
    </row>
    <row r="83" spans="42:48">
      <c r="AP83" s="63" t="s">
        <v>518</v>
      </c>
      <c r="AQ83" s="63" t="s">
        <v>1794</v>
      </c>
      <c r="AR83" s="63" t="s">
        <v>285</v>
      </c>
      <c r="AS83" s="63" t="s">
        <v>174</v>
      </c>
      <c r="AT83" s="63" t="s">
        <v>2104</v>
      </c>
      <c r="AU83">
        <v>1</v>
      </c>
      <c r="AV83">
        <v>15</v>
      </c>
    </row>
    <row r="84" spans="42:48">
      <c r="AP84" s="63" t="s">
        <v>518</v>
      </c>
      <c r="AQ84" s="63" t="s">
        <v>1728</v>
      </c>
      <c r="AR84" s="63" t="s">
        <v>285</v>
      </c>
      <c r="AS84" s="63" t="s">
        <v>174</v>
      </c>
      <c r="AT84" s="63" t="s">
        <v>1453</v>
      </c>
      <c r="AU84">
        <v>1</v>
      </c>
      <c r="AV84">
        <v>27</v>
      </c>
    </row>
  </sheetData>
  <mergeCells count="9">
    <mergeCell ref="A1:B2"/>
    <mergeCell ref="E1:E2"/>
    <mergeCell ref="O1:O2"/>
    <mergeCell ref="AP1:AP2"/>
    <mergeCell ref="AZ1:AZ2"/>
    <mergeCell ref="Y1:Y2"/>
    <mergeCell ref="F1:G2"/>
    <mergeCell ref="P1:Q2"/>
    <mergeCell ref="Z1:AA2"/>
  </mergeCells>
  <phoneticPr fontId="1" type="noConversion"/>
  <hyperlinks>
    <hyperlink ref="A1:A2" location="看板!A1" display="回看板"/>
    <hyperlink ref="F1:F2" location="看板!A1" display="回看板"/>
    <hyperlink ref="P1:P2" location="看板!A1" display="回看板"/>
    <hyperlink ref="Z1:Z2" location="看板!A1" display="回看板"/>
  </hyperlink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sheetPr codeName="Sheet6"/>
  <dimension ref="A1:BL23"/>
  <sheetViews>
    <sheetView topLeftCell="AT1" workbookViewId="0">
      <selection activeCell="BG15" sqref="BG15:BL500"/>
    </sheetView>
  </sheetViews>
  <sheetFormatPr defaultRowHeight="16.5"/>
  <cols>
    <col min="1" max="1" width="16.125" bestFit="1" customWidth="1"/>
    <col min="3" max="3" width="19.125" bestFit="1" customWidth="1"/>
    <col min="5" max="5" width="17.625" customWidth="1"/>
    <col min="6" max="6" width="16.5" bestFit="1" customWidth="1"/>
    <col min="7" max="7" width="29.125" bestFit="1" customWidth="1"/>
    <col min="8" max="8" width="13.875" bestFit="1" customWidth="1"/>
    <col min="9" max="9" width="11.625" bestFit="1" customWidth="1"/>
    <col min="10" max="10" width="19.125" bestFit="1" customWidth="1"/>
    <col min="14" max="14" width="16.125" bestFit="1" customWidth="1"/>
    <col min="15" max="15" width="7.5" bestFit="1" customWidth="1"/>
    <col min="16" max="16" width="19.125" bestFit="1" customWidth="1"/>
    <col min="17" max="17" width="7.5" bestFit="1" customWidth="1"/>
    <col min="18" max="18" width="7.375" bestFit="1" customWidth="1"/>
    <col min="20" max="20" width="13.625" bestFit="1" customWidth="1"/>
    <col min="26" max="26" width="16.625" bestFit="1" customWidth="1"/>
    <col min="28" max="28" width="17.625" customWidth="1"/>
    <col min="38" max="38" width="11.625" bestFit="1" customWidth="1"/>
    <col min="45" max="45" width="33.125" bestFit="1" customWidth="1"/>
    <col min="52" max="52" width="12.625" bestFit="1" customWidth="1"/>
    <col min="53" max="53" width="10.625" bestFit="1" customWidth="1"/>
    <col min="59" max="59" width="9.25" bestFit="1" customWidth="1"/>
  </cols>
  <sheetData>
    <row r="1" spans="1:64" ht="32.25">
      <c r="A1" s="289" t="s">
        <v>82</v>
      </c>
      <c r="B1" s="289"/>
    </row>
    <row r="2" spans="1:64">
      <c r="A2" s="23"/>
      <c r="B2" s="23"/>
      <c r="C2" s="23"/>
      <c r="D2" s="23"/>
      <c r="E2" s="23"/>
      <c r="F2" s="23"/>
    </row>
    <row r="3" spans="1:64">
      <c r="A3" s="28" t="s">
        <v>58</v>
      </c>
      <c r="B3" s="28" t="s">
        <v>60</v>
      </c>
      <c r="C3" s="70" t="s">
        <v>61</v>
      </c>
      <c r="D3" s="23"/>
      <c r="F3" s="23"/>
      <c r="G3" s="136" t="s">
        <v>58</v>
      </c>
      <c r="H3" s="136" t="s">
        <v>60</v>
      </c>
      <c r="I3" s="136" t="s">
        <v>61</v>
      </c>
    </row>
    <row r="4" spans="1:64">
      <c r="A4" s="69" t="s">
        <v>63</v>
      </c>
      <c r="B4" s="28">
        <v>750</v>
      </c>
      <c r="C4" s="70">
        <v>14</v>
      </c>
      <c r="D4" s="37" t="s">
        <v>83</v>
      </c>
      <c r="G4" s="137" t="s">
        <v>635</v>
      </c>
      <c r="H4" s="4">
        <v>-58</v>
      </c>
      <c r="I4" s="4">
        <v>-1</v>
      </c>
    </row>
    <row r="5" spans="1:64">
      <c r="A5" s="69" t="s">
        <v>684</v>
      </c>
      <c r="B5" s="28">
        <v>387</v>
      </c>
      <c r="C5" s="70">
        <v>10</v>
      </c>
      <c r="D5" s="38" t="s">
        <v>631</v>
      </c>
      <c r="F5" s="32"/>
      <c r="G5" s="45"/>
      <c r="H5" s="45"/>
      <c r="I5" s="45"/>
      <c r="J5" s="2"/>
      <c r="K5" s="2"/>
    </row>
    <row r="6" spans="1:64">
      <c r="A6" s="69" t="s">
        <v>685</v>
      </c>
      <c r="B6" s="28">
        <v>359</v>
      </c>
      <c r="C6" s="70">
        <v>6</v>
      </c>
      <c r="D6" s="38" t="s">
        <v>632</v>
      </c>
      <c r="F6" s="22"/>
    </row>
    <row r="7" spans="1:64">
      <c r="A7" s="69" t="s">
        <v>686</v>
      </c>
      <c r="B7" s="28">
        <v>240</v>
      </c>
      <c r="C7" s="70">
        <v>4</v>
      </c>
      <c r="D7" s="38" t="s">
        <v>84</v>
      </c>
      <c r="F7" s="22"/>
    </row>
    <row r="8" spans="1:64">
      <c r="A8" s="69" t="s">
        <v>57</v>
      </c>
      <c r="B8" s="28">
        <v>0</v>
      </c>
      <c r="C8" s="70">
        <v>0</v>
      </c>
      <c r="D8" s="135" t="s">
        <v>633</v>
      </c>
      <c r="F8" s="63"/>
    </row>
    <row r="9" spans="1:64">
      <c r="A9" s="69" t="s">
        <v>65</v>
      </c>
      <c r="B9" s="28">
        <v>0</v>
      </c>
      <c r="C9" s="70">
        <v>0</v>
      </c>
      <c r="D9" s="39" t="s">
        <v>634</v>
      </c>
      <c r="G9" s="2"/>
      <c r="H9" s="2"/>
      <c r="I9" s="2"/>
      <c r="J9" s="2"/>
      <c r="K9" s="2"/>
    </row>
    <row r="10" spans="1:64" ht="33.75" thickBot="1">
      <c r="A10" s="129" t="s">
        <v>594</v>
      </c>
      <c r="B10" s="127">
        <v>0</v>
      </c>
      <c r="C10" s="127">
        <v>0</v>
      </c>
      <c r="D10" s="29"/>
      <c r="E10" s="29"/>
      <c r="F10" s="23"/>
    </row>
    <row r="11" spans="1:64" s="7" customFormat="1" ht="17.25" thickBot="1">
      <c r="A11" s="126" t="s">
        <v>63</v>
      </c>
      <c r="B11" s="78"/>
      <c r="C11" s="78"/>
      <c r="D11" s="78"/>
      <c r="E11" s="78"/>
      <c r="G11" s="81" t="s">
        <v>56</v>
      </c>
      <c r="N11" s="81" t="s">
        <v>54</v>
      </c>
      <c r="O11" s="78"/>
      <c r="P11" s="78"/>
      <c r="Q11" s="78"/>
      <c r="R11" s="78"/>
      <c r="T11" s="81" t="s">
        <v>55</v>
      </c>
      <c r="U11" s="78"/>
      <c r="V11" s="78"/>
      <c r="W11" s="78"/>
      <c r="X11" s="78"/>
      <c r="Z11" s="82" t="s">
        <v>149</v>
      </c>
      <c r="AA11" s="80"/>
      <c r="AF11" s="83">
        <v>5802</v>
      </c>
      <c r="AL11" s="84" t="s">
        <v>65</v>
      </c>
      <c r="AS11" s="82" t="s">
        <v>595</v>
      </c>
      <c r="AZ11" s="82" t="s">
        <v>635</v>
      </c>
      <c r="BA11" s="82" t="s">
        <v>636</v>
      </c>
      <c r="BG11" s="82" t="s">
        <v>637</v>
      </c>
    </row>
    <row r="12" spans="1:64">
      <c r="A12" s="7" t="s">
        <v>671</v>
      </c>
      <c r="B12" s="7" t="s">
        <v>672</v>
      </c>
      <c r="C12" s="7" t="s">
        <v>673</v>
      </c>
      <c r="D12" s="7" t="s">
        <v>674</v>
      </c>
      <c r="E12" s="7" t="s">
        <v>675</v>
      </c>
      <c r="F12" s="7"/>
      <c r="G12" s="7" t="s">
        <v>87</v>
      </c>
      <c r="H12" s="7" t="s">
        <v>77</v>
      </c>
      <c r="I12" s="7" t="s">
        <v>78</v>
      </c>
      <c r="J12" s="7" t="s">
        <v>85</v>
      </c>
      <c r="K12" s="7" t="s">
        <v>75</v>
      </c>
      <c r="L12" s="7" t="s">
        <v>86</v>
      </c>
      <c r="M12" s="7"/>
      <c r="N12" s="7" t="s">
        <v>87</v>
      </c>
      <c r="O12" s="7" t="s">
        <v>77</v>
      </c>
      <c r="P12" s="7" t="s">
        <v>85</v>
      </c>
      <c r="Q12" s="7" t="s">
        <v>75</v>
      </c>
      <c r="R12" s="7" t="s">
        <v>86</v>
      </c>
      <c r="S12" s="7"/>
      <c r="T12" s="7" t="s">
        <v>153</v>
      </c>
      <c r="U12" s="7" t="s">
        <v>154</v>
      </c>
      <c r="V12" s="7" t="s">
        <v>155</v>
      </c>
      <c r="W12" s="7" t="s">
        <v>156</v>
      </c>
      <c r="X12" s="7" t="s">
        <v>157</v>
      </c>
      <c r="Y12" s="7"/>
      <c r="Z12" s="7" t="s">
        <v>153</v>
      </c>
      <c r="AA12" s="7" t="s">
        <v>2166</v>
      </c>
      <c r="AB12" s="7" t="s">
        <v>2167</v>
      </c>
      <c r="AC12" s="7" t="s">
        <v>2168</v>
      </c>
      <c r="AD12" s="7" t="s">
        <v>2169</v>
      </c>
      <c r="AE12" s="7"/>
      <c r="AF12" s="7" t="s">
        <v>153</v>
      </c>
      <c r="AG12" s="7" t="s">
        <v>154</v>
      </c>
      <c r="AH12" s="7" t="s">
        <v>155</v>
      </c>
      <c r="AI12" s="7" t="s">
        <v>156</v>
      </c>
      <c r="AJ12" s="7" t="s">
        <v>157</v>
      </c>
      <c r="AK12" s="7"/>
      <c r="AL12" s="7" t="s">
        <v>2050</v>
      </c>
      <c r="AM12" s="7" t="s">
        <v>676</v>
      </c>
      <c r="AN12" s="7" t="s">
        <v>680</v>
      </c>
      <c r="AO12" s="7" t="s">
        <v>677</v>
      </c>
      <c r="AP12" s="7" t="s">
        <v>678</v>
      </c>
      <c r="AQ12" s="7" t="s">
        <v>679</v>
      </c>
      <c r="AS12" s="7" t="s">
        <v>153</v>
      </c>
      <c r="AT12" s="7" t="s">
        <v>154</v>
      </c>
      <c r="AU12" s="7" t="s">
        <v>161</v>
      </c>
      <c r="AV12" s="7" t="s">
        <v>155</v>
      </c>
      <c r="AW12" s="7" t="s">
        <v>156</v>
      </c>
      <c r="AX12" s="7" t="s">
        <v>157</v>
      </c>
      <c r="AZ12" s="7" t="s">
        <v>153</v>
      </c>
      <c r="BA12" s="7" t="s">
        <v>154</v>
      </c>
      <c r="BB12" s="7" t="s">
        <v>161</v>
      </c>
      <c r="BC12" s="7" t="s">
        <v>155</v>
      </c>
      <c r="BD12" s="7" t="s">
        <v>156</v>
      </c>
      <c r="BE12" s="7" t="s">
        <v>157</v>
      </c>
      <c r="BG12" s="7" t="s">
        <v>153</v>
      </c>
      <c r="BH12" s="7" t="s">
        <v>154</v>
      </c>
      <c r="BI12" s="7" t="s">
        <v>161</v>
      </c>
      <c r="BJ12" s="7" t="s">
        <v>155</v>
      </c>
      <c r="BK12" s="7" t="s">
        <v>156</v>
      </c>
      <c r="BL12" s="7" t="s">
        <v>157</v>
      </c>
    </row>
    <row r="13" spans="1:64">
      <c r="A13" s="63" t="s">
        <v>911</v>
      </c>
      <c r="B13" s="63" t="s">
        <v>2149</v>
      </c>
      <c r="C13" s="63" t="s">
        <v>2150</v>
      </c>
      <c r="D13">
        <v>90</v>
      </c>
      <c r="E13">
        <v>90</v>
      </c>
      <c r="G13" s="63" t="s">
        <v>204</v>
      </c>
      <c r="H13" s="63" t="s">
        <v>2180</v>
      </c>
      <c r="I13" s="63" t="s">
        <v>59</v>
      </c>
      <c r="J13" s="63" t="s">
        <v>2181</v>
      </c>
      <c r="K13">
        <v>48</v>
      </c>
      <c r="L13">
        <v>266</v>
      </c>
      <c r="N13" s="63" t="s">
        <v>330</v>
      </c>
      <c r="O13" s="63" t="s">
        <v>2170</v>
      </c>
      <c r="P13" s="63" t="s">
        <v>2171</v>
      </c>
      <c r="Q13">
        <v>60</v>
      </c>
      <c r="R13">
        <v>60</v>
      </c>
      <c r="T13" s="63" t="s">
        <v>2258</v>
      </c>
      <c r="U13" s="63" t="s">
        <v>2259</v>
      </c>
      <c r="V13" s="63" t="s">
        <v>2260</v>
      </c>
      <c r="W13">
        <v>60</v>
      </c>
      <c r="X13">
        <v>1080</v>
      </c>
      <c r="Z13" s="63" t="s">
        <v>76</v>
      </c>
      <c r="AF13" s="63" t="s">
        <v>2050</v>
      </c>
      <c r="AI13">
        <v>0</v>
      </c>
      <c r="AJ13">
        <v>0</v>
      </c>
      <c r="AS13" s="63" t="s">
        <v>2186</v>
      </c>
      <c r="AZ13" s="63" t="s">
        <v>356</v>
      </c>
      <c r="BA13" s="63" t="s">
        <v>1216</v>
      </c>
      <c r="BB13" s="63" t="s">
        <v>59</v>
      </c>
      <c r="BC13" s="63" t="s">
        <v>2187</v>
      </c>
      <c r="BD13">
        <v>58</v>
      </c>
      <c r="BE13">
        <v>1044</v>
      </c>
      <c r="BG13" s="63" t="s">
        <v>356</v>
      </c>
      <c r="BH13" s="63" t="s">
        <v>1199</v>
      </c>
      <c r="BI13" s="63" t="s">
        <v>59</v>
      </c>
      <c r="BJ13" s="63" t="s">
        <v>2200</v>
      </c>
      <c r="BK13">
        <v>60</v>
      </c>
      <c r="BL13">
        <v>1079</v>
      </c>
    </row>
    <row r="14" spans="1:64">
      <c r="A14" s="63" t="s">
        <v>911</v>
      </c>
      <c r="B14" s="63" t="s">
        <v>1336</v>
      </c>
      <c r="C14" s="63" t="s">
        <v>2151</v>
      </c>
      <c r="D14">
        <v>60</v>
      </c>
      <c r="E14">
        <v>60</v>
      </c>
      <c r="G14" s="63" t="s">
        <v>204</v>
      </c>
      <c r="H14" s="63" t="s">
        <v>2182</v>
      </c>
      <c r="I14" s="63" t="s">
        <v>59</v>
      </c>
      <c r="J14" s="63" t="s">
        <v>2183</v>
      </c>
      <c r="K14">
        <v>48</v>
      </c>
      <c r="L14">
        <v>259</v>
      </c>
      <c r="N14" s="63" t="s">
        <v>330</v>
      </c>
      <c r="O14" s="63" t="s">
        <v>2057</v>
      </c>
      <c r="P14" s="63" t="s">
        <v>2172</v>
      </c>
      <c r="Q14">
        <v>60</v>
      </c>
      <c r="R14">
        <v>60</v>
      </c>
      <c r="T14" s="63" t="s">
        <v>2258</v>
      </c>
      <c r="U14" s="63" t="s">
        <v>2261</v>
      </c>
      <c r="V14" s="63" t="s">
        <v>2262</v>
      </c>
      <c r="W14">
        <v>60</v>
      </c>
      <c r="X14">
        <v>1080</v>
      </c>
      <c r="AZ14" s="63" t="s">
        <v>356</v>
      </c>
      <c r="BA14" s="63" t="s">
        <v>1523</v>
      </c>
      <c r="BB14" s="63" t="s">
        <v>59</v>
      </c>
      <c r="BC14" s="63" t="s">
        <v>2188</v>
      </c>
      <c r="BD14">
        <v>21</v>
      </c>
      <c r="BE14">
        <v>377</v>
      </c>
      <c r="BG14" s="63" t="s">
        <v>334</v>
      </c>
      <c r="BH14" s="63" t="s">
        <v>694</v>
      </c>
      <c r="BI14" s="63" t="s">
        <v>59</v>
      </c>
      <c r="BJ14" s="63" t="s">
        <v>2201</v>
      </c>
      <c r="BK14">
        <v>26</v>
      </c>
      <c r="BL14">
        <v>117</v>
      </c>
    </row>
    <row r="15" spans="1:64">
      <c r="A15" s="63" t="s">
        <v>911</v>
      </c>
      <c r="B15" s="63" t="s">
        <v>2152</v>
      </c>
      <c r="C15" s="63" t="s">
        <v>2153</v>
      </c>
      <c r="D15">
        <v>60</v>
      </c>
      <c r="E15">
        <v>60</v>
      </c>
      <c r="G15" s="63" t="s">
        <v>204</v>
      </c>
      <c r="H15" s="63" t="s">
        <v>2184</v>
      </c>
      <c r="I15" s="63" t="s">
        <v>59</v>
      </c>
      <c r="J15" s="63" t="s">
        <v>2185</v>
      </c>
      <c r="K15">
        <v>48</v>
      </c>
      <c r="L15">
        <v>273</v>
      </c>
      <c r="N15" s="63" t="s">
        <v>330</v>
      </c>
      <c r="O15" s="63" t="s">
        <v>2173</v>
      </c>
      <c r="P15" s="63" t="s">
        <v>2174</v>
      </c>
      <c r="Q15">
        <v>60</v>
      </c>
      <c r="R15">
        <v>60</v>
      </c>
      <c r="T15" s="63" t="s">
        <v>2258</v>
      </c>
      <c r="U15" s="63" t="s">
        <v>2263</v>
      </c>
      <c r="V15" s="63" t="s">
        <v>2264</v>
      </c>
      <c r="W15">
        <v>60</v>
      </c>
      <c r="X15">
        <v>1080</v>
      </c>
      <c r="AZ15" s="63" t="s">
        <v>76</v>
      </c>
      <c r="BD15">
        <v>79</v>
      </c>
      <c r="BE15">
        <v>1421</v>
      </c>
      <c r="BG15" s="63" t="s">
        <v>334</v>
      </c>
      <c r="BH15" s="63" t="s">
        <v>2099</v>
      </c>
      <c r="BI15" s="63" t="s">
        <v>59</v>
      </c>
      <c r="BJ15" s="63" t="s">
        <v>2202</v>
      </c>
      <c r="BK15">
        <v>51</v>
      </c>
      <c r="BL15">
        <v>293</v>
      </c>
    </row>
    <row r="16" spans="1:64">
      <c r="A16" s="63" t="s">
        <v>911</v>
      </c>
      <c r="B16" s="63" t="s">
        <v>2154</v>
      </c>
      <c r="C16" s="63" t="s">
        <v>2155</v>
      </c>
      <c r="D16">
        <v>120</v>
      </c>
      <c r="E16">
        <v>120</v>
      </c>
      <c r="G16" s="63" t="s">
        <v>2189</v>
      </c>
      <c r="H16" s="63" t="s">
        <v>1153</v>
      </c>
      <c r="I16" s="63" t="s">
        <v>309</v>
      </c>
      <c r="J16" s="63" t="s">
        <v>2190</v>
      </c>
      <c r="K16">
        <v>8</v>
      </c>
      <c r="L16">
        <v>185</v>
      </c>
      <c r="N16" s="63" t="s">
        <v>330</v>
      </c>
      <c r="O16" s="63" t="s">
        <v>1153</v>
      </c>
      <c r="P16" s="63" t="s">
        <v>2175</v>
      </c>
      <c r="Q16">
        <v>60</v>
      </c>
      <c r="R16">
        <v>60</v>
      </c>
      <c r="T16" s="63" t="s">
        <v>2258</v>
      </c>
      <c r="U16" s="63" t="s">
        <v>2265</v>
      </c>
      <c r="V16" s="63" t="s">
        <v>2266</v>
      </c>
      <c r="W16">
        <v>60</v>
      </c>
      <c r="X16">
        <v>1018</v>
      </c>
      <c r="BG16" s="63" t="s">
        <v>76</v>
      </c>
      <c r="BK16">
        <v>137</v>
      </c>
      <c r="BL16">
        <v>1489</v>
      </c>
    </row>
    <row r="17" spans="1:24">
      <c r="A17" s="63" t="s">
        <v>911</v>
      </c>
      <c r="B17" s="63" t="s">
        <v>2156</v>
      </c>
      <c r="C17" s="63" t="s">
        <v>2157</v>
      </c>
      <c r="D17">
        <v>60</v>
      </c>
      <c r="E17">
        <v>60</v>
      </c>
      <c r="G17" s="63" t="s">
        <v>1282</v>
      </c>
      <c r="H17" s="63" t="s">
        <v>2178</v>
      </c>
      <c r="I17" s="63" t="s">
        <v>59</v>
      </c>
      <c r="J17" s="63" t="s">
        <v>2191</v>
      </c>
      <c r="K17">
        <v>59</v>
      </c>
      <c r="L17">
        <v>1345</v>
      </c>
      <c r="N17" s="63" t="s">
        <v>330</v>
      </c>
      <c r="O17" s="63" t="s">
        <v>2176</v>
      </c>
      <c r="P17" s="63" t="s">
        <v>2177</v>
      </c>
      <c r="Q17">
        <v>59</v>
      </c>
      <c r="R17">
        <v>59</v>
      </c>
      <c r="T17" s="63" t="s">
        <v>2050</v>
      </c>
      <c r="W17">
        <v>240</v>
      </c>
      <c r="X17">
        <v>4258</v>
      </c>
    </row>
    <row r="18" spans="1:24">
      <c r="A18" s="63" t="s">
        <v>911</v>
      </c>
      <c r="B18" s="63" t="s">
        <v>2158</v>
      </c>
      <c r="C18" s="63" t="s">
        <v>2159</v>
      </c>
      <c r="D18">
        <v>60</v>
      </c>
      <c r="E18">
        <v>60</v>
      </c>
      <c r="G18" s="63" t="s">
        <v>1282</v>
      </c>
      <c r="H18" s="63" t="s">
        <v>2192</v>
      </c>
      <c r="I18" s="63" t="s">
        <v>59</v>
      </c>
      <c r="J18" s="63" t="s">
        <v>2193</v>
      </c>
      <c r="K18">
        <v>3</v>
      </c>
      <c r="L18">
        <v>72</v>
      </c>
      <c r="N18" s="63" t="s">
        <v>330</v>
      </c>
      <c r="O18" s="63" t="s">
        <v>2178</v>
      </c>
      <c r="P18" s="63" t="s">
        <v>2179</v>
      </c>
      <c r="Q18">
        <v>60</v>
      </c>
      <c r="R18">
        <v>60</v>
      </c>
    </row>
    <row r="19" spans="1:24">
      <c r="A19" s="63" t="s">
        <v>2160</v>
      </c>
      <c r="B19" s="63" t="s">
        <v>2149</v>
      </c>
      <c r="C19" s="63" t="s">
        <v>2161</v>
      </c>
      <c r="D19">
        <v>120</v>
      </c>
      <c r="E19">
        <v>120</v>
      </c>
      <c r="G19" s="63" t="s">
        <v>815</v>
      </c>
      <c r="H19" s="63" t="s">
        <v>2194</v>
      </c>
      <c r="I19" s="63" t="s">
        <v>307</v>
      </c>
      <c r="J19" s="63" t="s">
        <v>2195</v>
      </c>
      <c r="K19">
        <v>31</v>
      </c>
      <c r="L19">
        <v>173</v>
      </c>
      <c r="N19" s="63" t="s">
        <v>76</v>
      </c>
      <c r="Q19">
        <v>359</v>
      </c>
      <c r="R19">
        <v>359</v>
      </c>
    </row>
    <row r="20" spans="1:24">
      <c r="A20" s="63" t="s">
        <v>2160</v>
      </c>
      <c r="B20" s="63" t="s">
        <v>1336</v>
      </c>
      <c r="C20" s="63" t="s">
        <v>2162</v>
      </c>
      <c r="D20">
        <v>60</v>
      </c>
      <c r="E20">
        <v>60</v>
      </c>
      <c r="G20" s="63" t="s">
        <v>815</v>
      </c>
      <c r="H20" s="63" t="s">
        <v>2196</v>
      </c>
      <c r="I20" s="63" t="s">
        <v>307</v>
      </c>
      <c r="J20" s="63" t="s">
        <v>2197</v>
      </c>
      <c r="K20">
        <v>48</v>
      </c>
      <c r="L20">
        <v>281</v>
      </c>
    </row>
    <row r="21" spans="1:24">
      <c r="A21" s="63" t="s">
        <v>2160</v>
      </c>
      <c r="B21" s="63" t="s">
        <v>2163</v>
      </c>
      <c r="C21" s="63" t="s">
        <v>2164</v>
      </c>
      <c r="D21">
        <v>60</v>
      </c>
      <c r="E21">
        <v>60</v>
      </c>
      <c r="G21" s="63" t="s">
        <v>815</v>
      </c>
      <c r="H21" s="63" t="s">
        <v>969</v>
      </c>
      <c r="I21" s="63" t="s">
        <v>307</v>
      </c>
      <c r="J21" s="63" t="s">
        <v>2198</v>
      </c>
      <c r="K21">
        <v>46</v>
      </c>
      <c r="L21">
        <v>262</v>
      </c>
    </row>
    <row r="22" spans="1:24">
      <c r="A22" s="63" t="s">
        <v>2160</v>
      </c>
      <c r="B22" s="63" t="s">
        <v>2158</v>
      </c>
      <c r="C22" s="63" t="s">
        <v>2165</v>
      </c>
      <c r="D22">
        <v>60</v>
      </c>
      <c r="E22">
        <v>60</v>
      </c>
      <c r="G22" s="63" t="s">
        <v>815</v>
      </c>
      <c r="H22" s="63" t="s">
        <v>1882</v>
      </c>
      <c r="I22" s="63" t="s">
        <v>307</v>
      </c>
      <c r="J22" s="63" t="s">
        <v>2199</v>
      </c>
      <c r="K22">
        <v>48</v>
      </c>
      <c r="L22">
        <v>262</v>
      </c>
    </row>
    <row r="23" spans="1:24">
      <c r="A23" s="63" t="s">
        <v>76</v>
      </c>
      <c r="D23">
        <v>750</v>
      </c>
      <c r="E23">
        <v>750</v>
      </c>
      <c r="G23" s="63" t="s">
        <v>76</v>
      </c>
      <c r="K23">
        <v>387</v>
      </c>
      <c r="L23">
        <v>3378</v>
      </c>
    </row>
  </sheetData>
  <customSheetViews>
    <customSheetView guid="{86E069D6-AAB6-4ACE-BC4B-ADB04AF4E9D6}" topLeftCell="S1">
      <selection activeCell="Z29" sqref="Z29"/>
      <pageMargins left="0.7" right="0.7" top="0.75" bottom="0.75" header="0.3" footer="0.3"/>
      <pageSetup paperSize="9" orientation="portrait" r:id="rId1"/>
    </customSheetView>
  </customSheetViews>
  <mergeCells count="1">
    <mergeCell ref="A1:B1"/>
  </mergeCells>
  <phoneticPr fontId="1" type="noConversion"/>
  <hyperlinks>
    <hyperlink ref="A1" location="看板!A1" display="回去看板"/>
    <hyperlink ref="A4" location="INPUT!A11" display="素玻璃解包"/>
    <hyperlink ref="A5" location="INPUT!G11" display="雙玻來料解包"/>
    <hyperlink ref="A6" location="INPUT!N11" display="0802 RECY 解包"/>
    <hyperlink ref="A7" location="INPUT!T11" display="CF3 來料解包"/>
    <hyperlink ref="A9" location="INPUT!AL11" display="實驗貨解包"/>
    <hyperlink ref="A8" location="INPUT!Z11" display="異常貨解包"/>
    <hyperlink ref="A10" location="INPUT!AS11" display="INPUT!AS11"/>
    <hyperlink ref="G4" location="INPUT!AZ11" display="異常貨分流"/>
  </hyperlinks>
  <pageMargins left="0.7" right="0.7" top="0.75" bottom="0.75" header="0.3" footer="0.3"/>
  <pageSetup paperSize="9" orientation="portrait" r:id="rId2"/>
</worksheet>
</file>

<file path=xl/worksheets/sheet7.xml><?xml version="1.0" encoding="utf-8"?>
<worksheet xmlns="http://schemas.openxmlformats.org/spreadsheetml/2006/main" xmlns:r="http://schemas.openxmlformats.org/officeDocument/2006/relationships">
  <sheetPr codeName="Sheet7"/>
  <dimension ref="A1:BH36"/>
  <sheetViews>
    <sheetView workbookViewId="0">
      <selection sqref="A1:B1"/>
    </sheetView>
  </sheetViews>
  <sheetFormatPr defaultRowHeight="16.5"/>
  <cols>
    <col min="1" max="1" width="15.875" customWidth="1"/>
    <col min="6" max="6" width="14.375" bestFit="1" customWidth="1"/>
    <col min="7" max="7" width="14" bestFit="1" customWidth="1"/>
    <col min="8" max="8" width="11.5" bestFit="1" customWidth="1"/>
    <col min="13" max="13" width="13.375" bestFit="1" customWidth="1"/>
    <col min="34" max="34" width="13.375" bestFit="1" customWidth="1"/>
    <col min="41" max="41" width="12.625" bestFit="1" customWidth="1"/>
    <col min="42" max="42" width="9.25" bestFit="1" customWidth="1"/>
    <col min="48" max="48" width="10.625" bestFit="1" customWidth="1"/>
    <col min="55" max="55" width="19.5" bestFit="1" customWidth="1"/>
  </cols>
  <sheetData>
    <row r="1" spans="1:60" ht="32.25">
      <c r="A1" s="290" t="s">
        <v>82</v>
      </c>
      <c r="B1" s="290"/>
    </row>
    <row r="3" spans="1:60">
      <c r="A3" s="27" t="s">
        <v>58</v>
      </c>
      <c r="B3" s="27" t="s">
        <v>60</v>
      </c>
      <c r="C3" s="27" t="s">
        <v>61</v>
      </c>
    </row>
    <row r="4" spans="1:60">
      <c r="A4" s="138" t="s">
        <v>643</v>
      </c>
      <c r="B4" s="27">
        <v>1377</v>
      </c>
      <c r="C4" s="27">
        <v>23</v>
      </c>
      <c r="D4" s="63" t="s">
        <v>639</v>
      </c>
      <c r="F4" s="63"/>
    </row>
    <row r="5" spans="1:60">
      <c r="A5" s="139" t="s">
        <v>133</v>
      </c>
      <c r="B5" s="27">
        <v>63</v>
      </c>
      <c r="C5" s="27">
        <v>3</v>
      </c>
      <c r="D5" s="63" t="s">
        <v>641</v>
      </c>
      <c r="F5" s="34"/>
      <c r="G5" s="213"/>
      <c r="H5" s="213"/>
      <c r="I5" s="213"/>
      <c r="J5" s="213"/>
      <c r="K5" s="213"/>
    </row>
    <row r="6" spans="1:60">
      <c r="A6" s="139" t="s">
        <v>644</v>
      </c>
      <c r="B6" s="27">
        <v>0</v>
      </c>
      <c r="C6" s="27">
        <v>0</v>
      </c>
      <c r="D6" s="34" t="s">
        <v>89</v>
      </c>
    </row>
    <row r="7" spans="1:60">
      <c r="A7" s="138" t="s">
        <v>645</v>
      </c>
      <c r="B7" s="27">
        <v>0</v>
      </c>
      <c r="C7" s="27">
        <v>0</v>
      </c>
      <c r="D7" s="63" t="s">
        <v>640</v>
      </c>
      <c r="G7" s="34"/>
      <c r="I7" s="32"/>
    </row>
    <row r="8" spans="1:60">
      <c r="A8" s="139" t="s">
        <v>646</v>
      </c>
      <c r="B8" s="27">
        <v>0</v>
      </c>
      <c r="C8" s="27">
        <v>0</v>
      </c>
      <c r="D8" s="63" t="s">
        <v>642</v>
      </c>
      <c r="G8" s="34"/>
      <c r="H8" s="213"/>
      <c r="I8" s="213"/>
      <c r="J8" s="213"/>
      <c r="K8" s="213"/>
      <c r="L8" s="213"/>
    </row>
    <row r="9" spans="1:60" s="68" customFormat="1">
      <c r="A9" s="141" t="s">
        <v>647</v>
      </c>
      <c r="B9" s="140">
        <v>0</v>
      </c>
      <c r="C9" s="140">
        <v>0</v>
      </c>
      <c r="D9" s="77"/>
    </row>
    <row r="10" spans="1:60" ht="17.25" thickBot="1">
      <c r="A10" s="144" t="s">
        <v>682</v>
      </c>
      <c r="B10" s="4">
        <v>0</v>
      </c>
      <c r="C10" s="4">
        <v>0</v>
      </c>
      <c r="J10" s="33"/>
    </row>
    <row r="11" spans="1:60" s="7" customFormat="1" ht="17.25" thickBot="1">
      <c r="A11" s="143" t="s">
        <v>66</v>
      </c>
      <c r="G11" s="82" t="s">
        <v>133</v>
      </c>
      <c r="M11" s="82" t="s">
        <v>62</v>
      </c>
      <c r="T11" s="79" t="s">
        <v>162</v>
      </c>
      <c r="U11" s="79"/>
      <c r="V11" s="85" t="s">
        <v>88</v>
      </c>
      <c r="W11" s="85"/>
      <c r="X11" s="85"/>
      <c r="Y11" s="85"/>
      <c r="AA11" s="82">
        <v>5803</v>
      </c>
      <c r="AH11" s="82" t="s">
        <v>64</v>
      </c>
      <c r="AO11" s="82" t="s">
        <v>647</v>
      </c>
      <c r="AP11" s="82" t="s">
        <v>637</v>
      </c>
      <c r="AV11" s="82" t="s">
        <v>648</v>
      </c>
      <c r="BC11" s="82" t="s">
        <v>683</v>
      </c>
    </row>
    <row r="12" spans="1:60" s="7" customFormat="1">
      <c r="A12" s="7" t="s">
        <v>87</v>
      </c>
      <c r="B12" s="7" t="s">
        <v>160</v>
      </c>
      <c r="C12" s="7" t="s">
        <v>161</v>
      </c>
      <c r="D12" s="7" t="s">
        <v>158</v>
      </c>
      <c r="E12" s="7" t="s">
        <v>159</v>
      </c>
      <c r="G12" s="7" t="s">
        <v>87</v>
      </c>
      <c r="H12" s="7" t="s">
        <v>160</v>
      </c>
      <c r="I12" s="7" t="s">
        <v>161</v>
      </c>
      <c r="J12" s="7" t="s">
        <v>158</v>
      </c>
      <c r="K12" s="7" t="s">
        <v>159</v>
      </c>
      <c r="M12" s="7" t="s">
        <v>702</v>
      </c>
      <c r="N12" s="7" t="s">
        <v>703</v>
      </c>
      <c r="O12" s="7" t="s">
        <v>707</v>
      </c>
      <c r="P12" s="7" t="s">
        <v>704</v>
      </c>
      <c r="Q12" s="7" t="s">
        <v>705</v>
      </c>
      <c r="R12" s="7" t="s">
        <v>706</v>
      </c>
      <c r="T12" s="7" t="s">
        <v>776</v>
      </c>
      <c r="U12" s="7" t="s">
        <v>777</v>
      </c>
      <c r="V12" s="7" t="s">
        <v>778</v>
      </c>
      <c r="W12" s="7" t="s">
        <v>779</v>
      </c>
      <c r="X12" s="7">
        <v>42</v>
      </c>
      <c r="Y12" s="7">
        <v>756</v>
      </c>
      <c r="AA12" s="7" t="s">
        <v>741</v>
      </c>
      <c r="AB12" s="7" t="s">
        <v>742</v>
      </c>
      <c r="AC12" s="7" t="s">
        <v>746</v>
      </c>
      <c r="AD12" s="7" t="s">
        <v>743</v>
      </c>
      <c r="AE12" s="7" t="s">
        <v>744</v>
      </c>
      <c r="AF12" s="7" t="s">
        <v>745</v>
      </c>
      <c r="AH12" s="7" t="s">
        <v>153</v>
      </c>
      <c r="AI12" s="7" t="s">
        <v>154</v>
      </c>
      <c r="AJ12" s="7" t="s">
        <v>163</v>
      </c>
      <c r="AK12" s="7" t="s">
        <v>155</v>
      </c>
      <c r="AL12" s="7" t="s">
        <v>156</v>
      </c>
      <c r="AM12" s="7" t="s">
        <v>157</v>
      </c>
      <c r="AO12" s="7" t="s">
        <v>153</v>
      </c>
      <c r="AP12" s="7" t="s">
        <v>154</v>
      </c>
      <c r="AQ12" s="7" t="s">
        <v>161</v>
      </c>
      <c r="AR12" s="7" t="s">
        <v>155</v>
      </c>
      <c r="AS12" s="7" t="s">
        <v>156</v>
      </c>
      <c r="AT12" s="7" t="s">
        <v>157</v>
      </c>
      <c r="AV12" s="7" t="s">
        <v>153</v>
      </c>
      <c r="AW12" s="7" t="s">
        <v>154</v>
      </c>
      <c r="AX12" s="7" t="s">
        <v>161</v>
      </c>
      <c r="AY12" s="7" t="s">
        <v>155</v>
      </c>
      <c r="AZ12" s="7" t="s">
        <v>156</v>
      </c>
      <c r="BA12" s="7" t="s">
        <v>157</v>
      </c>
      <c r="BC12" s="7" t="s">
        <v>153</v>
      </c>
      <c r="BD12" s="7" t="s">
        <v>154</v>
      </c>
      <c r="BE12" s="7" t="s">
        <v>161</v>
      </c>
      <c r="BF12" s="7" t="s">
        <v>155</v>
      </c>
      <c r="BG12" s="7" t="s">
        <v>156</v>
      </c>
      <c r="BH12" s="7" t="s">
        <v>157</v>
      </c>
    </row>
    <row r="13" spans="1:60">
      <c r="A13" s="63" t="s">
        <v>1182</v>
      </c>
      <c r="B13" s="63" t="s">
        <v>2152</v>
      </c>
      <c r="C13" s="63" t="s">
        <v>59</v>
      </c>
      <c r="D13">
        <v>60</v>
      </c>
      <c r="E13">
        <v>1080</v>
      </c>
      <c r="G13" s="63" t="s">
        <v>2280</v>
      </c>
      <c r="H13" s="63" t="s">
        <v>1555</v>
      </c>
      <c r="I13" s="63" t="s">
        <v>205</v>
      </c>
      <c r="J13">
        <v>5</v>
      </c>
      <c r="K13">
        <v>88</v>
      </c>
      <c r="M13" s="63" t="s">
        <v>76</v>
      </c>
      <c r="AA13" s="63" t="s">
        <v>76</v>
      </c>
      <c r="AO13" s="63" t="s">
        <v>76</v>
      </c>
      <c r="AV13" s="63" t="s">
        <v>76</v>
      </c>
      <c r="BC13" s="63" t="s">
        <v>76</v>
      </c>
    </row>
    <row r="14" spans="1:60">
      <c r="A14" s="63" t="s">
        <v>1182</v>
      </c>
      <c r="B14" s="63" t="s">
        <v>2154</v>
      </c>
      <c r="C14" s="63" t="s">
        <v>59</v>
      </c>
      <c r="D14">
        <v>60</v>
      </c>
      <c r="E14">
        <v>1080</v>
      </c>
      <c r="G14" s="63" t="s">
        <v>2281</v>
      </c>
      <c r="H14" s="63" t="s">
        <v>2282</v>
      </c>
      <c r="I14" s="63" t="s">
        <v>205</v>
      </c>
      <c r="J14">
        <v>48</v>
      </c>
      <c r="K14">
        <v>1078</v>
      </c>
    </row>
    <row r="15" spans="1:60">
      <c r="A15" s="63" t="s">
        <v>1182</v>
      </c>
      <c r="B15" s="63" t="s">
        <v>1573</v>
      </c>
      <c r="C15" s="63" t="s">
        <v>59</v>
      </c>
      <c r="D15">
        <v>60</v>
      </c>
      <c r="E15">
        <v>1080</v>
      </c>
      <c r="G15" s="63" t="s">
        <v>2281</v>
      </c>
      <c r="H15" s="63" t="s">
        <v>2283</v>
      </c>
      <c r="I15" s="63" t="s">
        <v>205</v>
      </c>
      <c r="J15">
        <v>10</v>
      </c>
      <c r="K15">
        <v>223</v>
      </c>
    </row>
    <row r="16" spans="1:60">
      <c r="A16" s="63" t="s">
        <v>1182</v>
      </c>
      <c r="B16" s="63" t="s">
        <v>773</v>
      </c>
      <c r="C16" s="63" t="s">
        <v>59</v>
      </c>
      <c r="D16">
        <v>60</v>
      </c>
      <c r="E16">
        <v>1018</v>
      </c>
      <c r="G16" s="63" t="s">
        <v>76</v>
      </c>
      <c r="J16">
        <v>63</v>
      </c>
      <c r="K16">
        <v>1389</v>
      </c>
    </row>
    <row r="17" spans="1:5">
      <c r="A17" s="63" t="s">
        <v>471</v>
      </c>
      <c r="B17" s="63" t="s">
        <v>1875</v>
      </c>
      <c r="C17" s="63" t="s">
        <v>59</v>
      </c>
      <c r="D17">
        <v>60</v>
      </c>
      <c r="E17">
        <v>8616</v>
      </c>
    </row>
    <row r="18" spans="1:5">
      <c r="A18" s="63" t="s">
        <v>256</v>
      </c>
      <c r="B18" s="63" t="s">
        <v>2204</v>
      </c>
      <c r="C18" s="63" t="s">
        <v>59</v>
      </c>
      <c r="D18">
        <v>60</v>
      </c>
      <c r="E18">
        <v>7187</v>
      </c>
    </row>
    <row r="19" spans="1:5">
      <c r="A19" s="63" t="s">
        <v>256</v>
      </c>
      <c r="B19" s="63" t="s">
        <v>1856</v>
      </c>
      <c r="C19" s="63" t="s">
        <v>59</v>
      </c>
      <c r="D19">
        <v>60</v>
      </c>
      <c r="E19">
        <v>7145</v>
      </c>
    </row>
    <row r="20" spans="1:5">
      <c r="A20" s="63" t="s">
        <v>256</v>
      </c>
      <c r="B20" s="63" t="s">
        <v>2273</v>
      </c>
      <c r="C20" s="63" t="s">
        <v>59</v>
      </c>
      <c r="D20">
        <v>60</v>
      </c>
      <c r="E20">
        <v>7171</v>
      </c>
    </row>
    <row r="21" spans="1:5">
      <c r="A21" s="63" t="s">
        <v>519</v>
      </c>
      <c r="B21" s="63" t="s">
        <v>2274</v>
      </c>
      <c r="C21" s="63" t="s">
        <v>59</v>
      </c>
      <c r="D21">
        <v>60</v>
      </c>
      <c r="E21">
        <v>7170</v>
      </c>
    </row>
    <row r="22" spans="1:5">
      <c r="A22" s="63" t="s">
        <v>1613</v>
      </c>
      <c r="B22" s="63" t="s">
        <v>2149</v>
      </c>
      <c r="C22" s="63" t="s">
        <v>269</v>
      </c>
      <c r="D22">
        <v>60</v>
      </c>
      <c r="E22">
        <v>60</v>
      </c>
    </row>
    <row r="23" spans="1:5">
      <c r="A23" s="63" t="s">
        <v>698</v>
      </c>
      <c r="B23" s="63" t="s">
        <v>1988</v>
      </c>
      <c r="C23" s="63" t="s">
        <v>59</v>
      </c>
      <c r="D23">
        <v>60</v>
      </c>
      <c r="E23">
        <v>1078</v>
      </c>
    </row>
    <row r="24" spans="1:5">
      <c r="A24" s="63" t="s">
        <v>698</v>
      </c>
      <c r="B24" s="63" t="s">
        <v>1878</v>
      </c>
      <c r="C24" s="63" t="s">
        <v>59</v>
      </c>
      <c r="D24">
        <v>60</v>
      </c>
      <c r="E24">
        <v>1069</v>
      </c>
    </row>
    <row r="25" spans="1:5">
      <c r="A25" s="63" t="s">
        <v>698</v>
      </c>
      <c r="B25" s="63" t="s">
        <v>850</v>
      </c>
      <c r="C25" s="63" t="s">
        <v>59</v>
      </c>
      <c r="D25">
        <v>60</v>
      </c>
      <c r="E25">
        <v>1079</v>
      </c>
    </row>
    <row r="26" spans="1:5">
      <c r="A26" s="63" t="s">
        <v>480</v>
      </c>
      <c r="B26" s="63" t="s">
        <v>2275</v>
      </c>
      <c r="C26" s="63" t="s">
        <v>59</v>
      </c>
      <c r="D26">
        <v>57</v>
      </c>
      <c r="E26">
        <v>1024</v>
      </c>
    </row>
    <row r="27" spans="1:5">
      <c r="A27" s="63" t="s">
        <v>480</v>
      </c>
      <c r="B27" s="63" t="s">
        <v>2276</v>
      </c>
      <c r="C27" s="63" t="s">
        <v>59</v>
      </c>
      <c r="D27">
        <v>60</v>
      </c>
      <c r="E27">
        <v>1077</v>
      </c>
    </row>
    <row r="28" spans="1:5">
      <c r="A28" s="63" t="s">
        <v>480</v>
      </c>
      <c r="B28" s="63" t="s">
        <v>2246</v>
      </c>
      <c r="C28" s="63" t="s">
        <v>59</v>
      </c>
      <c r="D28">
        <v>60</v>
      </c>
      <c r="E28">
        <v>1079</v>
      </c>
    </row>
    <row r="29" spans="1:5">
      <c r="A29" s="63" t="s">
        <v>1887</v>
      </c>
      <c r="B29" s="63" t="s">
        <v>1874</v>
      </c>
      <c r="C29" s="63" t="s">
        <v>59</v>
      </c>
      <c r="D29">
        <v>60</v>
      </c>
      <c r="E29">
        <v>718</v>
      </c>
    </row>
    <row r="30" spans="1:5">
      <c r="A30" s="63" t="s">
        <v>1887</v>
      </c>
      <c r="B30" s="63" t="s">
        <v>2277</v>
      </c>
      <c r="C30" s="63" t="s">
        <v>59</v>
      </c>
      <c r="D30">
        <v>60</v>
      </c>
      <c r="E30">
        <v>720</v>
      </c>
    </row>
    <row r="31" spans="1:5">
      <c r="A31" s="63" t="s">
        <v>1887</v>
      </c>
      <c r="B31" s="63" t="s">
        <v>2232</v>
      </c>
      <c r="C31" s="63" t="s">
        <v>59</v>
      </c>
      <c r="D31">
        <v>60</v>
      </c>
      <c r="E31">
        <v>720</v>
      </c>
    </row>
    <row r="32" spans="1:5">
      <c r="A32" s="63" t="s">
        <v>1887</v>
      </c>
      <c r="B32" s="63" t="s">
        <v>2278</v>
      </c>
      <c r="C32" s="63" t="s">
        <v>59</v>
      </c>
      <c r="D32">
        <v>60</v>
      </c>
      <c r="E32">
        <v>719</v>
      </c>
    </row>
    <row r="33" spans="1:5">
      <c r="A33" s="63" t="s">
        <v>1887</v>
      </c>
      <c r="B33" s="63" t="s">
        <v>2222</v>
      </c>
      <c r="C33" s="63" t="s">
        <v>59</v>
      </c>
      <c r="D33">
        <v>60</v>
      </c>
      <c r="E33">
        <v>719</v>
      </c>
    </row>
    <row r="34" spans="1:5">
      <c r="A34" s="63" t="s">
        <v>1887</v>
      </c>
      <c r="B34" s="63" t="s">
        <v>2220</v>
      </c>
      <c r="C34" s="63" t="s">
        <v>59</v>
      </c>
      <c r="D34">
        <v>60</v>
      </c>
      <c r="E34">
        <v>720</v>
      </c>
    </row>
    <row r="35" spans="1:5">
      <c r="A35" s="63" t="s">
        <v>1887</v>
      </c>
      <c r="B35" s="63" t="s">
        <v>2279</v>
      </c>
      <c r="C35" s="63" t="s">
        <v>59</v>
      </c>
      <c r="D35">
        <v>60</v>
      </c>
      <c r="E35">
        <v>716</v>
      </c>
    </row>
    <row r="36" spans="1:5">
      <c r="A36" s="63" t="s">
        <v>76</v>
      </c>
      <c r="D36">
        <v>1377</v>
      </c>
      <c r="E36">
        <v>53045</v>
      </c>
    </row>
  </sheetData>
  <customSheetViews>
    <customSheetView guid="{86E069D6-AAB6-4ACE-BC4B-ADB04AF4E9D6}">
      <selection activeCell="H29" sqref="H29"/>
      <pageMargins left="0.7" right="0.7" top="0.75" bottom="0.75" header="0.3" footer="0.3"/>
      <pageSetup paperSize="9" orientation="portrait" r:id="rId1"/>
    </customSheetView>
  </customSheetViews>
  <mergeCells count="3">
    <mergeCell ref="A1:B1"/>
    <mergeCell ref="G5:K5"/>
    <mergeCell ref="H8:L8"/>
  </mergeCells>
  <phoneticPr fontId="1" type="noConversion"/>
  <hyperlinks>
    <hyperlink ref="A1:B1" location="看板!A1" display="回去看板"/>
    <hyperlink ref="A4" location="OUTPUT!A11" display="單玻出貨"/>
    <hyperlink ref="A5" location="OUTPUT!G11" display="雙玻出貨"/>
    <hyperlink ref="A6" location="OUTPUT!M11" display="出委外 RECY"/>
    <hyperlink ref="A7" location="OUTPUT!T11" display="跨廠出/退貨"/>
    <hyperlink ref="A8" location="OUTPUT!AH11" display="異常貨 PACK"/>
    <hyperlink ref="A9" location="OUTPUT!AO11" display="異常貨合併"/>
    <hyperlink ref="A10" location="OUTPUT!BC11" display="雙玻來料轉 L CST"/>
  </hyperlinks>
  <pageMargins left="0.7" right="0.7" top="0.75" bottom="0.75" header="0.3" footer="0.3"/>
  <pageSetup paperSize="9" orientation="portrait" r:id="rId2"/>
  <legacyDrawing r:id="rId3"/>
</worksheet>
</file>

<file path=xl/worksheets/sheet8.xml><?xml version="1.0" encoding="utf-8"?>
<worksheet xmlns="http://schemas.openxmlformats.org/spreadsheetml/2006/main" xmlns:r="http://schemas.openxmlformats.org/officeDocument/2006/relationships">
  <sheetPr codeName="Sheet10"/>
  <dimension ref="A1:K18"/>
  <sheetViews>
    <sheetView workbookViewId="0"/>
  </sheetViews>
  <sheetFormatPr defaultRowHeight="16.5"/>
  <cols>
    <col min="6" max="6" width="12.125" customWidth="1"/>
  </cols>
  <sheetData>
    <row r="1" spans="1:11">
      <c r="A1" s="63" t="s">
        <v>1051</v>
      </c>
      <c r="B1" s="63" t="s">
        <v>1052</v>
      </c>
      <c r="C1" s="63" t="s">
        <v>1053</v>
      </c>
      <c r="D1" s="63" t="s">
        <v>1054</v>
      </c>
      <c r="E1" s="63" t="s">
        <v>1055</v>
      </c>
      <c r="F1" s="63" t="s">
        <v>171</v>
      </c>
      <c r="G1" s="63" t="s">
        <v>1056</v>
      </c>
      <c r="H1" s="63" t="s">
        <v>1056</v>
      </c>
      <c r="I1" s="63" t="s">
        <v>1056</v>
      </c>
      <c r="J1" s="63" t="s">
        <v>1056</v>
      </c>
      <c r="K1" s="63" t="s">
        <v>1056</v>
      </c>
    </row>
    <row r="2" spans="1:11">
      <c r="A2" s="63" t="s">
        <v>1051</v>
      </c>
      <c r="B2" s="63" t="s">
        <v>1052</v>
      </c>
      <c r="C2" s="63" t="s">
        <v>1053</v>
      </c>
      <c r="D2" s="63" t="s">
        <v>1054</v>
      </c>
      <c r="E2" s="63" t="s">
        <v>1055</v>
      </c>
      <c r="F2" s="63" t="s">
        <v>171</v>
      </c>
      <c r="G2" s="63" t="s">
        <v>1057</v>
      </c>
      <c r="H2" s="63" t="s">
        <v>1058</v>
      </c>
      <c r="I2" s="63" t="s">
        <v>1059</v>
      </c>
      <c r="J2" s="63" t="s">
        <v>1060</v>
      </c>
      <c r="K2" s="63" t="s">
        <v>1061</v>
      </c>
    </row>
    <row r="3" spans="1:11">
      <c r="A3" s="63" t="s">
        <v>1058</v>
      </c>
      <c r="B3" s="63" t="s">
        <v>1062</v>
      </c>
      <c r="C3" s="63" t="s">
        <v>1053</v>
      </c>
      <c r="D3" s="63" t="s">
        <v>1063</v>
      </c>
      <c r="E3">
        <v>1000</v>
      </c>
      <c r="F3" s="63" t="s">
        <v>311</v>
      </c>
      <c r="H3">
        <v>1</v>
      </c>
      <c r="K3">
        <v>1</v>
      </c>
    </row>
    <row r="4" spans="1:11">
      <c r="A4" s="63" t="s">
        <v>1058</v>
      </c>
      <c r="B4" s="63" t="s">
        <v>1062</v>
      </c>
      <c r="C4" s="63" t="s">
        <v>1053</v>
      </c>
      <c r="D4" s="63" t="s">
        <v>1063</v>
      </c>
      <c r="E4">
        <v>1000</v>
      </c>
      <c r="F4" s="63" t="s">
        <v>185</v>
      </c>
      <c r="H4">
        <v>2</v>
      </c>
      <c r="K4">
        <v>2</v>
      </c>
    </row>
    <row r="5" spans="1:11">
      <c r="A5" s="63" t="s">
        <v>1058</v>
      </c>
      <c r="B5" s="63" t="s">
        <v>1062</v>
      </c>
      <c r="C5" s="63" t="s">
        <v>1053</v>
      </c>
      <c r="D5" s="63" t="s">
        <v>1063</v>
      </c>
      <c r="E5">
        <v>1000</v>
      </c>
      <c r="F5" s="63" t="s">
        <v>172</v>
      </c>
      <c r="H5">
        <v>1</v>
      </c>
      <c r="K5">
        <v>1</v>
      </c>
    </row>
    <row r="6" spans="1:11">
      <c r="A6" s="63" t="s">
        <v>1058</v>
      </c>
      <c r="B6" s="63" t="s">
        <v>1062</v>
      </c>
      <c r="C6" s="63" t="s">
        <v>1053</v>
      </c>
      <c r="D6" s="63" t="s">
        <v>1063</v>
      </c>
      <c r="E6">
        <v>1000</v>
      </c>
      <c r="F6" s="63" t="s">
        <v>203</v>
      </c>
      <c r="H6">
        <v>1</v>
      </c>
      <c r="K6">
        <v>1</v>
      </c>
    </row>
    <row r="7" spans="1:11">
      <c r="A7" s="63" t="s">
        <v>1058</v>
      </c>
      <c r="B7" s="63" t="s">
        <v>1062</v>
      </c>
      <c r="C7" s="63" t="s">
        <v>1053</v>
      </c>
      <c r="D7" s="63" t="s">
        <v>1063</v>
      </c>
      <c r="E7">
        <v>1000</v>
      </c>
      <c r="F7" s="63" t="s">
        <v>173</v>
      </c>
      <c r="H7">
        <v>3</v>
      </c>
      <c r="K7">
        <v>3</v>
      </c>
    </row>
    <row r="8" spans="1:11">
      <c r="A8" s="63" t="s">
        <v>1058</v>
      </c>
      <c r="B8" s="63" t="s">
        <v>1062</v>
      </c>
      <c r="C8" s="63" t="s">
        <v>1053</v>
      </c>
      <c r="D8" s="63" t="s">
        <v>1063</v>
      </c>
      <c r="E8">
        <v>1000</v>
      </c>
      <c r="F8" s="63" t="s">
        <v>2256</v>
      </c>
      <c r="H8">
        <v>1</v>
      </c>
      <c r="K8">
        <v>1</v>
      </c>
    </row>
    <row r="9" spans="1:11">
      <c r="A9" s="63" t="s">
        <v>1058</v>
      </c>
      <c r="B9" s="63" t="s">
        <v>1062</v>
      </c>
      <c r="C9" s="63" t="s">
        <v>1053</v>
      </c>
      <c r="D9" s="63" t="s">
        <v>1063</v>
      </c>
      <c r="E9">
        <v>1000</v>
      </c>
      <c r="F9" s="63" t="s">
        <v>174</v>
      </c>
      <c r="H9">
        <v>1</v>
      </c>
      <c r="K9">
        <v>1</v>
      </c>
    </row>
    <row r="10" spans="1:11">
      <c r="A10" s="63" t="s">
        <v>1058</v>
      </c>
      <c r="B10" s="63" t="s">
        <v>1062</v>
      </c>
      <c r="C10" s="63" t="s">
        <v>1053</v>
      </c>
      <c r="D10" s="63" t="s">
        <v>1063</v>
      </c>
      <c r="E10">
        <v>1000</v>
      </c>
      <c r="F10" s="63" t="s">
        <v>175</v>
      </c>
      <c r="H10">
        <v>7</v>
      </c>
      <c r="K10">
        <v>7</v>
      </c>
    </row>
    <row r="11" spans="1:11">
      <c r="A11" s="63" t="s">
        <v>1058</v>
      </c>
      <c r="B11" s="63" t="s">
        <v>1062</v>
      </c>
      <c r="C11" s="63" t="s">
        <v>1053</v>
      </c>
      <c r="D11" s="63" t="s">
        <v>1063</v>
      </c>
      <c r="E11">
        <v>1000</v>
      </c>
      <c r="F11" s="63" t="s">
        <v>184</v>
      </c>
      <c r="H11">
        <v>5</v>
      </c>
      <c r="K11">
        <v>5</v>
      </c>
    </row>
    <row r="12" spans="1:11">
      <c r="A12" s="63" t="s">
        <v>1058</v>
      </c>
      <c r="B12" s="63" t="s">
        <v>1062</v>
      </c>
      <c r="C12" s="63" t="s">
        <v>1053</v>
      </c>
      <c r="D12" s="63" t="s">
        <v>1063</v>
      </c>
      <c r="E12">
        <v>1000</v>
      </c>
      <c r="F12" s="63" t="s">
        <v>2257</v>
      </c>
      <c r="H12">
        <v>1</v>
      </c>
      <c r="K12">
        <v>1</v>
      </c>
    </row>
    <row r="13" spans="1:11">
      <c r="A13" s="63" t="s">
        <v>1058</v>
      </c>
      <c r="B13" s="63" t="s">
        <v>1062</v>
      </c>
      <c r="C13" s="63" t="s">
        <v>1053</v>
      </c>
      <c r="D13" s="63" t="s">
        <v>1063</v>
      </c>
      <c r="E13">
        <v>1000</v>
      </c>
      <c r="F13" s="63" t="s">
        <v>176</v>
      </c>
      <c r="H13">
        <v>1</v>
      </c>
      <c r="K13">
        <v>1</v>
      </c>
    </row>
    <row r="14" spans="1:11">
      <c r="A14" s="63" t="s">
        <v>1058</v>
      </c>
      <c r="B14" s="63" t="s">
        <v>1062</v>
      </c>
      <c r="C14" s="63" t="s">
        <v>1053</v>
      </c>
      <c r="D14" s="63" t="s">
        <v>1063</v>
      </c>
      <c r="E14">
        <v>1000</v>
      </c>
      <c r="F14" s="63" t="s">
        <v>253</v>
      </c>
      <c r="H14">
        <v>1</v>
      </c>
      <c r="K14">
        <v>1</v>
      </c>
    </row>
    <row r="15" spans="1:11">
      <c r="A15" s="63" t="s">
        <v>1058</v>
      </c>
      <c r="B15" s="63" t="s">
        <v>1062</v>
      </c>
      <c r="C15" s="63" t="s">
        <v>1053</v>
      </c>
      <c r="D15" s="63" t="s">
        <v>1063</v>
      </c>
      <c r="E15">
        <v>1000</v>
      </c>
      <c r="F15" s="63" t="s">
        <v>177</v>
      </c>
      <c r="H15">
        <v>1</v>
      </c>
      <c r="K15">
        <v>1</v>
      </c>
    </row>
    <row r="16" spans="1:11">
      <c r="A16" s="63" t="s">
        <v>1058</v>
      </c>
      <c r="B16" s="63" t="s">
        <v>1062</v>
      </c>
      <c r="C16" s="63" t="s">
        <v>1053</v>
      </c>
      <c r="D16" s="63" t="s">
        <v>1063</v>
      </c>
      <c r="E16">
        <v>1000</v>
      </c>
      <c r="F16" s="63" t="s">
        <v>178</v>
      </c>
      <c r="I16">
        <v>1</v>
      </c>
      <c r="K16">
        <v>1</v>
      </c>
    </row>
    <row r="17" spans="1:11">
      <c r="A17" s="63" t="s">
        <v>1058</v>
      </c>
      <c r="B17" s="63" t="s">
        <v>1062</v>
      </c>
      <c r="C17" s="63" t="s">
        <v>1053</v>
      </c>
      <c r="D17" s="63" t="s">
        <v>1063</v>
      </c>
      <c r="E17">
        <v>1000</v>
      </c>
      <c r="F17" s="63" t="s">
        <v>255</v>
      </c>
      <c r="G17">
        <v>1</v>
      </c>
      <c r="K17">
        <v>1</v>
      </c>
    </row>
    <row r="18" spans="1:11">
      <c r="A18" s="63" t="s">
        <v>1061</v>
      </c>
      <c r="G18">
        <v>1</v>
      </c>
      <c r="H18">
        <v>26</v>
      </c>
      <c r="I18">
        <v>1</v>
      </c>
      <c r="J18">
        <v>0</v>
      </c>
      <c r="K18">
        <v>28</v>
      </c>
    </row>
  </sheetData>
  <customSheetViews>
    <customSheetView guid="{86E069D6-AAB6-4ACE-BC4B-ADB04AF4E9D6}">
      <pageMargins left="0.7" right="0.7" top="0.75" bottom="0.75" header="0.3" footer="0.3"/>
    </customSheetView>
  </customSheetViews>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2"/>
  <dimension ref="A1:L1851"/>
  <sheetViews>
    <sheetView workbookViewId="0">
      <selection activeCell="E3" sqref="E3"/>
    </sheetView>
  </sheetViews>
  <sheetFormatPr defaultRowHeight="16.5"/>
  <cols>
    <col min="1" max="1" width="8" bestFit="1" customWidth="1"/>
    <col min="2" max="2" width="14.875" bestFit="1" customWidth="1"/>
    <col min="3" max="3" width="21.875" bestFit="1" customWidth="1"/>
    <col min="4" max="4" width="7.25" bestFit="1" customWidth="1"/>
    <col min="5" max="5" width="9.25" bestFit="1" customWidth="1"/>
    <col min="6" max="6" width="7.5" bestFit="1" customWidth="1"/>
    <col min="7" max="7" width="7.625" bestFit="1" customWidth="1"/>
    <col min="8" max="8" width="8.5" bestFit="1" customWidth="1"/>
    <col min="9" max="9" width="10.5" bestFit="1" customWidth="1"/>
    <col min="10" max="10" width="13.375" bestFit="1" customWidth="1"/>
  </cols>
  <sheetData>
    <row r="1" spans="1:12">
      <c r="A1" s="63" t="s">
        <v>73</v>
      </c>
      <c r="B1" s="63" t="s">
        <v>87</v>
      </c>
      <c r="C1" s="63" t="s">
        <v>262</v>
      </c>
      <c r="D1" s="63" t="s">
        <v>78</v>
      </c>
      <c r="E1" s="63" t="s">
        <v>171</v>
      </c>
      <c r="F1" s="63" t="s">
        <v>77</v>
      </c>
      <c r="G1" s="63" t="s">
        <v>74</v>
      </c>
      <c r="H1" s="63" t="s">
        <v>75</v>
      </c>
      <c r="I1" s="63" t="s">
        <v>263</v>
      </c>
      <c r="J1" s="63" t="s">
        <v>86</v>
      </c>
      <c r="K1" s="63" t="s">
        <v>264</v>
      </c>
      <c r="L1" s="63" t="s">
        <v>265</v>
      </c>
    </row>
    <row r="2" spans="1:12">
      <c r="A2">
        <v>0</v>
      </c>
      <c r="B2" s="63" t="s">
        <v>266</v>
      </c>
      <c r="F2" s="63" t="s">
        <v>267</v>
      </c>
      <c r="G2">
        <v>1</v>
      </c>
      <c r="H2">
        <v>1</v>
      </c>
      <c r="I2">
        <v>1</v>
      </c>
      <c r="J2">
        <v>1</v>
      </c>
      <c r="K2">
        <v>8593.4500000000007</v>
      </c>
      <c r="L2">
        <v>358</v>
      </c>
    </row>
    <row r="3" spans="1:12">
      <c r="A3">
        <v>0</v>
      </c>
      <c r="B3" s="63" t="s">
        <v>266</v>
      </c>
      <c r="E3" s="63" t="s">
        <v>311</v>
      </c>
      <c r="F3" s="63" t="s">
        <v>2284</v>
      </c>
      <c r="G3">
        <v>1</v>
      </c>
      <c r="H3">
        <v>1</v>
      </c>
      <c r="I3">
        <v>1</v>
      </c>
      <c r="J3">
        <v>1</v>
      </c>
      <c r="K3">
        <v>145.15</v>
      </c>
      <c r="L3">
        <v>6</v>
      </c>
    </row>
    <row r="4" spans="1:12">
      <c r="A4">
        <v>0</v>
      </c>
      <c r="B4" s="63" t="s">
        <v>266</v>
      </c>
      <c r="E4" s="63" t="s">
        <v>311</v>
      </c>
      <c r="F4" s="63" t="s">
        <v>2285</v>
      </c>
      <c r="G4">
        <v>1</v>
      </c>
      <c r="H4">
        <v>1</v>
      </c>
      <c r="I4">
        <v>1</v>
      </c>
      <c r="J4">
        <v>1</v>
      </c>
      <c r="K4">
        <v>119.6</v>
      </c>
      <c r="L4">
        <v>4</v>
      </c>
    </row>
    <row r="5" spans="1:12">
      <c r="A5">
        <v>0</v>
      </c>
      <c r="B5" s="63" t="s">
        <v>266</v>
      </c>
      <c r="E5" s="63" t="s">
        <v>203</v>
      </c>
      <c r="F5" s="63" t="s">
        <v>2286</v>
      </c>
      <c r="G5">
        <v>1</v>
      </c>
      <c r="H5">
        <v>1</v>
      </c>
      <c r="I5">
        <v>1</v>
      </c>
      <c r="J5">
        <v>1</v>
      </c>
      <c r="K5">
        <v>147.15</v>
      </c>
      <c r="L5">
        <v>6</v>
      </c>
    </row>
    <row r="6" spans="1:12">
      <c r="A6">
        <v>0</v>
      </c>
      <c r="B6" s="63" t="s">
        <v>266</v>
      </c>
      <c r="E6" s="63" t="s">
        <v>203</v>
      </c>
      <c r="F6" s="63" t="s">
        <v>2287</v>
      </c>
      <c r="G6">
        <v>1</v>
      </c>
      <c r="H6">
        <v>1</v>
      </c>
      <c r="I6">
        <v>1</v>
      </c>
      <c r="J6">
        <v>1</v>
      </c>
      <c r="K6">
        <v>147.44999999999999</v>
      </c>
      <c r="L6">
        <v>6</v>
      </c>
    </row>
    <row r="7" spans="1:12">
      <c r="A7">
        <v>0</v>
      </c>
      <c r="B7" s="63" t="s">
        <v>266</v>
      </c>
      <c r="E7" s="63" t="s">
        <v>203</v>
      </c>
      <c r="F7" s="63" t="s">
        <v>2288</v>
      </c>
      <c r="G7">
        <v>1</v>
      </c>
      <c r="H7">
        <v>1</v>
      </c>
      <c r="I7">
        <v>1</v>
      </c>
      <c r="J7">
        <v>1</v>
      </c>
      <c r="K7">
        <v>147.15</v>
      </c>
      <c r="L7">
        <v>6</v>
      </c>
    </row>
    <row r="8" spans="1:12">
      <c r="A8">
        <v>0</v>
      </c>
      <c r="B8" s="63" t="s">
        <v>266</v>
      </c>
      <c r="E8" s="63" t="s">
        <v>203</v>
      </c>
      <c r="F8" s="63" t="s">
        <v>1715</v>
      </c>
      <c r="G8">
        <v>1</v>
      </c>
      <c r="H8">
        <v>1</v>
      </c>
      <c r="I8">
        <v>1</v>
      </c>
      <c r="J8">
        <v>1</v>
      </c>
      <c r="K8">
        <v>0.45</v>
      </c>
      <c r="L8">
        <v>0</v>
      </c>
    </row>
    <row r="9" spans="1:12">
      <c r="A9">
        <v>0</v>
      </c>
      <c r="B9" s="63" t="s">
        <v>266</v>
      </c>
      <c r="E9" s="63" t="s">
        <v>203</v>
      </c>
      <c r="F9" s="63" t="s">
        <v>2289</v>
      </c>
      <c r="G9">
        <v>1</v>
      </c>
      <c r="H9">
        <v>1</v>
      </c>
      <c r="I9">
        <v>1</v>
      </c>
      <c r="J9">
        <v>1</v>
      </c>
      <c r="K9">
        <v>144.44999999999999</v>
      </c>
      <c r="L9">
        <v>6</v>
      </c>
    </row>
    <row r="10" spans="1:12">
      <c r="A10">
        <v>0</v>
      </c>
      <c r="B10" s="63" t="s">
        <v>266</v>
      </c>
      <c r="E10" s="63" t="s">
        <v>203</v>
      </c>
      <c r="F10" s="63" t="s">
        <v>1315</v>
      </c>
      <c r="G10">
        <v>1</v>
      </c>
      <c r="H10">
        <v>1</v>
      </c>
      <c r="I10">
        <v>1</v>
      </c>
      <c r="J10">
        <v>1</v>
      </c>
      <c r="K10">
        <v>53.15</v>
      </c>
      <c r="L10">
        <v>2</v>
      </c>
    </row>
    <row r="11" spans="1:12">
      <c r="A11">
        <v>0</v>
      </c>
      <c r="B11" s="63" t="s">
        <v>266</v>
      </c>
      <c r="E11" s="63" t="s">
        <v>184</v>
      </c>
      <c r="F11" s="63" t="s">
        <v>2290</v>
      </c>
      <c r="G11">
        <v>1</v>
      </c>
      <c r="H11">
        <v>1</v>
      </c>
      <c r="I11">
        <v>1</v>
      </c>
      <c r="J11">
        <v>1</v>
      </c>
      <c r="K11">
        <v>145.15</v>
      </c>
      <c r="L11">
        <v>6</v>
      </c>
    </row>
    <row r="12" spans="1:12">
      <c r="A12">
        <v>0</v>
      </c>
      <c r="B12" s="63" t="s">
        <v>266</v>
      </c>
      <c r="E12" s="63" t="s">
        <v>184</v>
      </c>
      <c r="F12" s="63" t="s">
        <v>2291</v>
      </c>
      <c r="G12">
        <v>1</v>
      </c>
      <c r="H12">
        <v>1</v>
      </c>
      <c r="I12">
        <v>1</v>
      </c>
      <c r="J12">
        <v>1</v>
      </c>
      <c r="K12">
        <v>149.6</v>
      </c>
      <c r="L12">
        <v>6</v>
      </c>
    </row>
    <row r="13" spans="1:12">
      <c r="A13">
        <v>0</v>
      </c>
      <c r="B13" s="63" t="s">
        <v>266</v>
      </c>
      <c r="E13" s="63" t="s">
        <v>184</v>
      </c>
      <c r="F13" s="63" t="s">
        <v>2292</v>
      </c>
      <c r="G13">
        <v>1</v>
      </c>
      <c r="H13">
        <v>1</v>
      </c>
      <c r="I13">
        <v>1</v>
      </c>
      <c r="J13">
        <v>1</v>
      </c>
      <c r="K13">
        <v>149.6</v>
      </c>
      <c r="L13">
        <v>6</v>
      </c>
    </row>
    <row r="14" spans="1:12">
      <c r="A14">
        <v>0</v>
      </c>
      <c r="B14" s="63" t="s">
        <v>266</v>
      </c>
      <c r="E14" s="63" t="s">
        <v>184</v>
      </c>
      <c r="F14" s="63" t="s">
        <v>2293</v>
      </c>
      <c r="G14">
        <v>1</v>
      </c>
      <c r="H14">
        <v>1</v>
      </c>
      <c r="I14">
        <v>1</v>
      </c>
      <c r="J14">
        <v>1</v>
      </c>
      <c r="K14">
        <v>149.6</v>
      </c>
      <c r="L14">
        <v>6</v>
      </c>
    </row>
    <row r="15" spans="1:12">
      <c r="A15">
        <v>0</v>
      </c>
      <c r="B15" s="63" t="s">
        <v>266</v>
      </c>
      <c r="E15" s="63" t="s">
        <v>184</v>
      </c>
      <c r="F15" s="63" t="s">
        <v>2294</v>
      </c>
      <c r="G15">
        <v>1</v>
      </c>
      <c r="H15">
        <v>1</v>
      </c>
      <c r="I15">
        <v>1</v>
      </c>
      <c r="J15">
        <v>1</v>
      </c>
      <c r="K15">
        <v>124.6</v>
      </c>
      <c r="L15">
        <v>5</v>
      </c>
    </row>
    <row r="16" spans="1:12">
      <c r="A16">
        <v>0</v>
      </c>
      <c r="B16" s="63" t="s">
        <v>266</v>
      </c>
      <c r="E16" s="63" t="s">
        <v>176</v>
      </c>
      <c r="F16" s="63" t="s">
        <v>2295</v>
      </c>
      <c r="G16">
        <v>1</v>
      </c>
      <c r="H16">
        <v>1</v>
      </c>
      <c r="I16">
        <v>1</v>
      </c>
      <c r="J16">
        <v>1</v>
      </c>
      <c r="K16">
        <v>120.6</v>
      </c>
      <c r="L16">
        <v>5</v>
      </c>
    </row>
    <row r="17" spans="1:12">
      <c r="A17">
        <v>0</v>
      </c>
      <c r="B17" s="63" t="s">
        <v>266</v>
      </c>
      <c r="E17" s="63" t="s">
        <v>176</v>
      </c>
      <c r="F17" s="63" t="s">
        <v>2296</v>
      </c>
      <c r="G17">
        <v>1</v>
      </c>
      <c r="H17">
        <v>1</v>
      </c>
      <c r="I17">
        <v>1</v>
      </c>
      <c r="J17">
        <v>1</v>
      </c>
      <c r="K17">
        <v>124.6</v>
      </c>
      <c r="L17">
        <v>5</v>
      </c>
    </row>
    <row r="18" spans="1:12">
      <c r="A18">
        <v>0</v>
      </c>
      <c r="B18" s="63" t="s">
        <v>266</v>
      </c>
      <c r="E18" s="63" t="s">
        <v>176</v>
      </c>
      <c r="F18" s="63" t="s">
        <v>2297</v>
      </c>
      <c r="G18">
        <v>1</v>
      </c>
      <c r="H18">
        <v>1</v>
      </c>
      <c r="I18">
        <v>1</v>
      </c>
      <c r="J18">
        <v>1</v>
      </c>
      <c r="K18">
        <v>144.6</v>
      </c>
      <c r="L18">
        <v>6</v>
      </c>
    </row>
    <row r="19" spans="1:12">
      <c r="A19">
        <v>1</v>
      </c>
      <c r="B19" s="63" t="s">
        <v>268</v>
      </c>
      <c r="C19" s="63" t="s">
        <v>1118</v>
      </c>
      <c r="D19" s="63" t="s">
        <v>269</v>
      </c>
      <c r="E19" s="63" t="s">
        <v>177</v>
      </c>
      <c r="F19" s="63" t="s">
        <v>1730</v>
      </c>
      <c r="G19">
        <v>1</v>
      </c>
      <c r="H19">
        <v>12</v>
      </c>
      <c r="I19">
        <v>12</v>
      </c>
      <c r="J19">
        <v>12</v>
      </c>
      <c r="K19">
        <v>4</v>
      </c>
      <c r="L19">
        <v>675</v>
      </c>
    </row>
    <row r="20" spans="1:12">
      <c r="A20">
        <v>1</v>
      </c>
      <c r="B20" s="63" t="s">
        <v>268</v>
      </c>
      <c r="C20" s="63" t="s">
        <v>270</v>
      </c>
      <c r="D20" s="63" t="s">
        <v>269</v>
      </c>
      <c r="E20" s="63" t="s">
        <v>254</v>
      </c>
      <c r="F20" s="63" t="s">
        <v>2298</v>
      </c>
      <c r="G20">
        <v>1</v>
      </c>
      <c r="H20">
        <v>12</v>
      </c>
      <c r="I20">
        <v>12</v>
      </c>
      <c r="J20">
        <v>12</v>
      </c>
      <c r="K20">
        <v>110.35</v>
      </c>
      <c r="L20">
        <v>675</v>
      </c>
    </row>
    <row r="21" spans="1:12">
      <c r="A21" s="63" t="s">
        <v>271</v>
      </c>
      <c r="B21" s="63" t="s">
        <v>622</v>
      </c>
      <c r="C21" s="63" t="s">
        <v>623</v>
      </c>
      <c r="D21" s="63" t="s">
        <v>261</v>
      </c>
      <c r="E21" s="63" t="s">
        <v>1164</v>
      </c>
      <c r="F21" s="63" t="s">
        <v>2299</v>
      </c>
      <c r="G21">
        <v>1</v>
      </c>
      <c r="H21">
        <v>10</v>
      </c>
      <c r="I21">
        <v>10</v>
      </c>
      <c r="J21">
        <v>10</v>
      </c>
      <c r="K21">
        <v>180.6</v>
      </c>
      <c r="L21">
        <v>88</v>
      </c>
    </row>
    <row r="22" spans="1:12">
      <c r="A22" s="63" t="s">
        <v>271</v>
      </c>
      <c r="B22" s="63" t="s">
        <v>273</v>
      </c>
      <c r="C22" s="63" t="s">
        <v>1582</v>
      </c>
      <c r="D22" s="63" t="s">
        <v>261</v>
      </c>
      <c r="E22" s="63" t="s">
        <v>839</v>
      </c>
      <c r="F22" s="63" t="s">
        <v>1753</v>
      </c>
      <c r="G22">
        <v>1</v>
      </c>
      <c r="H22">
        <v>11</v>
      </c>
      <c r="I22">
        <v>11</v>
      </c>
      <c r="J22">
        <v>11</v>
      </c>
      <c r="K22">
        <v>268.87</v>
      </c>
      <c r="L22">
        <v>11</v>
      </c>
    </row>
    <row r="23" spans="1:12">
      <c r="A23" s="63" t="s">
        <v>271</v>
      </c>
      <c r="B23" s="63" t="s">
        <v>2300</v>
      </c>
      <c r="C23" s="63" t="s">
        <v>2301</v>
      </c>
      <c r="D23" s="63" t="s">
        <v>261</v>
      </c>
      <c r="E23" s="63" t="s">
        <v>283</v>
      </c>
      <c r="F23" s="63" t="s">
        <v>1921</v>
      </c>
      <c r="G23">
        <v>1</v>
      </c>
      <c r="H23">
        <v>20</v>
      </c>
      <c r="I23">
        <v>20</v>
      </c>
      <c r="J23">
        <v>20</v>
      </c>
      <c r="K23">
        <v>329.82</v>
      </c>
      <c r="L23">
        <v>353</v>
      </c>
    </row>
    <row r="24" spans="1:12">
      <c r="A24" s="63" t="s">
        <v>271</v>
      </c>
      <c r="B24" s="63" t="s">
        <v>2300</v>
      </c>
      <c r="C24" s="63" t="s">
        <v>2301</v>
      </c>
      <c r="D24" s="63" t="s">
        <v>261</v>
      </c>
      <c r="E24" s="63" t="s">
        <v>1022</v>
      </c>
      <c r="F24" s="63" t="s">
        <v>2302</v>
      </c>
      <c r="G24">
        <v>1</v>
      </c>
      <c r="H24">
        <v>11</v>
      </c>
      <c r="I24">
        <v>11</v>
      </c>
      <c r="J24">
        <v>11</v>
      </c>
      <c r="K24">
        <v>329.12</v>
      </c>
      <c r="L24">
        <v>353</v>
      </c>
    </row>
    <row r="25" spans="1:12">
      <c r="A25" s="63" t="s">
        <v>271</v>
      </c>
      <c r="B25" s="63" t="s">
        <v>2300</v>
      </c>
      <c r="C25" s="63" t="s">
        <v>2301</v>
      </c>
      <c r="D25" s="63" t="s">
        <v>261</v>
      </c>
      <c r="E25" s="63" t="s">
        <v>289</v>
      </c>
      <c r="F25" s="63" t="s">
        <v>824</v>
      </c>
      <c r="G25">
        <v>1</v>
      </c>
      <c r="H25">
        <v>20</v>
      </c>
      <c r="I25">
        <v>20</v>
      </c>
      <c r="J25">
        <v>20</v>
      </c>
      <c r="K25">
        <v>329.67</v>
      </c>
      <c r="L25">
        <v>353</v>
      </c>
    </row>
    <row r="26" spans="1:12">
      <c r="A26" s="63" t="s">
        <v>271</v>
      </c>
      <c r="B26" s="63" t="s">
        <v>2300</v>
      </c>
      <c r="C26" s="63" t="s">
        <v>2301</v>
      </c>
      <c r="D26" s="63" t="s">
        <v>261</v>
      </c>
      <c r="E26" s="63" t="s">
        <v>289</v>
      </c>
      <c r="F26" s="63" t="s">
        <v>2303</v>
      </c>
      <c r="G26">
        <v>1</v>
      </c>
      <c r="H26">
        <v>20</v>
      </c>
      <c r="I26">
        <v>20</v>
      </c>
      <c r="J26">
        <v>20</v>
      </c>
      <c r="K26">
        <v>329.52</v>
      </c>
      <c r="L26">
        <v>353</v>
      </c>
    </row>
    <row r="27" spans="1:12">
      <c r="A27" s="63" t="s">
        <v>271</v>
      </c>
      <c r="B27" s="63" t="s">
        <v>2300</v>
      </c>
      <c r="C27" s="63" t="s">
        <v>2301</v>
      </c>
      <c r="D27" s="63" t="s">
        <v>261</v>
      </c>
      <c r="E27" s="63" t="s">
        <v>424</v>
      </c>
      <c r="F27" s="63" t="s">
        <v>2304</v>
      </c>
      <c r="G27">
        <v>1</v>
      </c>
      <c r="H27">
        <v>20</v>
      </c>
      <c r="I27">
        <v>20</v>
      </c>
      <c r="J27">
        <v>20</v>
      </c>
      <c r="K27">
        <v>329.2</v>
      </c>
      <c r="L27">
        <v>353</v>
      </c>
    </row>
    <row r="28" spans="1:12">
      <c r="A28" s="63" t="s">
        <v>271</v>
      </c>
      <c r="B28" s="63" t="s">
        <v>588</v>
      </c>
      <c r="C28" s="63" t="s">
        <v>589</v>
      </c>
      <c r="D28" s="63" t="s">
        <v>261</v>
      </c>
      <c r="E28" s="63" t="s">
        <v>424</v>
      </c>
      <c r="F28" s="63" t="s">
        <v>2305</v>
      </c>
      <c r="G28">
        <v>1</v>
      </c>
      <c r="H28">
        <v>2</v>
      </c>
      <c r="I28">
        <v>2</v>
      </c>
      <c r="J28">
        <v>2</v>
      </c>
      <c r="K28">
        <v>130.65</v>
      </c>
      <c r="L28">
        <v>21</v>
      </c>
    </row>
    <row r="29" spans="1:12">
      <c r="A29" s="63" t="s">
        <v>271</v>
      </c>
      <c r="B29" s="63" t="s">
        <v>330</v>
      </c>
      <c r="C29" s="63" t="s">
        <v>1076</v>
      </c>
      <c r="D29" s="63" t="s">
        <v>261</v>
      </c>
      <c r="E29" s="63" t="s">
        <v>1164</v>
      </c>
      <c r="F29" s="63" t="s">
        <v>1765</v>
      </c>
      <c r="G29">
        <v>1</v>
      </c>
      <c r="H29">
        <v>10</v>
      </c>
      <c r="I29">
        <v>10</v>
      </c>
      <c r="J29">
        <v>10</v>
      </c>
      <c r="K29">
        <v>181.72</v>
      </c>
      <c r="L29">
        <v>9</v>
      </c>
    </row>
    <row r="30" spans="1:12">
      <c r="A30" s="63" t="s">
        <v>271</v>
      </c>
      <c r="B30" s="63" t="s">
        <v>330</v>
      </c>
      <c r="C30" s="63" t="s">
        <v>1076</v>
      </c>
      <c r="D30" s="63" t="s">
        <v>261</v>
      </c>
      <c r="E30" s="63" t="s">
        <v>277</v>
      </c>
      <c r="F30" s="63" t="s">
        <v>1581</v>
      </c>
      <c r="G30">
        <v>1</v>
      </c>
      <c r="H30">
        <v>1</v>
      </c>
      <c r="I30">
        <v>1</v>
      </c>
      <c r="J30">
        <v>1</v>
      </c>
      <c r="K30">
        <v>278.12</v>
      </c>
      <c r="L30">
        <v>14</v>
      </c>
    </row>
    <row r="31" spans="1:12">
      <c r="A31" s="63" t="s">
        <v>271</v>
      </c>
      <c r="B31" s="63" t="s">
        <v>274</v>
      </c>
      <c r="C31" s="63" t="s">
        <v>275</v>
      </c>
      <c r="D31" s="63" t="s">
        <v>261</v>
      </c>
      <c r="E31" s="63" t="s">
        <v>372</v>
      </c>
      <c r="F31" s="63" t="s">
        <v>2306</v>
      </c>
      <c r="G31">
        <v>1</v>
      </c>
      <c r="H31">
        <v>11</v>
      </c>
      <c r="I31">
        <v>11</v>
      </c>
      <c r="J31">
        <v>11</v>
      </c>
      <c r="K31">
        <v>73.2</v>
      </c>
      <c r="L31">
        <v>20</v>
      </c>
    </row>
    <row r="32" spans="1:12">
      <c r="A32" s="63" t="s">
        <v>271</v>
      </c>
      <c r="B32" s="63" t="s">
        <v>274</v>
      </c>
      <c r="C32" s="63" t="s">
        <v>275</v>
      </c>
      <c r="D32" s="63" t="s">
        <v>261</v>
      </c>
      <c r="E32" s="63" t="s">
        <v>277</v>
      </c>
      <c r="F32" s="63" t="s">
        <v>2307</v>
      </c>
      <c r="G32">
        <v>1</v>
      </c>
      <c r="H32">
        <v>20</v>
      </c>
      <c r="I32">
        <v>20</v>
      </c>
      <c r="J32">
        <v>20</v>
      </c>
      <c r="K32">
        <v>76.27</v>
      </c>
      <c r="L32">
        <v>18</v>
      </c>
    </row>
    <row r="33" spans="1:12">
      <c r="A33">
        <v>60</v>
      </c>
      <c r="B33" s="63" t="s">
        <v>268</v>
      </c>
      <c r="C33" s="63" t="s">
        <v>1118</v>
      </c>
      <c r="D33" s="63" t="s">
        <v>269</v>
      </c>
      <c r="E33" s="63" t="s">
        <v>174</v>
      </c>
      <c r="F33" s="63" t="s">
        <v>1297</v>
      </c>
      <c r="G33">
        <v>1</v>
      </c>
      <c r="H33">
        <v>13</v>
      </c>
      <c r="I33">
        <v>13</v>
      </c>
      <c r="J33">
        <v>13</v>
      </c>
      <c r="K33">
        <v>63.63</v>
      </c>
      <c r="L33">
        <v>283</v>
      </c>
    </row>
    <row r="34" spans="1:12">
      <c r="A34">
        <v>60</v>
      </c>
      <c r="B34" s="63" t="s">
        <v>268</v>
      </c>
      <c r="C34" s="63" t="s">
        <v>1118</v>
      </c>
      <c r="D34" s="63" t="s">
        <v>269</v>
      </c>
      <c r="E34" s="63" t="s">
        <v>174</v>
      </c>
      <c r="F34" s="63" t="s">
        <v>2088</v>
      </c>
      <c r="G34">
        <v>1</v>
      </c>
      <c r="H34">
        <v>10</v>
      </c>
      <c r="I34">
        <v>10</v>
      </c>
      <c r="J34">
        <v>10</v>
      </c>
      <c r="K34">
        <v>39.15</v>
      </c>
      <c r="L34">
        <v>283</v>
      </c>
    </row>
    <row r="35" spans="1:12">
      <c r="A35">
        <v>190</v>
      </c>
      <c r="B35" s="63" t="s">
        <v>278</v>
      </c>
      <c r="C35" s="63" t="s">
        <v>279</v>
      </c>
      <c r="D35" s="63" t="s">
        <v>269</v>
      </c>
      <c r="F35" s="63" t="s">
        <v>280</v>
      </c>
      <c r="G35">
        <v>1</v>
      </c>
      <c r="H35">
        <v>1</v>
      </c>
      <c r="I35">
        <v>1</v>
      </c>
      <c r="J35">
        <v>1</v>
      </c>
      <c r="K35">
        <v>4950.8999999999996</v>
      </c>
      <c r="L35">
        <v>507</v>
      </c>
    </row>
    <row r="36" spans="1:12">
      <c r="A36">
        <v>190</v>
      </c>
      <c r="B36" s="63" t="s">
        <v>281</v>
      </c>
      <c r="C36" s="63" t="s">
        <v>282</v>
      </c>
      <c r="D36" s="63" t="s">
        <v>269</v>
      </c>
      <c r="E36" s="63" t="s">
        <v>283</v>
      </c>
      <c r="F36" s="63" t="s">
        <v>284</v>
      </c>
      <c r="G36">
        <v>1</v>
      </c>
      <c r="H36">
        <v>5</v>
      </c>
      <c r="I36">
        <v>5</v>
      </c>
      <c r="J36">
        <v>5</v>
      </c>
      <c r="K36">
        <v>9719.18</v>
      </c>
      <c r="L36">
        <v>418</v>
      </c>
    </row>
    <row r="37" spans="1:12">
      <c r="A37">
        <v>190</v>
      </c>
      <c r="B37" s="63" t="s">
        <v>281</v>
      </c>
      <c r="C37" s="63" t="s">
        <v>282</v>
      </c>
      <c r="D37" s="63" t="s">
        <v>269</v>
      </c>
      <c r="E37" s="63" t="s">
        <v>172</v>
      </c>
      <c r="F37" s="63" t="s">
        <v>1512</v>
      </c>
      <c r="G37">
        <v>1</v>
      </c>
      <c r="H37">
        <v>22</v>
      </c>
      <c r="I37">
        <v>22</v>
      </c>
      <c r="J37">
        <v>22</v>
      </c>
      <c r="K37">
        <v>1532.7</v>
      </c>
      <c r="L37">
        <v>236</v>
      </c>
    </row>
    <row r="38" spans="1:12">
      <c r="A38">
        <v>190</v>
      </c>
      <c r="B38" s="63" t="s">
        <v>281</v>
      </c>
      <c r="C38" s="63" t="s">
        <v>282</v>
      </c>
      <c r="D38" s="63" t="s">
        <v>285</v>
      </c>
      <c r="E38" s="63" t="s">
        <v>286</v>
      </c>
      <c r="F38" s="63" t="s">
        <v>287</v>
      </c>
      <c r="G38">
        <v>1</v>
      </c>
      <c r="H38">
        <v>20</v>
      </c>
      <c r="I38">
        <v>20</v>
      </c>
      <c r="J38">
        <v>20</v>
      </c>
      <c r="K38">
        <v>4713.75</v>
      </c>
      <c r="L38">
        <v>427</v>
      </c>
    </row>
    <row r="39" spans="1:12">
      <c r="A39">
        <v>190</v>
      </c>
      <c r="B39" s="63" t="s">
        <v>281</v>
      </c>
      <c r="C39" s="63" t="s">
        <v>282</v>
      </c>
      <c r="D39" s="63" t="s">
        <v>285</v>
      </c>
      <c r="E39" s="63" t="s">
        <v>294</v>
      </c>
      <c r="F39" s="63" t="s">
        <v>1599</v>
      </c>
      <c r="G39">
        <v>1</v>
      </c>
      <c r="H39">
        <v>20</v>
      </c>
      <c r="I39">
        <v>20</v>
      </c>
      <c r="J39">
        <v>20</v>
      </c>
      <c r="K39">
        <v>4715.32</v>
      </c>
      <c r="L39">
        <v>781</v>
      </c>
    </row>
    <row r="40" spans="1:12">
      <c r="A40">
        <v>190</v>
      </c>
      <c r="B40" s="63" t="s">
        <v>281</v>
      </c>
      <c r="C40" s="63" t="s">
        <v>282</v>
      </c>
      <c r="D40" s="63" t="s">
        <v>285</v>
      </c>
      <c r="E40" s="63" t="s">
        <v>203</v>
      </c>
      <c r="F40" s="63" t="s">
        <v>1429</v>
      </c>
      <c r="G40">
        <v>1</v>
      </c>
      <c r="H40">
        <v>52</v>
      </c>
      <c r="I40">
        <v>52</v>
      </c>
      <c r="J40">
        <v>52</v>
      </c>
      <c r="K40">
        <v>1531.97</v>
      </c>
      <c r="L40">
        <v>862</v>
      </c>
    </row>
    <row r="41" spans="1:12">
      <c r="A41">
        <v>190</v>
      </c>
      <c r="B41" s="63" t="s">
        <v>290</v>
      </c>
      <c r="C41" s="63" t="s">
        <v>291</v>
      </c>
      <c r="D41" s="63" t="s">
        <v>285</v>
      </c>
      <c r="E41" s="63" t="s">
        <v>286</v>
      </c>
      <c r="F41" s="63" t="s">
        <v>292</v>
      </c>
      <c r="G41">
        <v>1</v>
      </c>
      <c r="H41">
        <v>10</v>
      </c>
      <c r="I41">
        <v>10</v>
      </c>
      <c r="J41">
        <v>10</v>
      </c>
      <c r="K41">
        <v>4715.55</v>
      </c>
      <c r="L41">
        <v>573</v>
      </c>
    </row>
    <row r="42" spans="1:12">
      <c r="A42">
        <v>190</v>
      </c>
      <c r="B42" s="63" t="s">
        <v>290</v>
      </c>
      <c r="C42" s="63" t="s">
        <v>291</v>
      </c>
      <c r="D42" s="63" t="s">
        <v>285</v>
      </c>
      <c r="E42" s="63" t="s">
        <v>272</v>
      </c>
      <c r="F42" s="63" t="s">
        <v>293</v>
      </c>
      <c r="G42">
        <v>1</v>
      </c>
      <c r="H42">
        <v>16</v>
      </c>
      <c r="I42">
        <v>16</v>
      </c>
      <c r="J42">
        <v>16</v>
      </c>
      <c r="K42">
        <v>4717.68</v>
      </c>
      <c r="L42">
        <v>797</v>
      </c>
    </row>
    <row r="43" spans="1:12">
      <c r="A43">
        <v>190</v>
      </c>
      <c r="B43" s="63" t="s">
        <v>290</v>
      </c>
      <c r="C43" s="63" t="s">
        <v>291</v>
      </c>
      <c r="D43" s="63" t="s">
        <v>285</v>
      </c>
      <c r="E43" s="63" t="s">
        <v>294</v>
      </c>
      <c r="F43" s="63" t="s">
        <v>295</v>
      </c>
      <c r="G43">
        <v>1</v>
      </c>
      <c r="H43">
        <v>20</v>
      </c>
      <c r="I43">
        <v>20</v>
      </c>
      <c r="J43">
        <v>20</v>
      </c>
      <c r="K43">
        <v>4716.05</v>
      </c>
      <c r="L43">
        <v>927</v>
      </c>
    </row>
    <row r="44" spans="1:12">
      <c r="A44">
        <v>190</v>
      </c>
      <c r="B44" s="63" t="s">
        <v>296</v>
      </c>
      <c r="C44" s="63" t="s">
        <v>297</v>
      </c>
      <c r="D44" s="63" t="s">
        <v>285</v>
      </c>
      <c r="E44" s="63" t="s">
        <v>272</v>
      </c>
      <c r="F44" s="63" t="s">
        <v>298</v>
      </c>
      <c r="G44">
        <v>1</v>
      </c>
      <c r="H44">
        <v>5</v>
      </c>
      <c r="I44">
        <v>5</v>
      </c>
      <c r="J44">
        <v>5</v>
      </c>
      <c r="K44">
        <v>4718.37</v>
      </c>
      <c r="L44">
        <v>708</v>
      </c>
    </row>
    <row r="45" spans="1:12">
      <c r="A45">
        <v>190</v>
      </c>
      <c r="B45" s="63" t="s">
        <v>296</v>
      </c>
      <c r="C45" s="63" t="s">
        <v>297</v>
      </c>
      <c r="D45" s="63" t="s">
        <v>285</v>
      </c>
      <c r="E45" s="63" t="s">
        <v>175</v>
      </c>
      <c r="F45" s="63" t="s">
        <v>1012</v>
      </c>
      <c r="G45">
        <v>1</v>
      </c>
      <c r="H45">
        <v>1</v>
      </c>
      <c r="I45">
        <v>1</v>
      </c>
      <c r="J45">
        <v>1</v>
      </c>
      <c r="K45">
        <v>2058.08</v>
      </c>
      <c r="L45">
        <v>90</v>
      </c>
    </row>
    <row r="46" spans="1:12">
      <c r="A46">
        <v>200</v>
      </c>
      <c r="B46" s="63" t="s">
        <v>911</v>
      </c>
      <c r="G46">
        <v>1</v>
      </c>
      <c r="H46">
        <v>120</v>
      </c>
      <c r="I46">
        <v>120</v>
      </c>
      <c r="J46">
        <v>120</v>
      </c>
      <c r="K46">
        <v>1.03</v>
      </c>
      <c r="L46">
        <v>0</v>
      </c>
    </row>
    <row r="47" spans="1:12">
      <c r="A47">
        <v>200</v>
      </c>
      <c r="B47" s="63" t="s">
        <v>911</v>
      </c>
      <c r="E47" s="63" t="s">
        <v>2308</v>
      </c>
      <c r="F47" s="63" t="s">
        <v>1336</v>
      </c>
      <c r="G47">
        <v>1</v>
      </c>
      <c r="H47">
        <v>60</v>
      </c>
      <c r="I47">
        <v>60</v>
      </c>
      <c r="J47">
        <v>60</v>
      </c>
      <c r="K47">
        <v>0.77</v>
      </c>
      <c r="L47">
        <v>0</v>
      </c>
    </row>
    <row r="48" spans="1:12">
      <c r="A48">
        <v>200</v>
      </c>
      <c r="B48" s="63" t="s">
        <v>330</v>
      </c>
      <c r="C48" s="63" t="s">
        <v>331</v>
      </c>
      <c r="D48" s="63" t="s">
        <v>261</v>
      </c>
      <c r="G48">
        <v>1</v>
      </c>
      <c r="H48">
        <v>60</v>
      </c>
      <c r="I48">
        <v>60</v>
      </c>
      <c r="J48">
        <v>60</v>
      </c>
      <c r="K48">
        <v>0.72</v>
      </c>
      <c r="L48">
        <v>6</v>
      </c>
    </row>
    <row r="49" spans="1:12">
      <c r="A49">
        <v>200</v>
      </c>
      <c r="B49" s="63" t="s">
        <v>2160</v>
      </c>
      <c r="E49" s="63" t="s">
        <v>1938</v>
      </c>
      <c r="F49" s="63" t="s">
        <v>2163</v>
      </c>
      <c r="G49">
        <v>1</v>
      </c>
      <c r="H49">
        <v>60</v>
      </c>
      <c r="I49">
        <v>60</v>
      </c>
      <c r="J49">
        <v>60</v>
      </c>
      <c r="K49">
        <v>1.22</v>
      </c>
      <c r="L49">
        <v>0</v>
      </c>
    </row>
    <row r="50" spans="1:12">
      <c r="A50">
        <v>201</v>
      </c>
      <c r="B50" s="63" t="s">
        <v>866</v>
      </c>
      <c r="C50" s="63" t="s">
        <v>1837</v>
      </c>
      <c r="D50" s="63" t="s">
        <v>59</v>
      </c>
      <c r="E50" s="63" t="s">
        <v>175</v>
      </c>
      <c r="F50" s="63" t="s">
        <v>1349</v>
      </c>
      <c r="G50">
        <v>1</v>
      </c>
      <c r="H50">
        <v>52</v>
      </c>
      <c r="I50">
        <v>312</v>
      </c>
      <c r="J50">
        <v>6223</v>
      </c>
      <c r="K50">
        <v>259.83</v>
      </c>
      <c r="L50">
        <v>19</v>
      </c>
    </row>
    <row r="51" spans="1:12">
      <c r="A51">
        <v>201</v>
      </c>
      <c r="B51" s="63" t="s">
        <v>866</v>
      </c>
      <c r="C51" s="63" t="s">
        <v>1837</v>
      </c>
      <c r="D51" s="63" t="s">
        <v>59</v>
      </c>
      <c r="E51" s="63" t="s">
        <v>175</v>
      </c>
      <c r="F51" s="63" t="s">
        <v>1985</v>
      </c>
      <c r="G51">
        <v>1</v>
      </c>
      <c r="H51">
        <v>60</v>
      </c>
      <c r="I51">
        <v>360</v>
      </c>
      <c r="J51">
        <v>7187</v>
      </c>
      <c r="K51">
        <v>234.4</v>
      </c>
      <c r="L51">
        <v>18</v>
      </c>
    </row>
    <row r="52" spans="1:12">
      <c r="A52">
        <v>201</v>
      </c>
      <c r="B52" s="63" t="s">
        <v>866</v>
      </c>
      <c r="C52" s="63" t="s">
        <v>1837</v>
      </c>
      <c r="D52" s="63" t="s">
        <v>59</v>
      </c>
      <c r="E52" s="63" t="s">
        <v>175</v>
      </c>
      <c r="F52" s="63" t="s">
        <v>1732</v>
      </c>
      <c r="G52">
        <v>1</v>
      </c>
      <c r="H52">
        <v>60</v>
      </c>
      <c r="I52">
        <v>360</v>
      </c>
      <c r="J52">
        <v>7179</v>
      </c>
      <c r="K52">
        <v>228.82</v>
      </c>
      <c r="L52">
        <v>18</v>
      </c>
    </row>
    <row r="53" spans="1:12">
      <c r="A53">
        <v>201</v>
      </c>
      <c r="B53" s="63" t="s">
        <v>866</v>
      </c>
      <c r="C53" s="63" t="s">
        <v>1837</v>
      </c>
      <c r="D53" s="63" t="s">
        <v>59</v>
      </c>
      <c r="E53" s="63" t="s">
        <v>184</v>
      </c>
      <c r="F53" s="63" t="s">
        <v>1814</v>
      </c>
      <c r="G53">
        <v>1</v>
      </c>
      <c r="H53">
        <v>38</v>
      </c>
      <c r="I53">
        <v>228</v>
      </c>
      <c r="J53">
        <v>4534</v>
      </c>
      <c r="K53">
        <v>224.28</v>
      </c>
      <c r="L53">
        <v>19</v>
      </c>
    </row>
    <row r="54" spans="1:12">
      <c r="A54">
        <v>201</v>
      </c>
      <c r="B54" s="63" t="s">
        <v>866</v>
      </c>
      <c r="C54" s="63" t="s">
        <v>2309</v>
      </c>
      <c r="D54" s="63" t="s">
        <v>59</v>
      </c>
      <c r="E54" s="63" t="s">
        <v>184</v>
      </c>
      <c r="F54" s="63" t="s">
        <v>1361</v>
      </c>
      <c r="G54">
        <v>1</v>
      </c>
      <c r="H54">
        <v>60</v>
      </c>
      <c r="I54">
        <v>360</v>
      </c>
      <c r="J54">
        <v>7194</v>
      </c>
      <c r="K54">
        <v>12.33</v>
      </c>
      <c r="L54">
        <v>5</v>
      </c>
    </row>
    <row r="55" spans="1:12">
      <c r="A55">
        <v>201</v>
      </c>
      <c r="B55" s="63" t="s">
        <v>866</v>
      </c>
      <c r="C55" s="63" t="s">
        <v>2309</v>
      </c>
      <c r="D55" s="63" t="s">
        <v>59</v>
      </c>
      <c r="E55" s="63" t="s">
        <v>184</v>
      </c>
      <c r="F55" s="63" t="s">
        <v>1212</v>
      </c>
      <c r="G55">
        <v>1</v>
      </c>
      <c r="H55">
        <v>60</v>
      </c>
      <c r="I55">
        <v>360</v>
      </c>
      <c r="J55">
        <v>7192</v>
      </c>
      <c r="K55">
        <v>9.18</v>
      </c>
      <c r="L55">
        <v>5</v>
      </c>
    </row>
    <row r="56" spans="1:12">
      <c r="A56">
        <v>201</v>
      </c>
      <c r="B56" s="63" t="s">
        <v>866</v>
      </c>
      <c r="C56" s="63" t="s">
        <v>2309</v>
      </c>
      <c r="D56" s="63" t="s">
        <v>59</v>
      </c>
      <c r="E56" s="63" t="s">
        <v>184</v>
      </c>
      <c r="F56" s="63" t="s">
        <v>1158</v>
      </c>
      <c r="G56">
        <v>1</v>
      </c>
      <c r="H56">
        <v>60</v>
      </c>
      <c r="I56">
        <v>360</v>
      </c>
      <c r="J56">
        <v>7194</v>
      </c>
      <c r="K56">
        <v>15.7</v>
      </c>
      <c r="L56">
        <v>5</v>
      </c>
    </row>
    <row r="57" spans="1:12">
      <c r="A57">
        <v>201</v>
      </c>
      <c r="B57" s="63" t="s">
        <v>866</v>
      </c>
      <c r="C57" s="63" t="s">
        <v>2309</v>
      </c>
      <c r="D57" s="63" t="s">
        <v>59</v>
      </c>
      <c r="E57" s="63" t="s">
        <v>184</v>
      </c>
      <c r="F57" s="63" t="s">
        <v>2040</v>
      </c>
      <c r="G57">
        <v>1</v>
      </c>
      <c r="H57">
        <v>60</v>
      </c>
      <c r="I57">
        <v>360</v>
      </c>
      <c r="J57">
        <v>7190</v>
      </c>
      <c r="K57">
        <v>3.22</v>
      </c>
      <c r="L57">
        <v>5</v>
      </c>
    </row>
    <row r="58" spans="1:12">
      <c r="A58">
        <v>201</v>
      </c>
      <c r="B58" s="63" t="s">
        <v>866</v>
      </c>
      <c r="C58" s="63" t="s">
        <v>2309</v>
      </c>
      <c r="D58" s="63" t="s">
        <v>59</v>
      </c>
      <c r="E58" s="63" t="s">
        <v>184</v>
      </c>
      <c r="F58" s="63" t="s">
        <v>1960</v>
      </c>
      <c r="G58">
        <v>1</v>
      </c>
      <c r="H58">
        <v>60</v>
      </c>
      <c r="I58">
        <v>360</v>
      </c>
      <c r="J58">
        <v>7192</v>
      </c>
      <c r="K58">
        <v>14.5</v>
      </c>
      <c r="L58">
        <v>5</v>
      </c>
    </row>
    <row r="59" spans="1:12">
      <c r="A59">
        <v>201</v>
      </c>
      <c r="B59" s="63" t="s">
        <v>866</v>
      </c>
      <c r="C59" s="63" t="s">
        <v>2309</v>
      </c>
      <c r="D59" s="63" t="s">
        <v>59</v>
      </c>
      <c r="E59" s="63" t="s">
        <v>184</v>
      </c>
      <c r="F59" s="63" t="s">
        <v>1497</v>
      </c>
      <c r="G59">
        <v>1</v>
      </c>
      <c r="H59">
        <v>39</v>
      </c>
      <c r="I59">
        <v>234</v>
      </c>
      <c r="J59">
        <v>4676</v>
      </c>
      <c r="K59">
        <v>8.33</v>
      </c>
      <c r="L59">
        <v>5</v>
      </c>
    </row>
    <row r="60" spans="1:12">
      <c r="A60">
        <v>201</v>
      </c>
      <c r="B60" s="63" t="s">
        <v>866</v>
      </c>
      <c r="C60" s="63" t="s">
        <v>2309</v>
      </c>
      <c r="D60" s="63" t="s">
        <v>59</v>
      </c>
      <c r="E60" s="63" t="s">
        <v>184</v>
      </c>
      <c r="F60" s="63" t="s">
        <v>925</v>
      </c>
      <c r="G60">
        <v>1</v>
      </c>
      <c r="H60">
        <v>60</v>
      </c>
      <c r="I60">
        <v>360</v>
      </c>
      <c r="J60">
        <v>7187</v>
      </c>
      <c r="K60">
        <v>13.47</v>
      </c>
      <c r="L60">
        <v>5</v>
      </c>
    </row>
    <row r="61" spans="1:12">
      <c r="A61">
        <v>201</v>
      </c>
      <c r="B61" s="63" t="s">
        <v>866</v>
      </c>
      <c r="C61" s="63" t="s">
        <v>2309</v>
      </c>
      <c r="D61" s="63" t="s">
        <v>59</v>
      </c>
      <c r="E61" s="63" t="s">
        <v>184</v>
      </c>
      <c r="F61" s="63" t="s">
        <v>1133</v>
      </c>
      <c r="G61">
        <v>1</v>
      </c>
      <c r="H61">
        <v>60</v>
      </c>
      <c r="I61">
        <v>360</v>
      </c>
      <c r="J61">
        <v>7186</v>
      </c>
      <c r="K61">
        <v>11.12</v>
      </c>
      <c r="L61">
        <v>5</v>
      </c>
    </row>
    <row r="62" spans="1:12">
      <c r="A62">
        <v>201</v>
      </c>
      <c r="B62" s="63" t="s">
        <v>866</v>
      </c>
      <c r="C62" s="63" t="s">
        <v>2309</v>
      </c>
      <c r="D62" s="63" t="s">
        <v>59</v>
      </c>
      <c r="E62" s="63" t="s">
        <v>184</v>
      </c>
      <c r="F62" s="63" t="s">
        <v>939</v>
      </c>
      <c r="G62">
        <v>1</v>
      </c>
      <c r="H62">
        <v>60</v>
      </c>
      <c r="I62">
        <v>360</v>
      </c>
      <c r="J62">
        <v>7194</v>
      </c>
      <c r="K62">
        <v>16.77</v>
      </c>
      <c r="L62">
        <v>5</v>
      </c>
    </row>
    <row r="63" spans="1:12">
      <c r="A63">
        <v>201</v>
      </c>
      <c r="B63" s="63" t="s">
        <v>256</v>
      </c>
      <c r="C63" s="63" t="s">
        <v>350</v>
      </c>
      <c r="D63" s="63" t="s">
        <v>59</v>
      </c>
      <c r="E63" s="63" t="s">
        <v>172</v>
      </c>
      <c r="F63" s="63" t="s">
        <v>1295</v>
      </c>
      <c r="G63">
        <v>1</v>
      </c>
      <c r="H63">
        <v>60</v>
      </c>
      <c r="I63">
        <v>360</v>
      </c>
      <c r="J63">
        <v>7149</v>
      </c>
      <c r="K63">
        <v>171.43</v>
      </c>
      <c r="L63">
        <v>12</v>
      </c>
    </row>
    <row r="64" spans="1:12">
      <c r="A64">
        <v>201</v>
      </c>
      <c r="B64" s="63" t="s">
        <v>256</v>
      </c>
      <c r="C64" s="63" t="s">
        <v>350</v>
      </c>
      <c r="D64" s="63" t="s">
        <v>59</v>
      </c>
      <c r="E64" s="63" t="s">
        <v>172</v>
      </c>
      <c r="F64" s="63" t="s">
        <v>435</v>
      </c>
      <c r="G64">
        <v>1</v>
      </c>
      <c r="H64">
        <v>60</v>
      </c>
      <c r="I64">
        <v>360</v>
      </c>
      <c r="J64">
        <v>7174</v>
      </c>
      <c r="K64">
        <v>170.45</v>
      </c>
      <c r="L64">
        <v>12</v>
      </c>
    </row>
    <row r="65" spans="1:12">
      <c r="A65">
        <v>201</v>
      </c>
      <c r="B65" s="63" t="s">
        <v>519</v>
      </c>
      <c r="C65" s="63" t="s">
        <v>874</v>
      </c>
      <c r="D65" s="63" t="s">
        <v>59</v>
      </c>
      <c r="E65" s="63" t="s">
        <v>184</v>
      </c>
      <c r="F65" s="63" t="s">
        <v>1541</v>
      </c>
      <c r="G65">
        <v>1</v>
      </c>
      <c r="H65">
        <v>60</v>
      </c>
      <c r="I65">
        <v>360</v>
      </c>
      <c r="J65">
        <v>7173</v>
      </c>
      <c r="K65">
        <v>1.6</v>
      </c>
      <c r="L65">
        <v>7</v>
      </c>
    </row>
    <row r="66" spans="1:12">
      <c r="A66">
        <v>201</v>
      </c>
      <c r="B66" s="63" t="s">
        <v>810</v>
      </c>
      <c r="C66" s="63" t="s">
        <v>811</v>
      </c>
      <c r="D66" s="63" t="s">
        <v>59</v>
      </c>
      <c r="E66" s="63" t="s">
        <v>184</v>
      </c>
      <c r="F66" s="63" t="s">
        <v>2106</v>
      </c>
      <c r="G66">
        <v>1</v>
      </c>
      <c r="H66">
        <v>46</v>
      </c>
      <c r="I66">
        <v>276</v>
      </c>
      <c r="J66">
        <v>5485</v>
      </c>
      <c r="K66">
        <v>33.18</v>
      </c>
      <c r="L66">
        <v>38</v>
      </c>
    </row>
    <row r="67" spans="1:12">
      <c r="A67">
        <v>201</v>
      </c>
      <c r="B67" s="63" t="s">
        <v>474</v>
      </c>
      <c r="C67" s="63" t="s">
        <v>2310</v>
      </c>
      <c r="D67" s="63" t="s">
        <v>59</v>
      </c>
      <c r="E67" s="63" t="s">
        <v>203</v>
      </c>
      <c r="F67" s="63" t="s">
        <v>954</v>
      </c>
      <c r="G67">
        <v>1</v>
      </c>
      <c r="H67">
        <v>60</v>
      </c>
      <c r="I67">
        <v>360</v>
      </c>
      <c r="J67">
        <v>4658</v>
      </c>
      <c r="K67">
        <v>109.47</v>
      </c>
      <c r="L67">
        <v>8</v>
      </c>
    </row>
    <row r="68" spans="1:12">
      <c r="A68">
        <v>201</v>
      </c>
      <c r="B68" s="63" t="s">
        <v>474</v>
      </c>
      <c r="C68" s="63" t="s">
        <v>2310</v>
      </c>
      <c r="D68" s="63" t="s">
        <v>59</v>
      </c>
      <c r="E68" s="63" t="s">
        <v>174</v>
      </c>
      <c r="F68" s="63" t="s">
        <v>1249</v>
      </c>
      <c r="G68">
        <v>1</v>
      </c>
      <c r="H68">
        <v>53</v>
      </c>
      <c r="I68">
        <v>318</v>
      </c>
      <c r="J68">
        <v>4129</v>
      </c>
      <c r="K68">
        <v>105.38</v>
      </c>
      <c r="L68">
        <v>10</v>
      </c>
    </row>
    <row r="69" spans="1:12">
      <c r="A69">
        <v>201</v>
      </c>
      <c r="B69" s="63" t="s">
        <v>474</v>
      </c>
      <c r="C69" s="63" t="s">
        <v>2310</v>
      </c>
      <c r="D69" s="63" t="s">
        <v>59</v>
      </c>
      <c r="E69" s="63" t="s">
        <v>175</v>
      </c>
      <c r="F69" s="63" t="s">
        <v>2129</v>
      </c>
      <c r="G69">
        <v>1</v>
      </c>
      <c r="H69">
        <v>60</v>
      </c>
      <c r="I69">
        <v>360</v>
      </c>
      <c r="J69">
        <v>4661</v>
      </c>
      <c r="K69">
        <v>109.03</v>
      </c>
      <c r="L69">
        <v>11</v>
      </c>
    </row>
    <row r="70" spans="1:12">
      <c r="A70">
        <v>201</v>
      </c>
      <c r="B70" s="63" t="s">
        <v>474</v>
      </c>
      <c r="C70" s="63" t="s">
        <v>2310</v>
      </c>
      <c r="D70" s="63" t="s">
        <v>59</v>
      </c>
      <c r="E70" s="63" t="s">
        <v>175</v>
      </c>
      <c r="F70" s="63" t="s">
        <v>2311</v>
      </c>
      <c r="G70">
        <v>1</v>
      </c>
      <c r="H70">
        <v>60</v>
      </c>
      <c r="I70">
        <v>360</v>
      </c>
      <c r="J70">
        <v>4661</v>
      </c>
      <c r="K70">
        <v>96.05</v>
      </c>
      <c r="L70">
        <v>8</v>
      </c>
    </row>
    <row r="71" spans="1:12">
      <c r="A71">
        <v>201</v>
      </c>
      <c r="B71" s="63" t="s">
        <v>474</v>
      </c>
      <c r="C71" s="63" t="s">
        <v>2310</v>
      </c>
      <c r="D71" s="63" t="s">
        <v>59</v>
      </c>
      <c r="E71" s="63" t="s">
        <v>175</v>
      </c>
      <c r="F71" s="63" t="s">
        <v>449</v>
      </c>
      <c r="G71">
        <v>1</v>
      </c>
      <c r="H71">
        <v>60</v>
      </c>
      <c r="I71">
        <v>360</v>
      </c>
      <c r="J71">
        <v>4667</v>
      </c>
      <c r="K71">
        <v>72.37</v>
      </c>
      <c r="L71">
        <v>9</v>
      </c>
    </row>
    <row r="72" spans="1:12">
      <c r="A72">
        <v>201</v>
      </c>
      <c r="B72" s="63" t="s">
        <v>474</v>
      </c>
      <c r="C72" s="63" t="s">
        <v>2310</v>
      </c>
      <c r="D72" s="63" t="s">
        <v>59</v>
      </c>
      <c r="E72" s="63" t="s">
        <v>175</v>
      </c>
      <c r="F72" s="63" t="s">
        <v>2312</v>
      </c>
      <c r="G72">
        <v>1</v>
      </c>
      <c r="H72">
        <v>60</v>
      </c>
      <c r="I72">
        <v>360</v>
      </c>
      <c r="J72">
        <v>4666</v>
      </c>
      <c r="K72">
        <v>95.2</v>
      </c>
      <c r="L72">
        <v>11</v>
      </c>
    </row>
    <row r="73" spans="1:12">
      <c r="A73">
        <v>201</v>
      </c>
      <c r="B73" s="63" t="s">
        <v>474</v>
      </c>
      <c r="C73" s="63" t="s">
        <v>2310</v>
      </c>
      <c r="D73" s="63" t="s">
        <v>59</v>
      </c>
      <c r="E73" s="63" t="s">
        <v>175</v>
      </c>
      <c r="F73" s="63" t="s">
        <v>1848</v>
      </c>
      <c r="G73">
        <v>1</v>
      </c>
      <c r="H73">
        <v>60</v>
      </c>
      <c r="I73">
        <v>360</v>
      </c>
      <c r="J73">
        <v>4677</v>
      </c>
      <c r="K73">
        <v>124.38</v>
      </c>
      <c r="L73">
        <v>8</v>
      </c>
    </row>
    <row r="74" spans="1:12">
      <c r="A74">
        <v>201</v>
      </c>
      <c r="B74" s="63" t="s">
        <v>474</v>
      </c>
      <c r="C74" s="63" t="s">
        <v>2310</v>
      </c>
      <c r="D74" s="63" t="s">
        <v>59</v>
      </c>
      <c r="E74" s="63" t="s">
        <v>175</v>
      </c>
      <c r="F74" s="63" t="s">
        <v>1359</v>
      </c>
      <c r="G74">
        <v>1</v>
      </c>
      <c r="H74">
        <v>25</v>
      </c>
      <c r="I74">
        <v>150</v>
      </c>
      <c r="J74">
        <v>1939</v>
      </c>
      <c r="K74">
        <v>94.78</v>
      </c>
      <c r="L74">
        <v>8</v>
      </c>
    </row>
    <row r="75" spans="1:12">
      <c r="A75">
        <v>201</v>
      </c>
      <c r="B75" s="63" t="s">
        <v>474</v>
      </c>
      <c r="C75" s="63" t="s">
        <v>2310</v>
      </c>
      <c r="D75" s="63" t="s">
        <v>59</v>
      </c>
      <c r="E75" s="63" t="s">
        <v>175</v>
      </c>
      <c r="F75" s="63" t="s">
        <v>1464</v>
      </c>
      <c r="G75">
        <v>1</v>
      </c>
      <c r="H75">
        <v>43</v>
      </c>
      <c r="I75">
        <v>258</v>
      </c>
      <c r="J75">
        <v>3340</v>
      </c>
      <c r="K75">
        <v>70.33</v>
      </c>
      <c r="L75">
        <v>11</v>
      </c>
    </row>
    <row r="76" spans="1:12">
      <c r="A76">
        <v>201</v>
      </c>
      <c r="B76" s="63" t="s">
        <v>474</v>
      </c>
      <c r="C76" s="63" t="s">
        <v>2310</v>
      </c>
      <c r="D76" s="63" t="s">
        <v>59</v>
      </c>
      <c r="E76" s="63" t="s">
        <v>175</v>
      </c>
      <c r="F76" s="63" t="s">
        <v>950</v>
      </c>
      <c r="G76">
        <v>1</v>
      </c>
      <c r="H76">
        <v>60</v>
      </c>
      <c r="I76">
        <v>360</v>
      </c>
      <c r="J76">
        <v>4658</v>
      </c>
      <c r="K76">
        <v>132.38</v>
      </c>
      <c r="L76">
        <v>11</v>
      </c>
    </row>
    <row r="77" spans="1:12">
      <c r="A77">
        <v>201</v>
      </c>
      <c r="B77" s="63" t="s">
        <v>474</v>
      </c>
      <c r="C77" s="63" t="s">
        <v>2310</v>
      </c>
      <c r="D77" s="63" t="s">
        <v>59</v>
      </c>
      <c r="E77" s="63" t="s">
        <v>175</v>
      </c>
      <c r="F77" s="63" t="s">
        <v>2313</v>
      </c>
      <c r="G77">
        <v>1</v>
      </c>
      <c r="H77">
        <v>60</v>
      </c>
      <c r="I77">
        <v>360</v>
      </c>
      <c r="J77">
        <v>4672</v>
      </c>
      <c r="K77">
        <v>128.72999999999999</v>
      </c>
      <c r="L77">
        <v>9</v>
      </c>
    </row>
    <row r="78" spans="1:12">
      <c r="A78">
        <v>201</v>
      </c>
      <c r="B78" s="63" t="s">
        <v>474</v>
      </c>
      <c r="C78" s="63" t="s">
        <v>2310</v>
      </c>
      <c r="D78" s="63" t="s">
        <v>59</v>
      </c>
      <c r="E78" s="63" t="s">
        <v>175</v>
      </c>
      <c r="F78" s="63" t="s">
        <v>1847</v>
      </c>
      <c r="G78">
        <v>1</v>
      </c>
      <c r="H78">
        <v>60</v>
      </c>
      <c r="I78">
        <v>360</v>
      </c>
      <c r="J78">
        <v>4658</v>
      </c>
      <c r="K78">
        <v>137.22</v>
      </c>
      <c r="L78">
        <v>11</v>
      </c>
    </row>
    <row r="79" spans="1:12">
      <c r="A79">
        <v>201</v>
      </c>
      <c r="B79" s="63" t="s">
        <v>474</v>
      </c>
      <c r="C79" s="63" t="s">
        <v>2310</v>
      </c>
      <c r="D79" s="63" t="s">
        <v>59</v>
      </c>
      <c r="E79" s="63" t="s">
        <v>175</v>
      </c>
      <c r="F79" s="63" t="s">
        <v>2314</v>
      </c>
      <c r="G79">
        <v>1</v>
      </c>
      <c r="H79">
        <v>60</v>
      </c>
      <c r="I79">
        <v>360</v>
      </c>
      <c r="J79">
        <v>4655</v>
      </c>
      <c r="K79">
        <v>97.38</v>
      </c>
      <c r="L79">
        <v>11</v>
      </c>
    </row>
    <row r="80" spans="1:12">
      <c r="A80">
        <v>201</v>
      </c>
      <c r="B80" s="63" t="s">
        <v>474</v>
      </c>
      <c r="C80" s="63" t="s">
        <v>2310</v>
      </c>
      <c r="D80" s="63" t="s">
        <v>59</v>
      </c>
      <c r="E80" s="63" t="s">
        <v>175</v>
      </c>
      <c r="F80" s="63" t="s">
        <v>2315</v>
      </c>
      <c r="G80">
        <v>1</v>
      </c>
      <c r="H80">
        <v>60</v>
      </c>
      <c r="I80">
        <v>360</v>
      </c>
      <c r="J80">
        <v>4660</v>
      </c>
      <c r="K80">
        <v>123.37</v>
      </c>
      <c r="L80">
        <v>11</v>
      </c>
    </row>
    <row r="81" spans="1:12">
      <c r="A81">
        <v>201</v>
      </c>
      <c r="B81" s="63" t="s">
        <v>474</v>
      </c>
      <c r="C81" s="63" t="s">
        <v>2310</v>
      </c>
      <c r="D81" s="63" t="s">
        <v>59</v>
      </c>
      <c r="E81" s="63" t="s">
        <v>175</v>
      </c>
      <c r="F81" s="63" t="s">
        <v>1280</v>
      </c>
      <c r="G81">
        <v>1</v>
      </c>
      <c r="H81">
        <v>60</v>
      </c>
      <c r="I81">
        <v>360</v>
      </c>
      <c r="J81">
        <v>4660</v>
      </c>
      <c r="K81">
        <v>97.83</v>
      </c>
      <c r="L81">
        <v>10</v>
      </c>
    </row>
    <row r="82" spans="1:12">
      <c r="A82">
        <v>201</v>
      </c>
      <c r="B82" s="63" t="s">
        <v>474</v>
      </c>
      <c r="C82" s="63" t="s">
        <v>2310</v>
      </c>
      <c r="D82" s="63" t="s">
        <v>59</v>
      </c>
      <c r="E82" s="63" t="s">
        <v>184</v>
      </c>
      <c r="F82" s="63" t="s">
        <v>813</v>
      </c>
      <c r="G82">
        <v>1</v>
      </c>
      <c r="H82">
        <v>60</v>
      </c>
      <c r="I82">
        <v>360</v>
      </c>
      <c r="J82">
        <v>4662</v>
      </c>
      <c r="K82">
        <v>70.900000000000006</v>
      </c>
      <c r="L82">
        <v>8</v>
      </c>
    </row>
    <row r="83" spans="1:12">
      <c r="A83">
        <v>201</v>
      </c>
      <c r="B83" s="63" t="s">
        <v>474</v>
      </c>
      <c r="C83" s="63" t="s">
        <v>2310</v>
      </c>
      <c r="D83" s="63" t="s">
        <v>59</v>
      </c>
      <c r="E83" s="63" t="s">
        <v>184</v>
      </c>
      <c r="F83" s="63" t="s">
        <v>1467</v>
      </c>
      <c r="G83">
        <v>1</v>
      </c>
      <c r="H83">
        <v>60</v>
      </c>
      <c r="I83">
        <v>360</v>
      </c>
      <c r="J83">
        <v>4660</v>
      </c>
      <c r="K83">
        <v>110.22</v>
      </c>
      <c r="L83">
        <v>9</v>
      </c>
    </row>
    <row r="84" spans="1:12">
      <c r="A84">
        <v>201</v>
      </c>
      <c r="B84" s="63" t="s">
        <v>474</v>
      </c>
      <c r="C84" s="63" t="s">
        <v>2310</v>
      </c>
      <c r="D84" s="63" t="s">
        <v>59</v>
      </c>
      <c r="E84" s="63" t="s">
        <v>184</v>
      </c>
      <c r="F84" s="63" t="s">
        <v>1329</v>
      </c>
      <c r="G84">
        <v>1</v>
      </c>
      <c r="H84">
        <v>60</v>
      </c>
      <c r="I84">
        <v>360</v>
      </c>
      <c r="J84">
        <v>4664</v>
      </c>
      <c r="K84">
        <v>71.78</v>
      </c>
      <c r="L84">
        <v>9</v>
      </c>
    </row>
    <row r="85" spans="1:12">
      <c r="A85">
        <v>201</v>
      </c>
      <c r="B85" s="63" t="s">
        <v>474</v>
      </c>
      <c r="C85" s="63" t="s">
        <v>2310</v>
      </c>
      <c r="D85" s="63" t="s">
        <v>59</v>
      </c>
      <c r="E85" s="63" t="s">
        <v>184</v>
      </c>
      <c r="F85" s="63" t="s">
        <v>1536</v>
      </c>
      <c r="G85">
        <v>1</v>
      </c>
      <c r="H85">
        <v>60</v>
      </c>
      <c r="I85">
        <v>360</v>
      </c>
      <c r="J85">
        <v>4669</v>
      </c>
      <c r="K85">
        <v>96.55</v>
      </c>
      <c r="L85">
        <v>8</v>
      </c>
    </row>
    <row r="86" spans="1:12">
      <c r="A86">
        <v>201</v>
      </c>
      <c r="B86" s="63" t="s">
        <v>474</v>
      </c>
      <c r="C86" s="63" t="s">
        <v>2310</v>
      </c>
      <c r="D86" s="63" t="s">
        <v>59</v>
      </c>
      <c r="E86" s="63" t="s">
        <v>184</v>
      </c>
      <c r="F86" s="63" t="s">
        <v>2007</v>
      </c>
      <c r="G86">
        <v>1</v>
      </c>
      <c r="H86">
        <v>60</v>
      </c>
      <c r="I86">
        <v>360</v>
      </c>
      <c r="J86">
        <v>4655</v>
      </c>
      <c r="K86">
        <v>118.12</v>
      </c>
      <c r="L86">
        <v>8</v>
      </c>
    </row>
    <row r="87" spans="1:12">
      <c r="A87">
        <v>201</v>
      </c>
      <c r="B87" s="63" t="s">
        <v>474</v>
      </c>
      <c r="C87" s="63" t="s">
        <v>2310</v>
      </c>
      <c r="D87" s="63" t="s">
        <v>59</v>
      </c>
      <c r="E87" s="63" t="s">
        <v>184</v>
      </c>
      <c r="F87" s="63" t="s">
        <v>768</v>
      </c>
      <c r="G87">
        <v>1</v>
      </c>
      <c r="H87">
        <v>60</v>
      </c>
      <c r="I87">
        <v>360</v>
      </c>
      <c r="J87">
        <v>4664</v>
      </c>
      <c r="K87">
        <v>136.03</v>
      </c>
      <c r="L87">
        <v>11</v>
      </c>
    </row>
    <row r="88" spans="1:12">
      <c r="A88">
        <v>201</v>
      </c>
      <c r="B88" s="63" t="s">
        <v>474</v>
      </c>
      <c r="C88" s="63" t="s">
        <v>2310</v>
      </c>
      <c r="D88" s="63" t="s">
        <v>59</v>
      </c>
      <c r="E88" s="63" t="s">
        <v>184</v>
      </c>
      <c r="F88" s="63" t="s">
        <v>991</v>
      </c>
      <c r="G88">
        <v>1</v>
      </c>
      <c r="H88">
        <v>60</v>
      </c>
      <c r="I88">
        <v>360</v>
      </c>
      <c r="J88">
        <v>4673</v>
      </c>
      <c r="K88">
        <v>125.97</v>
      </c>
      <c r="L88">
        <v>11</v>
      </c>
    </row>
    <row r="89" spans="1:12">
      <c r="A89">
        <v>201</v>
      </c>
      <c r="B89" s="63" t="s">
        <v>429</v>
      </c>
      <c r="C89" s="63" t="s">
        <v>430</v>
      </c>
      <c r="D89" s="63" t="s">
        <v>59</v>
      </c>
      <c r="E89" s="63" t="s">
        <v>174</v>
      </c>
      <c r="F89" s="63" t="s">
        <v>1947</v>
      </c>
      <c r="G89">
        <v>1</v>
      </c>
      <c r="H89">
        <v>11</v>
      </c>
      <c r="I89">
        <v>154</v>
      </c>
      <c r="J89">
        <v>836</v>
      </c>
      <c r="K89">
        <v>76.2</v>
      </c>
      <c r="L89">
        <v>66</v>
      </c>
    </row>
    <row r="90" spans="1:12">
      <c r="A90">
        <v>201</v>
      </c>
      <c r="B90" s="63" t="s">
        <v>376</v>
      </c>
      <c r="C90" s="63" t="s">
        <v>927</v>
      </c>
      <c r="D90" s="63" t="s">
        <v>59</v>
      </c>
      <c r="E90" s="63" t="s">
        <v>203</v>
      </c>
      <c r="F90" s="63" t="s">
        <v>1256</v>
      </c>
      <c r="G90">
        <v>1</v>
      </c>
      <c r="H90">
        <v>60</v>
      </c>
      <c r="I90">
        <v>360</v>
      </c>
      <c r="J90">
        <v>3756</v>
      </c>
      <c r="K90">
        <v>155.4</v>
      </c>
      <c r="L90">
        <v>18</v>
      </c>
    </row>
    <row r="91" spans="1:12">
      <c r="A91">
        <v>201</v>
      </c>
      <c r="B91" s="63" t="s">
        <v>376</v>
      </c>
      <c r="C91" s="63" t="s">
        <v>927</v>
      </c>
      <c r="D91" s="63" t="s">
        <v>59</v>
      </c>
      <c r="E91" s="63" t="s">
        <v>203</v>
      </c>
      <c r="F91" s="63" t="s">
        <v>1223</v>
      </c>
      <c r="G91">
        <v>1</v>
      </c>
      <c r="H91">
        <v>60</v>
      </c>
      <c r="I91">
        <v>360</v>
      </c>
      <c r="J91">
        <v>3755</v>
      </c>
      <c r="K91">
        <v>156.37</v>
      </c>
      <c r="L91">
        <v>17</v>
      </c>
    </row>
    <row r="92" spans="1:12">
      <c r="A92">
        <v>201</v>
      </c>
      <c r="B92" s="63" t="s">
        <v>376</v>
      </c>
      <c r="C92" s="63" t="s">
        <v>927</v>
      </c>
      <c r="D92" s="63" t="s">
        <v>59</v>
      </c>
      <c r="E92" s="63" t="s">
        <v>173</v>
      </c>
      <c r="F92" s="63" t="s">
        <v>1999</v>
      </c>
      <c r="G92">
        <v>1</v>
      </c>
      <c r="H92">
        <v>60</v>
      </c>
      <c r="I92">
        <v>360</v>
      </c>
      <c r="J92">
        <v>3767</v>
      </c>
      <c r="K92">
        <v>162.47999999999999</v>
      </c>
      <c r="L92">
        <v>17</v>
      </c>
    </row>
    <row r="93" spans="1:12">
      <c r="A93">
        <v>201</v>
      </c>
      <c r="B93" s="63" t="s">
        <v>376</v>
      </c>
      <c r="C93" s="63" t="s">
        <v>927</v>
      </c>
      <c r="D93" s="63" t="s">
        <v>59</v>
      </c>
      <c r="E93" s="63" t="s">
        <v>173</v>
      </c>
      <c r="F93" s="63" t="s">
        <v>349</v>
      </c>
      <c r="G93">
        <v>1</v>
      </c>
      <c r="H93">
        <v>60</v>
      </c>
      <c r="I93">
        <v>360</v>
      </c>
      <c r="J93">
        <v>3770</v>
      </c>
      <c r="K93">
        <v>158.12</v>
      </c>
      <c r="L93">
        <v>17</v>
      </c>
    </row>
    <row r="94" spans="1:12">
      <c r="A94">
        <v>201</v>
      </c>
      <c r="B94" s="63" t="s">
        <v>376</v>
      </c>
      <c r="C94" s="63" t="s">
        <v>927</v>
      </c>
      <c r="D94" s="63" t="s">
        <v>59</v>
      </c>
      <c r="E94" s="63" t="s">
        <v>174</v>
      </c>
      <c r="F94" s="63" t="s">
        <v>2114</v>
      </c>
      <c r="G94">
        <v>1</v>
      </c>
      <c r="H94">
        <v>60</v>
      </c>
      <c r="I94">
        <v>360</v>
      </c>
      <c r="J94">
        <v>3744</v>
      </c>
      <c r="K94">
        <v>154.38</v>
      </c>
      <c r="L94">
        <v>17</v>
      </c>
    </row>
    <row r="95" spans="1:12">
      <c r="A95">
        <v>201</v>
      </c>
      <c r="B95" s="63" t="s">
        <v>376</v>
      </c>
      <c r="C95" s="63" t="s">
        <v>927</v>
      </c>
      <c r="D95" s="63" t="s">
        <v>59</v>
      </c>
      <c r="E95" s="63" t="s">
        <v>175</v>
      </c>
      <c r="F95" s="63" t="s">
        <v>1009</v>
      </c>
      <c r="G95">
        <v>1</v>
      </c>
      <c r="H95">
        <v>60</v>
      </c>
      <c r="I95">
        <v>360</v>
      </c>
      <c r="J95">
        <v>3767</v>
      </c>
      <c r="K95">
        <v>157.30000000000001</v>
      </c>
      <c r="L95">
        <v>17</v>
      </c>
    </row>
    <row r="96" spans="1:12">
      <c r="A96">
        <v>201</v>
      </c>
      <c r="B96" s="63" t="s">
        <v>376</v>
      </c>
      <c r="C96" s="63" t="s">
        <v>927</v>
      </c>
      <c r="D96" s="63" t="s">
        <v>59</v>
      </c>
      <c r="E96" s="63" t="s">
        <v>175</v>
      </c>
      <c r="F96" s="63" t="s">
        <v>854</v>
      </c>
      <c r="G96">
        <v>1</v>
      </c>
      <c r="H96">
        <v>60</v>
      </c>
      <c r="I96">
        <v>360</v>
      </c>
      <c r="J96">
        <v>3755</v>
      </c>
      <c r="K96">
        <v>161.41999999999999</v>
      </c>
      <c r="L96">
        <v>17</v>
      </c>
    </row>
    <row r="97" spans="1:12">
      <c r="A97">
        <v>201</v>
      </c>
      <c r="B97" s="63" t="s">
        <v>376</v>
      </c>
      <c r="C97" s="63" t="s">
        <v>927</v>
      </c>
      <c r="D97" s="63" t="s">
        <v>59</v>
      </c>
      <c r="E97" s="63" t="s">
        <v>175</v>
      </c>
      <c r="F97" s="63" t="s">
        <v>1083</v>
      </c>
      <c r="G97">
        <v>1</v>
      </c>
      <c r="H97">
        <v>60</v>
      </c>
      <c r="I97">
        <v>360</v>
      </c>
      <c r="J97">
        <v>3774</v>
      </c>
      <c r="K97">
        <v>160.18</v>
      </c>
      <c r="L97">
        <v>17</v>
      </c>
    </row>
    <row r="98" spans="1:12">
      <c r="A98">
        <v>201</v>
      </c>
      <c r="B98" s="63" t="s">
        <v>376</v>
      </c>
      <c r="C98" s="63" t="s">
        <v>927</v>
      </c>
      <c r="D98" s="63" t="s">
        <v>59</v>
      </c>
      <c r="E98" s="63" t="s">
        <v>175</v>
      </c>
      <c r="F98" s="63" t="s">
        <v>876</v>
      </c>
      <c r="G98">
        <v>1</v>
      </c>
      <c r="H98">
        <v>60</v>
      </c>
      <c r="I98">
        <v>360</v>
      </c>
      <c r="J98">
        <v>3769</v>
      </c>
      <c r="K98">
        <v>159.22999999999999</v>
      </c>
      <c r="L98">
        <v>16</v>
      </c>
    </row>
    <row r="99" spans="1:12">
      <c r="A99">
        <v>201</v>
      </c>
      <c r="B99" s="63" t="s">
        <v>376</v>
      </c>
      <c r="C99" s="63" t="s">
        <v>927</v>
      </c>
      <c r="D99" s="63" t="s">
        <v>59</v>
      </c>
      <c r="E99" s="63" t="s">
        <v>184</v>
      </c>
      <c r="F99" s="63" t="s">
        <v>1469</v>
      </c>
      <c r="G99">
        <v>1</v>
      </c>
      <c r="H99">
        <v>35</v>
      </c>
      <c r="I99">
        <v>210</v>
      </c>
      <c r="J99">
        <v>2183</v>
      </c>
      <c r="K99">
        <v>153.72</v>
      </c>
      <c r="L99">
        <v>17</v>
      </c>
    </row>
    <row r="100" spans="1:12">
      <c r="A100">
        <v>201</v>
      </c>
      <c r="B100" s="63" t="s">
        <v>376</v>
      </c>
      <c r="C100" s="63" t="s">
        <v>928</v>
      </c>
      <c r="D100" s="63" t="s">
        <v>59</v>
      </c>
      <c r="E100" s="63" t="s">
        <v>173</v>
      </c>
      <c r="F100" s="63" t="s">
        <v>1449</v>
      </c>
      <c r="G100">
        <v>1</v>
      </c>
      <c r="H100">
        <v>60</v>
      </c>
      <c r="I100">
        <v>360</v>
      </c>
      <c r="J100">
        <v>3752</v>
      </c>
      <c r="K100">
        <v>149.52000000000001</v>
      </c>
      <c r="L100">
        <v>16</v>
      </c>
    </row>
    <row r="101" spans="1:12">
      <c r="A101">
        <v>201</v>
      </c>
      <c r="B101" s="63" t="s">
        <v>376</v>
      </c>
      <c r="C101" s="63" t="s">
        <v>928</v>
      </c>
      <c r="D101" s="63" t="s">
        <v>59</v>
      </c>
      <c r="E101" s="63" t="s">
        <v>175</v>
      </c>
      <c r="F101" s="63" t="s">
        <v>2316</v>
      </c>
      <c r="G101">
        <v>1</v>
      </c>
      <c r="H101">
        <v>60</v>
      </c>
      <c r="I101">
        <v>360</v>
      </c>
      <c r="J101">
        <v>3760</v>
      </c>
      <c r="K101">
        <v>151.30000000000001</v>
      </c>
      <c r="L101">
        <v>16</v>
      </c>
    </row>
    <row r="102" spans="1:12">
      <c r="A102">
        <v>201</v>
      </c>
      <c r="B102" s="63" t="s">
        <v>376</v>
      </c>
      <c r="C102" s="63" t="s">
        <v>928</v>
      </c>
      <c r="D102" s="63" t="s">
        <v>59</v>
      </c>
      <c r="E102" s="63" t="s">
        <v>175</v>
      </c>
      <c r="F102" s="63" t="s">
        <v>1237</v>
      </c>
      <c r="G102">
        <v>1</v>
      </c>
      <c r="H102">
        <v>60</v>
      </c>
      <c r="I102">
        <v>360</v>
      </c>
      <c r="J102">
        <v>3771</v>
      </c>
      <c r="K102">
        <v>152.30000000000001</v>
      </c>
      <c r="L102">
        <v>16</v>
      </c>
    </row>
    <row r="103" spans="1:12">
      <c r="A103">
        <v>201</v>
      </c>
      <c r="B103" s="63" t="s">
        <v>376</v>
      </c>
      <c r="C103" s="63" t="s">
        <v>928</v>
      </c>
      <c r="D103" s="63" t="s">
        <v>59</v>
      </c>
      <c r="E103" s="63" t="s">
        <v>175</v>
      </c>
      <c r="F103" s="63" t="s">
        <v>1000</v>
      </c>
      <c r="G103">
        <v>1</v>
      </c>
      <c r="H103">
        <v>60</v>
      </c>
      <c r="I103">
        <v>360</v>
      </c>
      <c r="J103">
        <v>3771</v>
      </c>
      <c r="K103">
        <v>153.15</v>
      </c>
      <c r="L103">
        <v>16</v>
      </c>
    </row>
    <row r="104" spans="1:12">
      <c r="A104">
        <v>201</v>
      </c>
      <c r="B104" s="63" t="s">
        <v>376</v>
      </c>
      <c r="C104" s="63" t="s">
        <v>928</v>
      </c>
      <c r="D104" s="63" t="s">
        <v>59</v>
      </c>
      <c r="E104" s="63" t="s">
        <v>175</v>
      </c>
      <c r="F104" s="63" t="s">
        <v>1079</v>
      </c>
      <c r="G104">
        <v>1</v>
      </c>
      <c r="H104">
        <v>60</v>
      </c>
      <c r="I104">
        <v>360</v>
      </c>
      <c r="J104">
        <v>3748</v>
      </c>
      <c r="K104">
        <v>150.47</v>
      </c>
      <c r="L104">
        <v>16</v>
      </c>
    </row>
    <row r="105" spans="1:12">
      <c r="A105">
        <v>201</v>
      </c>
      <c r="B105" s="63" t="s">
        <v>352</v>
      </c>
      <c r="C105" s="63" t="s">
        <v>2317</v>
      </c>
      <c r="D105" s="63" t="s">
        <v>59</v>
      </c>
      <c r="E105" s="63" t="s">
        <v>175</v>
      </c>
      <c r="F105" s="63" t="s">
        <v>1661</v>
      </c>
      <c r="G105">
        <v>1</v>
      </c>
      <c r="H105">
        <v>26</v>
      </c>
      <c r="I105">
        <v>375</v>
      </c>
      <c r="J105">
        <v>869</v>
      </c>
      <c r="K105">
        <v>291.39999999999998</v>
      </c>
      <c r="L105">
        <v>20</v>
      </c>
    </row>
    <row r="106" spans="1:12">
      <c r="A106">
        <v>201</v>
      </c>
      <c r="B106" s="63" t="s">
        <v>829</v>
      </c>
      <c r="C106" s="63" t="s">
        <v>1787</v>
      </c>
      <c r="D106" s="63" t="s">
        <v>59</v>
      </c>
      <c r="E106" s="63" t="s">
        <v>172</v>
      </c>
      <c r="F106" s="63" t="s">
        <v>2138</v>
      </c>
      <c r="G106">
        <v>1</v>
      </c>
      <c r="H106">
        <v>60</v>
      </c>
      <c r="I106">
        <v>1668</v>
      </c>
      <c r="J106">
        <v>1668</v>
      </c>
      <c r="K106">
        <v>130.93</v>
      </c>
      <c r="L106">
        <v>38</v>
      </c>
    </row>
    <row r="107" spans="1:12">
      <c r="A107">
        <v>201</v>
      </c>
      <c r="B107" s="63" t="s">
        <v>829</v>
      </c>
      <c r="C107" s="63" t="s">
        <v>1787</v>
      </c>
      <c r="D107" s="63" t="s">
        <v>59</v>
      </c>
      <c r="E107" s="63" t="s">
        <v>203</v>
      </c>
      <c r="F107" s="63" t="s">
        <v>1844</v>
      </c>
      <c r="G107">
        <v>1</v>
      </c>
      <c r="H107">
        <v>60</v>
      </c>
      <c r="I107">
        <v>1675</v>
      </c>
      <c r="J107">
        <v>1675</v>
      </c>
      <c r="K107">
        <v>139.91999999999999</v>
      </c>
      <c r="L107">
        <v>38</v>
      </c>
    </row>
    <row r="108" spans="1:12">
      <c r="A108">
        <v>201</v>
      </c>
      <c r="B108" s="63" t="s">
        <v>377</v>
      </c>
      <c r="C108" s="63" t="s">
        <v>378</v>
      </c>
      <c r="D108" s="63" t="s">
        <v>59</v>
      </c>
      <c r="E108" s="63" t="s">
        <v>184</v>
      </c>
      <c r="F108" s="63" t="s">
        <v>1804</v>
      </c>
      <c r="G108">
        <v>1</v>
      </c>
      <c r="H108">
        <v>20</v>
      </c>
      <c r="I108">
        <v>474</v>
      </c>
      <c r="J108">
        <v>474</v>
      </c>
      <c r="K108">
        <v>82.55</v>
      </c>
      <c r="L108">
        <v>53</v>
      </c>
    </row>
    <row r="109" spans="1:12">
      <c r="A109">
        <v>201</v>
      </c>
      <c r="B109" s="63" t="s">
        <v>257</v>
      </c>
      <c r="C109" s="63" t="s">
        <v>1719</v>
      </c>
      <c r="D109" s="63" t="s">
        <v>59</v>
      </c>
      <c r="E109" s="63" t="s">
        <v>184</v>
      </c>
      <c r="F109" s="63" t="s">
        <v>2318</v>
      </c>
      <c r="G109">
        <v>1</v>
      </c>
      <c r="H109">
        <v>60</v>
      </c>
      <c r="I109">
        <v>1434</v>
      </c>
      <c r="J109">
        <v>1434</v>
      </c>
      <c r="K109">
        <v>36.5</v>
      </c>
      <c r="L109">
        <v>59</v>
      </c>
    </row>
    <row r="110" spans="1:12">
      <c r="A110">
        <v>201</v>
      </c>
      <c r="B110" s="63" t="s">
        <v>257</v>
      </c>
      <c r="C110" s="63" t="s">
        <v>1719</v>
      </c>
      <c r="D110" s="63" t="s">
        <v>59</v>
      </c>
      <c r="E110" s="63" t="s">
        <v>184</v>
      </c>
      <c r="F110" s="63" t="s">
        <v>1087</v>
      </c>
      <c r="G110">
        <v>1</v>
      </c>
      <c r="H110">
        <v>33</v>
      </c>
      <c r="I110">
        <v>786</v>
      </c>
      <c r="J110">
        <v>786</v>
      </c>
      <c r="K110">
        <v>79.05</v>
      </c>
      <c r="L110">
        <v>59</v>
      </c>
    </row>
    <row r="111" spans="1:12">
      <c r="A111">
        <v>201</v>
      </c>
      <c r="B111" s="63" t="s">
        <v>2065</v>
      </c>
      <c r="C111" s="63" t="s">
        <v>2319</v>
      </c>
      <c r="D111" s="63" t="s">
        <v>59</v>
      </c>
      <c r="E111" s="63" t="s">
        <v>184</v>
      </c>
      <c r="F111" s="63" t="s">
        <v>2135</v>
      </c>
      <c r="G111">
        <v>1</v>
      </c>
      <c r="H111">
        <v>60</v>
      </c>
      <c r="I111">
        <v>1439</v>
      </c>
      <c r="J111">
        <v>1439</v>
      </c>
      <c r="K111">
        <v>121.22</v>
      </c>
      <c r="L111">
        <v>14</v>
      </c>
    </row>
    <row r="112" spans="1:12">
      <c r="A112">
        <v>201</v>
      </c>
      <c r="B112" s="63" t="s">
        <v>2065</v>
      </c>
      <c r="C112" s="63" t="s">
        <v>2319</v>
      </c>
      <c r="D112" s="63" t="s">
        <v>59</v>
      </c>
      <c r="E112" s="63" t="s">
        <v>184</v>
      </c>
      <c r="F112" s="63" t="s">
        <v>2120</v>
      </c>
      <c r="G112">
        <v>1</v>
      </c>
      <c r="H112">
        <v>60</v>
      </c>
      <c r="I112">
        <v>1439</v>
      </c>
      <c r="J112">
        <v>1439</v>
      </c>
      <c r="K112">
        <v>118.92</v>
      </c>
      <c r="L112">
        <v>14</v>
      </c>
    </row>
    <row r="113" spans="1:12">
      <c r="A113">
        <v>201</v>
      </c>
      <c r="B113" s="63" t="s">
        <v>502</v>
      </c>
      <c r="C113" s="63" t="s">
        <v>503</v>
      </c>
      <c r="D113" s="63" t="s">
        <v>305</v>
      </c>
      <c r="E113" s="63" t="s">
        <v>175</v>
      </c>
      <c r="F113" s="63" t="s">
        <v>1471</v>
      </c>
      <c r="G113">
        <v>1</v>
      </c>
      <c r="H113">
        <v>2</v>
      </c>
      <c r="I113">
        <v>47</v>
      </c>
      <c r="J113">
        <v>47</v>
      </c>
      <c r="K113">
        <v>301</v>
      </c>
      <c r="L113">
        <v>18</v>
      </c>
    </row>
    <row r="114" spans="1:12">
      <c r="A114">
        <v>201</v>
      </c>
      <c r="B114" s="63" t="s">
        <v>2320</v>
      </c>
      <c r="C114" s="63" t="s">
        <v>2321</v>
      </c>
      <c r="D114" s="63" t="s">
        <v>285</v>
      </c>
      <c r="E114" s="63" t="s">
        <v>184</v>
      </c>
      <c r="F114" s="63" t="s">
        <v>2322</v>
      </c>
      <c r="G114">
        <v>1</v>
      </c>
      <c r="H114">
        <v>10</v>
      </c>
      <c r="I114">
        <v>196</v>
      </c>
      <c r="J114">
        <v>196</v>
      </c>
      <c r="K114">
        <v>72.569999999999993</v>
      </c>
      <c r="L114">
        <v>18</v>
      </c>
    </row>
    <row r="115" spans="1:12">
      <c r="A115">
        <v>201</v>
      </c>
      <c r="B115" s="63" t="s">
        <v>268</v>
      </c>
      <c r="C115" s="63" t="s">
        <v>1118</v>
      </c>
      <c r="D115" s="63" t="s">
        <v>269</v>
      </c>
      <c r="E115" s="63" t="s">
        <v>184</v>
      </c>
      <c r="F115" s="63" t="s">
        <v>2323</v>
      </c>
      <c r="G115">
        <v>1</v>
      </c>
      <c r="H115">
        <v>4</v>
      </c>
      <c r="I115">
        <v>4</v>
      </c>
      <c r="J115">
        <v>4</v>
      </c>
      <c r="K115">
        <v>3.17</v>
      </c>
      <c r="L115">
        <v>283</v>
      </c>
    </row>
    <row r="116" spans="1:12">
      <c r="A116">
        <v>201</v>
      </c>
      <c r="B116" s="63" t="s">
        <v>419</v>
      </c>
      <c r="C116" s="63" t="s">
        <v>420</v>
      </c>
      <c r="D116" s="63" t="s">
        <v>59</v>
      </c>
      <c r="E116" s="63" t="s">
        <v>175</v>
      </c>
      <c r="F116" s="63" t="s">
        <v>2042</v>
      </c>
      <c r="G116">
        <v>1</v>
      </c>
      <c r="H116">
        <v>60</v>
      </c>
      <c r="I116">
        <v>1198</v>
      </c>
      <c r="J116">
        <v>1198</v>
      </c>
      <c r="K116">
        <v>89.53</v>
      </c>
      <c r="L116">
        <v>17</v>
      </c>
    </row>
    <row r="117" spans="1:12">
      <c r="A117">
        <v>201</v>
      </c>
      <c r="B117" s="63" t="s">
        <v>540</v>
      </c>
      <c r="C117" s="63" t="s">
        <v>1790</v>
      </c>
      <c r="D117" s="63" t="s">
        <v>59</v>
      </c>
      <c r="E117" s="63" t="s">
        <v>184</v>
      </c>
      <c r="F117" s="63" t="s">
        <v>1462</v>
      </c>
      <c r="G117">
        <v>1</v>
      </c>
      <c r="H117">
        <v>60</v>
      </c>
      <c r="I117">
        <v>1185</v>
      </c>
      <c r="J117">
        <v>1185</v>
      </c>
      <c r="K117">
        <v>54.83</v>
      </c>
      <c r="L117">
        <v>58</v>
      </c>
    </row>
    <row r="118" spans="1:12">
      <c r="A118">
        <v>201</v>
      </c>
      <c r="B118" s="63" t="s">
        <v>540</v>
      </c>
      <c r="C118" s="63" t="s">
        <v>1790</v>
      </c>
      <c r="D118" s="63" t="s">
        <v>59</v>
      </c>
      <c r="E118" s="63" t="s">
        <v>184</v>
      </c>
      <c r="F118" s="63" t="s">
        <v>2020</v>
      </c>
      <c r="G118">
        <v>1</v>
      </c>
      <c r="H118">
        <v>26</v>
      </c>
      <c r="I118">
        <v>518</v>
      </c>
      <c r="J118">
        <v>518</v>
      </c>
      <c r="K118">
        <v>53.23</v>
      </c>
      <c r="L118">
        <v>37</v>
      </c>
    </row>
    <row r="119" spans="1:12">
      <c r="A119">
        <v>201</v>
      </c>
      <c r="B119" s="63" t="s">
        <v>578</v>
      </c>
      <c r="C119" s="63" t="s">
        <v>920</v>
      </c>
      <c r="D119" s="63" t="s">
        <v>59</v>
      </c>
      <c r="E119" s="63" t="s">
        <v>175</v>
      </c>
      <c r="F119" s="63" t="s">
        <v>399</v>
      </c>
      <c r="G119">
        <v>1</v>
      </c>
      <c r="H119">
        <v>25</v>
      </c>
      <c r="I119">
        <v>435</v>
      </c>
      <c r="J119">
        <v>435</v>
      </c>
      <c r="K119">
        <v>34.380000000000003</v>
      </c>
      <c r="L119">
        <v>70</v>
      </c>
    </row>
    <row r="120" spans="1:12">
      <c r="A120">
        <v>201</v>
      </c>
      <c r="B120" s="63" t="s">
        <v>832</v>
      </c>
      <c r="C120" s="63" t="s">
        <v>1824</v>
      </c>
      <c r="D120" s="63" t="s">
        <v>59</v>
      </c>
      <c r="E120" s="63" t="s">
        <v>174</v>
      </c>
      <c r="F120" s="63" t="s">
        <v>1503</v>
      </c>
      <c r="G120">
        <v>1</v>
      </c>
      <c r="H120">
        <v>17</v>
      </c>
      <c r="I120">
        <v>305</v>
      </c>
      <c r="J120">
        <v>305</v>
      </c>
      <c r="K120">
        <v>57.02</v>
      </c>
      <c r="L120">
        <v>37</v>
      </c>
    </row>
    <row r="121" spans="1:12">
      <c r="A121">
        <v>201</v>
      </c>
      <c r="B121" s="63" t="s">
        <v>698</v>
      </c>
      <c r="C121" s="63" t="s">
        <v>2324</v>
      </c>
      <c r="D121" s="63" t="s">
        <v>59</v>
      </c>
      <c r="E121" s="63" t="s">
        <v>184</v>
      </c>
      <c r="F121" s="63" t="s">
        <v>1950</v>
      </c>
      <c r="G121">
        <v>1</v>
      </c>
      <c r="H121">
        <v>60</v>
      </c>
      <c r="I121">
        <v>1074</v>
      </c>
      <c r="J121">
        <v>1074</v>
      </c>
      <c r="K121">
        <v>41.98</v>
      </c>
      <c r="L121">
        <v>7</v>
      </c>
    </row>
    <row r="122" spans="1:12">
      <c r="A122">
        <v>201</v>
      </c>
      <c r="B122" s="63" t="s">
        <v>698</v>
      </c>
      <c r="C122" s="63" t="s">
        <v>2324</v>
      </c>
      <c r="D122" s="63" t="s">
        <v>59</v>
      </c>
      <c r="E122" s="63" t="s">
        <v>184</v>
      </c>
      <c r="F122" s="63" t="s">
        <v>1078</v>
      </c>
      <c r="G122">
        <v>1</v>
      </c>
      <c r="H122">
        <v>45</v>
      </c>
      <c r="I122">
        <v>809</v>
      </c>
      <c r="J122">
        <v>809</v>
      </c>
      <c r="K122">
        <v>30.35</v>
      </c>
      <c r="L122">
        <v>8</v>
      </c>
    </row>
    <row r="123" spans="1:12">
      <c r="A123">
        <v>201</v>
      </c>
      <c r="B123" s="63" t="s">
        <v>698</v>
      </c>
      <c r="C123" s="63" t="s">
        <v>2324</v>
      </c>
      <c r="D123" s="63" t="s">
        <v>59</v>
      </c>
      <c r="E123" s="63" t="s">
        <v>184</v>
      </c>
      <c r="F123" s="63" t="s">
        <v>1123</v>
      </c>
      <c r="G123">
        <v>1</v>
      </c>
      <c r="H123">
        <v>60</v>
      </c>
      <c r="I123">
        <v>1071</v>
      </c>
      <c r="J123">
        <v>1071</v>
      </c>
      <c r="K123">
        <v>38.22</v>
      </c>
      <c r="L123">
        <v>8</v>
      </c>
    </row>
    <row r="124" spans="1:12">
      <c r="A124">
        <v>201</v>
      </c>
      <c r="B124" s="63" t="s">
        <v>698</v>
      </c>
      <c r="C124" s="63" t="s">
        <v>2324</v>
      </c>
      <c r="D124" s="63" t="s">
        <v>59</v>
      </c>
      <c r="E124" s="63" t="s">
        <v>184</v>
      </c>
      <c r="F124" s="63" t="s">
        <v>1505</v>
      </c>
      <c r="G124">
        <v>1</v>
      </c>
      <c r="H124">
        <v>60</v>
      </c>
      <c r="I124">
        <v>1079</v>
      </c>
      <c r="J124">
        <v>1079</v>
      </c>
      <c r="K124">
        <v>49</v>
      </c>
      <c r="L124">
        <v>7</v>
      </c>
    </row>
    <row r="125" spans="1:12">
      <c r="A125">
        <v>201</v>
      </c>
      <c r="B125" s="63" t="s">
        <v>698</v>
      </c>
      <c r="C125" s="63" t="s">
        <v>2324</v>
      </c>
      <c r="D125" s="63" t="s">
        <v>59</v>
      </c>
      <c r="E125" s="63" t="s">
        <v>184</v>
      </c>
      <c r="F125" s="63" t="s">
        <v>897</v>
      </c>
      <c r="G125">
        <v>1</v>
      </c>
      <c r="H125">
        <v>39</v>
      </c>
      <c r="I125">
        <v>698</v>
      </c>
      <c r="J125">
        <v>698</v>
      </c>
      <c r="K125">
        <v>31.88</v>
      </c>
      <c r="L125">
        <v>8</v>
      </c>
    </row>
    <row r="126" spans="1:12">
      <c r="A126">
        <v>201</v>
      </c>
      <c r="B126" s="63" t="s">
        <v>698</v>
      </c>
      <c r="C126" s="63" t="s">
        <v>2324</v>
      </c>
      <c r="D126" s="63" t="s">
        <v>59</v>
      </c>
      <c r="E126" s="63" t="s">
        <v>184</v>
      </c>
      <c r="F126" s="63" t="s">
        <v>1959</v>
      </c>
      <c r="G126">
        <v>1</v>
      </c>
      <c r="H126">
        <v>40</v>
      </c>
      <c r="I126">
        <v>717</v>
      </c>
      <c r="J126">
        <v>717</v>
      </c>
      <c r="K126">
        <v>81.7</v>
      </c>
      <c r="L126">
        <v>8</v>
      </c>
    </row>
    <row r="127" spans="1:12">
      <c r="A127">
        <v>201</v>
      </c>
      <c r="B127" s="63" t="s">
        <v>1018</v>
      </c>
      <c r="C127" s="63" t="s">
        <v>1031</v>
      </c>
      <c r="D127" s="63" t="s">
        <v>285</v>
      </c>
      <c r="E127" s="63" t="s">
        <v>175</v>
      </c>
      <c r="F127" s="63" t="s">
        <v>1981</v>
      </c>
      <c r="G127">
        <v>1</v>
      </c>
      <c r="H127">
        <v>24</v>
      </c>
      <c r="I127">
        <v>423</v>
      </c>
      <c r="J127">
        <v>423</v>
      </c>
      <c r="K127">
        <v>26.87</v>
      </c>
      <c r="L127">
        <v>82</v>
      </c>
    </row>
    <row r="128" spans="1:12">
      <c r="A128">
        <v>201</v>
      </c>
      <c r="B128" s="63" t="s">
        <v>480</v>
      </c>
      <c r="C128" s="63" t="s">
        <v>670</v>
      </c>
      <c r="D128" s="63" t="s">
        <v>305</v>
      </c>
      <c r="E128" s="63" t="s">
        <v>184</v>
      </c>
      <c r="F128" s="63" t="s">
        <v>1065</v>
      </c>
      <c r="G128">
        <v>1</v>
      </c>
      <c r="H128">
        <v>29</v>
      </c>
      <c r="I128">
        <v>522</v>
      </c>
      <c r="J128">
        <v>522</v>
      </c>
      <c r="K128">
        <v>46.83</v>
      </c>
      <c r="L128">
        <v>13</v>
      </c>
    </row>
    <row r="129" spans="1:12">
      <c r="A129">
        <v>201</v>
      </c>
      <c r="B129" s="63" t="s">
        <v>480</v>
      </c>
      <c r="C129" s="63" t="s">
        <v>670</v>
      </c>
      <c r="D129" s="63" t="s">
        <v>59</v>
      </c>
      <c r="E129" s="63" t="s">
        <v>175</v>
      </c>
      <c r="F129" s="63" t="s">
        <v>1601</v>
      </c>
      <c r="G129">
        <v>1</v>
      </c>
      <c r="H129">
        <v>44</v>
      </c>
      <c r="I129">
        <v>788</v>
      </c>
      <c r="J129">
        <v>788</v>
      </c>
      <c r="K129">
        <v>99.37</v>
      </c>
      <c r="L129">
        <v>13</v>
      </c>
    </row>
    <row r="130" spans="1:12">
      <c r="A130">
        <v>201</v>
      </c>
      <c r="B130" s="63" t="s">
        <v>306</v>
      </c>
      <c r="C130" s="63" t="s">
        <v>2325</v>
      </c>
      <c r="D130" s="63" t="s">
        <v>59</v>
      </c>
      <c r="E130" s="63" t="s">
        <v>174</v>
      </c>
      <c r="F130" s="63" t="s">
        <v>2059</v>
      </c>
      <c r="G130">
        <v>1</v>
      </c>
      <c r="H130">
        <v>60</v>
      </c>
      <c r="I130">
        <v>1070</v>
      </c>
      <c r="J130">
        <v>1070</v>
      </c>
      <c r="K130">
        <v>51.67</v>
      </c>
      <c r="L130">
        <v>29</v>
      </c>
    </row>
    <row r="131" spans="1:12">
      <c r="A131">
        <v>201</v>
      </c>
      <c r="B131" s="63" t="s">
        <v>306</v>
      </c>
      <c r="C131" s="63" t="s">
        <v>2325</v>
      </c>
      <c r="D131" s="63" t="s">
        <v>59</v>
      </c>
      <c r="E131" s="63" t="s">
        <v>184</v>
      </c>
      <c r="F131" s="63" t="s">
        <v>1789</v>
      </c>
      <c r="G131">
        <v>1</v>
      </c>
      <c r="H131">
        <v>51</v>
      </c>
      <c r="I131">
        <v>911</v>
      </c>
      <c r="J131">
        <v>911</v>
      </c>
      <c r="K131">
        <v>50.82</v>
      </c>
      <c r="L131">
        <v>29</v>
      </c>
    </row>
    <row r="132" spans="1:12">
      <c r="A132">
        <v>201</v>
      </c>
      <c r="B132" s="63" t="s">
        <v>1887</v>
      </c>
      <c r="C132" s="63" t="s">
        <v>1888</v>
      </c>
      <c r="D132" s="63" t="s">
        <v>59</v>
      </c>
      <c r="G132">
        <v>1</v>
      </c>
      <c r="H132">
        <v>60</v>
      </c>
      <c r="I132">
        <v>716</v>
      </c>
      <c r="J132">
        <v>716</v>
      </c>
      <c r="K132">
        <v>2.1800000000000002</v>
      </c>
      <c r="L132">
        <v>11</v>
      </c>
    </row>
    <row r="133" spans="1:12">
      <c r="A133">
        <v>201</v>
      </c>
      <c r="B133" s="63" t="s">
        <v>1887</v>
      </c>
      <c r="C133" s="63" t="s">
        <v>1888</v>
      </c>
      <c r="D133" s="63" t="s">
        <v>59</v>
      </c>
      <c r="E133" s="63" t="s">
        <v>1427</v>
      </c>
      <c r="F133" s="63" t="s">
        <v>1500</v>
      </c>
      <c r="G133">
        <v>1</v>
      </c>
      <c r="H133">
        <v>60</v>
      </c>
      <c r="I133">
        <v>712</v>
      </c>
      <c r="J133">
        <v>712</v>
      </c>
      <c r="K133">
        <v>6.7</v>
      </c>
      <c r="L133">
        <v>11</v>
      </c>
    </row>
    <row r="134" spans="1:12">
      <c r="A134">
        <v>201</v>
      </c>
      <c r="B134" s="63" t="s">
        <v>1887</v>
      </c>
      <c r="C134" s="63" t="s">
        <v>1888</v>
      </c>
      <c r="D134" s="63" t="s">
        <v>59</v>
      </c>
      <c r="E134" s="63" t="s">
        <v>184</v>
      </c>
      <c r="F134" s="63" t="s">
        <v>1309</v>
      </c>
      <c r="G134">
        <v>1</v>
      </c>
      <c r="H134">
        <v>60</v>
      </c>
      <c r="I134">
        <v>719</v>
      </c>
      <c r="J134">
        <v>719</v>
      </c>
      <c r="K134">
        <v>23.98</v>
      </c>
      <c r="L134">
        <v>10</v>
      </c>
    </row>
    <row r="135" spans="1:12">
      <c r="A135">
        <v>201</v>
      </c>
      <c r="B135" s="63" t="s">
        <v>1887</v>
      </c>
      <c r="C135" s="63" t="s">
        <v>1888</v>
      </c>
      <c r="D135" s="63" t="s">
        <v>59</v>
      </c>
      <c r="E135" s="63" t="s">
        <v>184</v>
      </c>
      <c r="F135" s="63" t="s">
        <v>957</v>
      </c>
      <c r="G135">
        <v>1</v>
      </c>
      <c r="H135">
        <v>36</v>
      </c>
      <c r="I135">
        <v>431</v>
      </c>
      <c r="J135">
        <v>431</v>
      </c>
      <c r="K135">
        <v>4.47</v>
      </c>
      <c r="L135">
        <v>11</v>
      </c>
    </row>
    <row r="136" spans="1:12">
      <c r="A136">
        <v>201</v>
      </c>
      <c r="B136" s="63" t="s">
        <v>334</v>
      </c>
      <c r="C136" s="63" t="s">
        <v>2326</v>
      </c>
      <c r="D136" s="63" t="s">
        <v>59</v>
      </c>
      <c r="E136" s="63" t="s">
        <v>203</v>
      </c>
      <c r="F136" s="63" t="s">
        <v>1624</v>
      </c>
      <c r="G136">
        <v>1</v>
      </c>
      <c r="H136">
        <v>24</v>
      </c>
      <c r="I136">
        <v>142</v>
      </c>
      <c r="J136">
        <v>142</v>
      </c>
      <c r="K136">
        <v>47.78</v>
      </c>
      <c r="L136">
        <v>22</v>
      </c>
    </row>
    <row r="137" spans="1:12">
      <c r="A137">
        <v>201</v>
      </c>
      <c r="B137" s="63" t="s">
        <v>330</v>
      </c>
      <c r="C137" s="63" t="s">
        <v>331</v>
      </c>
      <c r="D137" s="63" t="s">
        <v>261</v>
      </c>
      <c r="E137" s="63" t="s">
        <v>2308</v>
      </c>
      <c r="F137" s="63" t="s">
        <v>2327</v>
      </c>
      <c r="G137">
        <v>1</v>
      </c>
      <c r="H137">
        <v>60</v>
      </c>
      <c r="I137">
        <v>60</v>
      </c>
      <c r="J137">
        <v>60</v>
      </c>
      <c r="K137">
        <v>0.92</v>
      </c>
      <c r="L137">
        <v>10</v>
      </c>
    </row>
    <row r="138" spans="1:12">
      <c r="A138">
        <v>205</v>
      </c>
      <c r="B138" s="63" t="s">
        <v>2328</v>
      </c>
      <c r="C138" s="63" t="s">
        <v>2329</v>
      </c>
      <c r="D138" s="63" t="s">
        <v>59</v>
      </c>
      <c r="G138">
        <v>1</v>
      </c>
      <c r="H138">
        <v>60</v>
      </c>
      <c r="I138">
        <v>480</v>
      </c>
      <c r="J138">
        <v>1841</v>
      </c>
      <c r="K138">
        <v>0.6</v>
      </c>
      <c r="L138">
        <v>2</v>
      </c>
    </row>
    <row r="139" spans="1:12">
      <c r="A139">
        <v>205</v>
      </c>
      <c r="B139" s="63" t="s">
        <v>2328</v>
      </c>
      <c r="C139" s="63" t="s">
        <v>2329</v>
      </c>
      <c r="D139" s="63" t="s">
        <v>59</v>
      </c>
      <c r="E139" s="63" t="s">
        <v>1940</v>
      </c>
      <c r="F139" s="63" t="s">
        <v>2330</v>
      </c>
      <c r="G139">
        <v>1</v>
      </c>
      <c r="H139">
        <v>51</v>
      </c>
      <c r="I139">
        <v>408</v>
      </c>
      <c r="J139">
        <v>1592</v>
      </c>
      <c r="K139">
        <v>16.149999999999999</v>
      </c>
      <c r="L139">
        <v>1</v>
      </c>
    </row>
    <row r="140" spans="1:12">
      <c r="A140">
        <v>205</v>
      </c>
      <c r="B140" s="63" t="s">
        <v>1282</v>
      </c>
      <c r="C140" s="63" t="s">
        <v>1283</v>
      </c>
      <c r="D140" s="63" t="s">
        <v>59</v>
      </c>
      <c r="E140" s="63" t="s">
        <v>174</v>
      </c>
      <c r="F140" s="63" t="s">
        <v>1029</v>
      </c>
      <c r="G140">
        <v>1</v>
      </c>
      <c r="H140">
        <v>1</v>
      </c>
      <c r="I140">
        <v>24</v>
      </c>
      <c r="J140">
        <v>24</v>
      </c>
      <c r="K140">
        <v>6.28</v>
      </c>
      <c r="L140">
        <v>2</v>
      </c>
    </row>
    <row r="141" spans="1:12">
      <c r="A141">
        <v>205</v>
      </c>
      <c r="B141" s="63" t="s">
        <v>1282</v>
      </c>
      <c r="C141" s="63" t="s">
        <v>1283</v>
      </c>
      <c r="D141" s="63" t="s">
        <v>59</v>
      </c>
      <c r="E141" s="63" t="s">
        <v>184</v>
      </c>
      <c r="F141" s="63" t="s">
        <v>1316</v>
      </c>
      <c r="G141">
        <v>1</v>
      </c>
      <c r="H141">
        <v>60</v>
      </c>
      <c r="I141">
        <v>1374</v>
      </c>
      <c r="J141">
        <v>1374</v>
      </c>
      <c r="K141">
        <v>2.92</v>
      </c>
      <c r="L141">
        <v>2</v>
      </c>
    </row>
    <row r="142" spans="1:12">
      <c r="A142">
        <v>205</v>
      </c>
      <c r="B142" s="63" t="s">
        <v>1282</v>
      </c>
      <c r="C142" s="63" t="s">
        <v>1283</v>
      </c>
      <c r="D142" s="63" t="s">
        <v>59</v>
      </c>
      <c r="E142" s="63" t="s">
        <v>184</v>
      </c>
      <c r="F142" s="63" t="s">
        <v>1382</v>
      </c>
      <c r="G142">
        <v>1</v>
      </c>
      <c r="H142">
        <v>60</v>
      </c>
      <c r="I142">
        <v>1425</v>
      </c>
      <c r="J142">
        <v>1425</v>
      </c>
      <c r="K142">
        <v>2.92</v>
      </c>
      <c r="L142">
        <v>2</v>
      </c>
    </row>
    <row r="143" spans="1:12">
      <c r="A143">
        <v>205</v>
      </c>
      <c r="B143" s="63" t="s">
        <v>974</v>
      </c>
      <c r="C143" s="63" t="s">
        <v>975</v>
      </c>
      <c r="D143" s="63" t="s">
        <v>309</v>
      </c>
      <c r="E143" s="63" t="s">
        <v>174</v>
      </c>
      <c r="F143" s="63" t="s">
        <v>2105</v>
      </c>
      <c r="G143">
        <v>1</v>
      </c>
      <c r="H143">
        <v>7</v>
      </c>
      <c r="I143">
        <v>82</v>
      </c>
      <c r="J143">
        <v>82</v>
      </c>
      <c r="K143">
        <v>61.43</v>
      </c>
      <c r="L143">
        <v>60</v>
      </c>
    </row>
    <row r="144" spans="1:12">
      <c r="A144">
        <v>205</v>
      </c>
      <c r="B144" s="63" t="s">
        <v>2331</v>
      </c>
      <c r="C144" s="63" t="s">
        <v>2332</v>
      </c>
      <c r="D144" s="63" t="s">
        <v>309</v>
      </c>
      <c r="E144" s="63" t="s">
        <v>175</v>
      </c>
      <c r="F144" s="63" t="s">
        <v>1070</v>
      </c>
      <c r="G144">
        <v>1</v>
      </c>
      <c r="H144">
        <v>10</v>
      </c>
      <c r="I144">
        <v>114</v>
      </c>
      <c r="J144">
        <v>114</v>
      </c>
      <c r="K144">
        <v>72.3</v>
      </c>
      <c r="L144">
        <v>29</v>
      </c>
    </row>
    <row r="145" spans="1:12">
      <c r="A145">
        <v>205</v>
      </c>
      <c r="B145" s="63" t="s">
        <v>1574</v>
      </c>
      <c r="C145" s="63" t="s">
        <v>1607</v>
      </c>
      <c r="D145" s="63" t="s">
        <v>309</v>
      </c>
      <c r="E145" s="63" t="s">
        <v>175</v>
      </c>
      <c r="F145" s="63" t="s">
        <v>2082</v>
      </c>
      <c r="G145">
        <v>1</v>
      </c>
      <c r="H145">
        <v>12</v>
      </c>
      <c r="I145">
        <v>135</v>
      </c>
      <c r="J145">
        <v>135</v>
      </c>
      <c r="K145">
        <v>61.37</v>
      </c>
      <c r="L145">
        <v>22</v>
      </c>
    </row>
    <row r="146" spans="1:12">
      <c r="A146">
        <v>205</v>
      </c>
      <c r="B146" s="63" t="s">
        <v>815</v>
      </c>
      <c r="C146" s="63" t="s">
        <v>823</v>
      </c>
      <c r="D146" s="63" t="s">
        <v>307</v>
      </c>
      <c r="E146" s="63" t="s">
        <v>174</v>
      </c>
      <c r="F146" s="63" t="s">
        <v>949</v>
      </c>
      <c r="G146">
        <v>1</v>
      </c>
      <c r="H146">
        <v>48</v>
      </c>
      <c r="I146">
        <v>272</v>
      </c>
      <c r="J146">
        <v>272</v>
      </c>
      <c r="K146">
        <v>28.03</v>
      </c>
      <c r="L146">
        <v>2</v>
      </c>
    </row>
    <row r="147" spans="1:12">
      <c r="A147">
        <v>206</v>
      </c>
      <c r="B147" s="63" t="s">
        <v>259</v>
      </c>
      <c r="C147" s="63" t="s">
        <v>406</v>
      </c>
      <c r="D147" s="63" t="s">
        <v>59</v>
      </c>
      <c r="E147" s="63" t="s">
        <v>311</v>
      </c>
      <c r="F147" s="63" t="s">
        <v>2333</v>
      </c>
      <c r="G147">
        <v>1</v>
      </c>
      <c r="H147">
        <v>60</v>
      </c>
      <c r="I147">
        <v>1185</v>
      </c>
      <c r="J147">
        <v>1185</v>
      </c>
      <c r="K147">
        <v>23.95</v>
      </c>
      <c r="L147">
        <v>1</v>
      </c>
    </row>
    <row r="148" spans="1:12">
      <c r="A148">
        <v>206</v>
      </c>
      <c r="B148" s="63" t="s">
        <v>259</v>
      </c>
      <c r="C148" s="63" t="s">
        <v>406</v>
      </c>
      <c r="D148" s="63" t="s">
        <v>59</v>
      </c>
      <c r="E148" s="63" t="s">
        <v>254</v>
      </c>
      <c r="F148" s="63" t="s">
        <v>2334</v>
      </c>
      <c r="G148">
        <v>1</v>
      </c>
      <c r="H148">
        <v>60</v>
      </c>
      <c r="I148">
        <v>1112</v>
      </c>
      <c r="J148">
        <v>1112</v>
      </c>
      <c r="K148">
        <v>1.08</v>
      </c>
      <c r="L148">
        <v>0</v>
      </c>
    </row>
    <row r="149" spans="1:12">
      <c r="A149">
        <v>206</v>
      </c>
      <c r="B149" s="63" t="s">
        <v>259</v>
      </c>
      <c r="C149" s="63" t="s">
        <v>406</v>
      </c>
      <c r="D149" s="63" t="s">
        <v>59</v>
      </c>
      <c r="E149" s="63" t="s">
        <v>254</v>
      </c>
      <c r="F149" s="63" t="s">
        <v>2335</v>
      </c>
      <c r="G149">
        <v>1</v>
      </c>
      <c r="H149">
        <v>60</v>
      </c>
      <c r="I149">
        <v>1158</v>
      </c>
      <c r="J149">
        <v>1158</v>
      </c>
      <c r="K149">
        <v>0.57999999999999996</v>
      </c>
      <c r="L149">
        <v>0</v>
      </c>
    </row>
    <row r="150" spans="1:12">
      <c r="A150">
        <v>206</v>
      </c>
      <c r="B150" s="63" t="s">
        <v>259</v>
      </c>
      <c r="C150" s="63" t="s">
        <v>406</v>
      </c>
      <c r="D150" s="63" t="s">
        <v>59</v>
      </c>
      <c r="E150" s="63" t="s">
        <v>459</v>
      </c>
      <c r="F150" s="63" t="s">
        <v>1281</v>
      </c>
      <c r="G150">
        <v>1</v>
      </c>
      <c r="H150">
        <v>60</v>
      </c>
      <c r="I150">
        <v>1165</v>
      </c>
      <c r="J150">
        <v>1165</v>
      </c>
      <c r="K150">
        <v>4.5</v>
      </c>
      <c r="L150">
        <v>0</v>
      </c>
    </row>
    <row r="151" spans="1:12">
      <c r="A151">
        <v>206</v>
      </c>
      <c r="B151" s="63" t="s">
        <v>2336</v>
      </c>
      <c r="C151" s="63" t="s">
        <v>2337</v>
      </c>
      <c r="D151" s="63" t="s">
        <v>205</v>
      </c>
      <c r="E151" s="63" t="s">
        <v>254</v>
      </c>
      <c r="F151" s="63" t="s">
        <v>2338</v>
      </c>
      <c r="G151">
        <v>1</v>
      </c>
      <c r="H151">
        <v>19</v>
      </c>
      <c r="I151">
        <v>336</v>
      </c>
      <c r="J151">
        <v>336</v>
      </c>
      <c r="K151">
        <v>1.32</v>
      </c>
      <c r="L151">
        <v>1</v>
      </c>
    </row>
    <row r="152" spans="1:12">
      <c r="A152">
        <v>206</v>
      </c>
      <c r="B152" s="63" t="s">
        <v>2336</v>
      </c>
      <c r="C152" s="63" t="s">
        <v>2337</v>
      </c>
      <c r="D152" s="63" t="s">
        <v>205</v>
      </c>
      <c r="E152" s="63" t="s">
        <v>504</v>
      </c>
      <c r="F152" s="63" t="s">
        <v>2339</v>
      </c>
      <c r="G152">
        <v>1</v>
      </c>
      <c r="H152">
        <v>60</v>
      </c>
      <c r="I152">
        <v>1041</v>
      </c>
      <c r="J152">
        <v>1041</v>
      </c>
      <c r="K152">
        <v>1.45</v>
      </c>
      <c r="L152">
        <v>1</v>
      </c>
    </row>
    <row r="153" spans="1:12">
      <c r="A153">
        <v>206</v>
      </c>
      <c r="B153" s="63" t="s">
        <v>337</v>
      </c>
      <c r="C153" s="63" t="s">
        <v>338</v>
      </c>
      <c r="D153" s="63" t="s">
        <v>307</v>
      </c>
      <c r="E153" s="63" t="s">
        <v>176</v>
      </c>
      <c r="F153" s="63" t="s">
        <v>2340</v>
      </c>
      <c r="G153">
        <v>1</v>
      </c>
      <c r="H153">
        <v>1</v>
      </c>
      <c r="I153">
        <v>18</v>
      </c>
      <c r="J153">
        <v>18</v>
      </c>
      <c r="K153">
        <v>570.17999999999995</v>
      </c>
      <c r="L153">
        <v>24</v>
      </c>
    </row>
    <row r="154" spans="1:12">
      <c r="A154">
        <v>206</v>
      </c>
      <c r="B154" s="63" t="s">
        <v>400</v>
      </c>
      <c r="C154" s="63" t="s">
        <v>401</v>
      </c>
      <c r="D154" s="63" t="s">
        <v>59</v>
      </c>
      <c r="E154" s="63" t="s">
        <v>311</v>
      </c>
      <c r="F154" s="63" t="s">
        <v>1889</v>
      </c>
      <c r="G154">
        <v>1</v>
      </c>
      <c r="H154">
        <v>5</v>
      </c>
      <c r="I154">
        <v>90</v>
      </c>
      <c r="J154">
        <v>90</v>
      </c>
      <c r="K154">
        <v>367.12</v>
      </c>
      <c r="L154">
        <v>66</v>
      </c>
    </row>
    <row r="155" spans="1:12">
      <c r="A155">
        <v>206</v>
      </c>
      <c r="B155" s="63" t="s">
        <v>240</v>
      </c>
      <c r="C155" s="63" t="s">
        <v>308</v>
      </c>
      <c r="D155" s="63" t="s">
        <v>301</v>
      </c>
      <c r="E155" s="63" t="s">
        <v>254</v>
      </c>
      <c r="F155" s="63" t="s">
        <v>1563</v>
      </c>
      <c r="G155">
        <v>1</v>
      </c>
      <c r="H155">
        <v>15</v>
      </c>
      <c r="I155">
        <v>203</v>
      </c>
      <c r="J155">
        <v>203</v>
      </c>
      <c r="K155">
        <v>40.630000000000003</v>
      </c>
      <c r="L155">
        <v>5</v>
      </c>
    </row>
    <row r="156" spans="1:12">
      <c r="A156">
        <v>206</v>
      </c>
      <c r="B156" s="63" t="s">
        <v>1608</v>
      </c>
      <c r="C156" s="63" t="s">
        <v>1609</v>
      </c>
      <c r="D156" s="63" t="s">
        <v>309</v>
      </c>
      <c r="E156" s="63" t="s">
        <v>177</v>
      </c>
      <c r="F156" s="63" t="s">
        <v>1610</v>
      </c>
      <c r="G156">
        <v>1</v>
      </c>
      <c r="H156">
        <v>16</v>
      </c>
      <c r="I156">
        <v>88</v>
      </c>
      <c r="J156">
        <v>88</v>
      </c>
      <c r="K156">
        <v>1196.78</v>
      </c>
      <c r="L156">
        <v>60</v>
      </c>
    </row>
    <row r="157" spans="1:12">
      <c r="A157">
        <v>206</v>
      </c>
      <c r="B157" s="63" t="s">
        <v>1575</v>
      </c>
      <c r="C157" s="63" t="s">
        <v>1612</v>
      </c>
      <c r="D157" s="63" t="s">
        <v>59</v>
      </c>
      <c r="E157" s="63" t="s">
        <v>177</v>
      </c>
      <c r="F157" s="63" t="s">
        <v>2341</v>
      </c>
      <c r="G157">
        <v>1</v>
      </c>
      <c r="H157">
        <v>4</v>
      </c>
      <c r="I157">
        <v>23</v>
      </c>
      <c r="J157">
        <v>23</v>
      </c>
      <c r="K157">
        <v>62.85</v>
      </c>
      <c r="L157">
        <v>18</v>
      </c>
    </row>
    <row r="158" spans="1:12">
      <c r="A158">
        <v>207</v>
      </c>
      <c r="B158" s="63" t="s">
        <v>259</v>
      </c>
      <c r="C158" s="63" t="s">
        <v>406</v>
      </c>
      <c r="D158" s="63" t="s">
        <v>59</v>
      </c>
      <c r="E158" s="63" t="s">
        <v>184</v>
      </c>
      <c r="F158" s="63" t="s">
        <v>761</v>
      </c>
      <c r="G158">
        <v>1</v>
      </c>
      <c r="H158">
        <v>60</v>
      </c>
      <c r="I158">
        <v>1146</v>
      </c>
      <c r="J158">
        <v>1146</v>
      </c>
      <c r="K158">
        <v>8.3800000000000008</v>
      </c>
      <c r="L158">
        <v>1</v>
      </c>
    </row>
    <row r="159" spans="1:12">
      <c r="A159">
        <v>207</v>
      </c>
      <c r="B159" s="63" t="s">
        <v>259</v>
      </c>
      <c r="C159" s="63" t="s">
        <v>406</v>
      </c>
      <c r="D159" s="63" t="s">
        <v>59</v>
      </c>
      <c r="E159" s="63" t="s">
        <v>184</v>
      </c>
      <c r="F159" s="63" t="s">
        <v>1253</v>
      </c>
      <c r="G159">
        <v>1</v>
      </c>
      <c r="H159">
        <v>60</v>
      </c>
      <c r="I159">
        <v>1151</v>
      </c>
      <c r="J159">
        <v>1151</v>
      </c>
      <c r="K159">
        <v>0.57999999999999996</v>
      </c>
      <c r="L159">
        <v>1</v>
      </c>
    </row>
    <row r="160" spans="1:12">
      <c r="A160">
        <v>207</v>
      </c>
      <c r="B160" s="63" t="s">
        <v>259</v>
      </c>
      <c r="C160" s="63" t="s">
        <v>406</v>
      </c>
      <c r="D160" s="63" t="s">
        <v>59</v>
      </c>
      <c r="E160" s="63" t="s">
        <v>184</v>
      </c>
      <c r="F160" s="63" t="s">
        <v>1802</v>
      </c>
      <c r="G160">
        <v>1</v>
      </c>
      <c r="H160">
        <v>60</v>
      </c>
      <c r="I160">
        <v>1157</v>
      </c>
      <c r="J160">
        <v>1157</v>
      </c>
      <c r="K160">
        <v>7.65</v>
      </c>
      <c r="L160">
        <v>1</v>
      </c>
    </row>
    <row r="161" spans="1:12">
      <c r="A161">
        <v>207</v>
      </c>
      <c r="B161" s="63" t="s">
        <v>260</v>
      </c>
      <c r="C161" s="63" t="s">
        <v>1043</v>
      </c>
      <c r="D161" s="63" t="s">
        <v>59</v>
      </c>
      <c r="E161" s="63" t="s">
        <v>174</v>
      </c>
      <c r="F161" s="63" t="s">
        <v>1530</v>
      </c>
      <c r="G161">
        <v>1</v>
      </c>
      <c r="H161">
        <v>60</v>
      </c>
      <c r="I161">
        <v>1047</v>
      </c>
      <c r="J161">
        <v>1047</v>
      </c>
      <c r="K161">
        <v>26.35</v>
      </c>
      <c r="L161">
        <v>4</v>
      </c>
    </row>
    <row r="162" spans="1:12">
      <c r="A162">
        <v>207</v>
      </c>
      <c r="B162" s="63" t="s">
        <v>260</v>
      </c>
      <c r="C162" s="63" t="s">
        <v>1043</v>
      </c>
      <c r="D162" s="63" t="s">
        <v>59</v>
      </c>
      <c r="E162" s="63" t="s">
        <v>175</v>
      </c>
      <c r="F162" s="63" t="s">
        <v>551</v>
      </c>
      <c r="G162">
        <v>1</v>
      </c>
      <c r="H162">
        <v>60</v>
      </c>
      <c r="I162">
        <v>1024</v>
      </c>
      <c r="J162">
        <v>1024</v>
      </c>
      <c r="K162">
        <v>26.97</v>
      </c>
      <c r="L162">
        <v>4</v>
      </c>
    </row>
    <row r="163" spans="1:12">
      <c r="A163">
        <v>207</v>
      </c>
      <c r="B163" s="63" t="s">
        <v>260</v>
      </c>
      <c r="C163" s="63" t="s">
        <v>1043</v>
      </c>
      <c r="D163" s="63" t="s">
        <v>59</v>
      </c>
      <c r="E163" s="63" t="s">
        <v>184</v>
      </c>
      <c r="F163" s="63" t="s">
        <v>665</v>
      </c>
      <c r="G163">
        <v>1</v>
      </c>
      <c r="H163">
        <v>9</v>
      </c>
      <c r="I163">
        <v>158</v>
      </c>
      <c r="J163">
        <v>158</v>
      </c>
      <c r="K163">
        <v>25.65</v>
      </c>
      <c r="L163">
        <v>3</v>
      </c>
    </row>
    <row r="164" spans="1:12">
      <c r="A164">
        <v>208</v>
      </c>
      <c r="B164" s="63" t="s">
        <v>259</v>
      </c>
      <c r="C164" s="63" t="s">
        <v>406</v>
      </c>
      <c r="D164" s="63" t="s">
        <v>59</v>
      </c>
      <c r="E164" s="63" t="s">
        <v>311</v>
      </c>
      <c r="F164" s="63" t="s">
        <v>2342</v>
      </c>
      <c r="G164">
        <v>1</v>
      </c>
      <c r="H164">
        <v>60</v>
      </c>
      <c r="I164">
        <v>1127</v>
      </c>
      <c r="J164">
        <v>1127</v>
      </c>
      <c r="K164">
        <v>12.63</v>
      </c>
      <c r="L164">
        <v>1</v>
      </c>
    </row>
    <row r="165" spans="1:12">
      <c r="A165">
        <v>208</v>
      </c>
      <c r="B165" s="63" t="s">
        <v>259</v>
      </c>
      <c r="C165" s="63" t="s">
        <v>406</v>
      </c>
      <c r="D165" s="63" t="s">
        <v>59</v>
      </c>
      <c r="E165" s="63" t="s">
        <v>311</v>
      </c>
      <c r="F165" s="63" t="s">
        <v>2343</v>
      </c>
      <c r="G165">
        <v>1</v>
      </c>
      <c r="H165">
        <v>60</v>
      </c>
      <c r="I165">
        <v>1168</v>
      </c>
      <c r="J165">
        <v>1168</v>
      </c>
      <c r="K165">
        <v>12.63</v>
      </c>
      <c r="L165">
        <v>1</v>
      </c>
    </row>
    <row r="166" spans="1:12">
      <c r="A166">
        <v>208</v>
      </c>
      <c r="B166" s="63" t="s">
        <v>259</v>
      </c>
      <c r="C166" s="63" t="s">
        <v>406</v>
      </c>
      <c r="D166" s="63" t="s">
        <v>59</v>
      </c>
      <c r="E166" s="63" t="s">
        <v>254</v>
      </c>
      <c r="F166" s="63" t="s">
        <v>2344</v>
      </c>
      <c r="G166">
        <v>1</v>
      </c>
      <c r="H166">
        <v>60</v>
      </c>
      <c r="I166">
        <v>1168</v>
      </c>
      <c r="J166">
        <v>1168</v>
      </c>
      <c r="K166">
        <v>2.67</v>
      </c>
      <c r="L166">
        <v>0</v>
      </c>
    </row>
    <row r="167" spans="1:12">
      <c r="A167">
        <v>208</v>
      </c>
      <c r="B167" s="63" t="s">
        <v>259</v>
      </c>
      <c r="C167" s="63" t="s">
        <v>406</v>
      </c>
      <c r="D167" s="63" t="s">
        <v>59</v>
      </c>
      <c r="E167" s="63" t="s">
        <v>459</v>
      </c>
      <c r="F167" s="63" t="s">
        <v>1576</v>
      </c>
      <c r="G167">
        <v>1</v>
      </c>
      <c r="H167">
        <v>60</v>
      </c>
      <c r="I167">
        <v>1166</v>
      </c>
      <c r="J167">
        <v>1166</v>
      </c>
      <c r="K167">
        <v>0.85</v>
      </c>
      <c r="L167">
        <v>0</v>
      </c>
    </row>
    <row r="168" spans="1:12">
      <c r="A168">
        <v>210</v>
      </c>
      <c r="B168" s="63" t="s">
        <v>361</v>
      </c>
      <c r="C168" s="63" t="s">
        <v>1614</v>
      </c>
      <c r="D168" s="63" t="s">
        <v>261</v>
      </c>
      <c r="E168" s="63" t="s">
        <v>272</v>
      </c>
      <c r="F168" s="63" t="s">
        <v>1615</v>
      </c>
      <c r="G168">
        <v>1</v>
      </c>
      <c r="H168">
        <v>20</v>
      </c>
      <c r="I168">
        <v>20</v>
      </c>
      <c r="J168">
        <v>20</v>
      </c>
      <c r="K168">
        <v>1086.02</v>
      </c>
      <c r="L168">
        <v>59</v>
      </c>
    </row>
    <row r="169" spans="1:12">
      <c r="A169">
        <v>210</v>
      </c>
      <c r="B169" s="63" t="s">
        <v>361</v>
      </c>
      <c r="C169" s="63" t="s">
        <v>1614</v>
      </c>
      <c r="D169" s="63" t="s">
        <v>261</v>
      </c>
      <c r="E169" s="63" t="s">
        <v>272</v>
      </c>
      <c r="F169" s="63" t="s">
        <v>1136</v>
      </c>
      <c r="G169">
        <v>1</v>
      </c>
      <c r="H169">
        <v>20</v>
      </c>
      <c r="I169">
        <v>20</v>
      </c>
      <c r="J169">
        <v>20</v>
      </c>
      <c r="K169">
        <v>1085.42</v>
      </c>
      <c r="L169">
        <v>59</v>
      </c>
    </row>
    <row r="170" spans="1:12">
      <c r="A170">
        <v>210</v>
      </c>
      <c r="B170" s="63" t="s">
        <v>361</v>
      </c>
      <c r="C170" s="63" t="s">
        <v>1614</v>
      </c>
      <c r="D170" s="63" t="s">
        <v>261</v>
      </c>
      <c r="E170" s="63" t="s">
        <v>1616</v>
      </c>
      <c r="F170" s="63" t="s">
        <v>1617</v>
      </c>
      <c r="G170">
        <v>1</v>
      </c>
      <c r="H170">
        <v>20</v>
      </c>
      <c r="I170">
        <v>20</v>
      </c>
      <c r="J170">
        <v>20</v>
      </c>
      <c r="K170">
        <v>985.28</v>
      </c>
      <c r="L170">
        <v>56</v>
      </c>
    </row>
    <row r="171" spans="1:12">
      <c r="A171">
        <v>210</v>
      </c>
      <c r="B171" s="63" t="s">
        <v>361</v>
      </c>
      <c r="C171" s="63" t="s">
        <v>1614</v>
      </c>
      <c r="D171" s="63" t="s">
        <v>261</v>
      </c>
      <c r="E171" s="63" t="s">
        <v>294</v>
      </c>
      <c r="F171" s="63" t="s">
        <v>1618</v>
      </c>
      <c r="G171">
        <v>1</v>
      </c>
      <c r="H171">
        <v>20</v>
      </c>
      <c r="I171">
        <v>20</v>
      </c>
      <c r="J171">
        <v>20</v>
      </c>
      <c r="K171">
        <v>1085.1300000000001</v>
      </c>
      <c r="L171">
        <v>53</v>
      </c>
    </row>
    <row r="172" spans="1:12">
      <c r="A172">
        <v>210</v>
      </c>
      <c r="B172" s="63" t="s">
        <v>361</v>
      </c>
      <c r="C172" s="63" t="s">
        <v>1614</v>
      </c>
      <c r="D172" s="63" t="s">
        <v>261</v>
      </c>
      <c r="E172" s="63" t="s">
        <v>277</v>
      </c>
      <c r="F172" s="63" t="s">
        <v>1619</v>
      </c>
      <c r="G172">
        <v>1</v>
      </c>
      <c r="H172">
        <v>20</v>
      </c>
      <c r="I172">
        <v>20</v>
      </c>
      <c r="J172">
        <v>20</v>
      </c>
      <c r="K172">
        <v>985.83</v>
      </c>
      <c r="L172">
        <v>53</v>
      </c>
    </row>
    <row r="173" spans="1:12">
      <c r="A173">
        <v>210</v>
      </c>
      <c r="B173" s="63" t="s">
        <v>361</v>
      </c>
      <c r="C173" s="63" t="s">
        <v>1614</v>
      </c>
      <c r="D173" s="63" t="s">
        <v>261</v>
      </c>
      <c r="E173" s="63" t="s">
        <v>277</v>
      </c>
      <c r="F173" s="63" t="s">
        <v>1620</v>
      </c>
      <c r="G173">
        <v>1</v>
      </c>
      <c r="H173">
        <v>20</v>
      </c>
      <c r="I173">
        <v>20</v>
      </c>
      <c r="J173">
        <v>20</v>
      </c>
      <c r="K173">
        <v>985.55</v>
      </c>
      <c r="L173">
        <v>57</v>
      </c>
    </row>
    <row r="174" spans="1:12">
      <c r="A174">
        <v>211</v>
      </c>
      <c r="B174" s="63" t="s">
        <v>313</v>
      </c>
      <c r="C174" s="63" t="s">
        <v>314</v>
      </c>
      <c r="D174" s="63" t="s">
        <v>261</v>
      </c>
      <c r="E174" s="63" t="s">
        <v>184</v>
      </c>
      <c r="F174" s="63" t="s">
        <v>1498</v>
      </c>
      <c r="G174">
        <v>1</v>
      </c>
      <c r="H174">
        <v>47</v>
      </c>
      <c r="I174">
        <v>47</v>
      </c>
      <c r="J174">
        <v>47</v>
      </c>
      <c r="K174">
        <v>66.13</v>
      </c>
      <c r="L174">
        <v>3</v>
      </c>
    </row>
    <row r="175" spans="1:12">
      <c r="A175">
        <v>211</v>
      </c>
      <c r="B175" s="63" t="s">
        <v>361</v>
      </c>
      <c r="C175" s="63" t="s">
        <v>1614</v>
      </c>
      <c r="D175" s="63" t="s">
        <v>261</v>
      </c>
      <c r="E175" s="63" t="s">
        <v>184</v>
      </c>
      <c r="F175" s="63" t="s">
        <v>2345</v>
      </c>
      <c r="G175">
        <v>1</v>
      </c>
      <c r="H175">
        <v>60</v>
      </c>
      <c r="I175">
        <v>60</v>
      </c>
      <c r="J175">
        <v>60</v>
      </c>
      <c r="K175">
        <v>130.58000000000001</v>
      </c>
      <c r="L175">
        <v>1</v>
      </c>
    </row>
    <row r="176" spans="1:12">
      <c r="A176">
        <v>211</v>
      </c>
      <c r="B176" s="63" t="s">
        <v>2346</v>
      </c>
      <c r="C176" s="63" t="s">
        <v>2347</v>
      </c>
      <c r="D176" s="63" t="s">
        <v>261</v>
      </c>
      <c r="E176" s="63" t="s">
        <v>172</v>
      </c>
      <c r="F176" s="63" t="s">
        <v>2348</v>
      </c>
      <c r="G176">
        <v>1</v>
      </c>
      <c r="H176">
        <v>60</v>
      </c>
      <c r="I176">
        <v>60</v>
      </c>
      <c r="J176">
        <v>60</v>
      </c>
      <c r="K176">
        <v>576.1</v>
      </c>
      <c r="L176">
        <v>23</v>
      </c>
    </row>
    <row r="177" spans="1:12">
      <c r="A177">
        <v>211</v>
      </c>
      <c r="B177" s="63" t="s">
        <v>2346</v>
      </c>
      <c r="C177" s="63" t="s">
        <v>2347</v>
      </c>
      <c r="D177" s="63" t="s">
        <v>261</v>
      </c>
      <c r="E177" s="63" t="s">
        <v>174</v>
      </c>
      <c r="F177" s="63" t="s">
        <v>2002</v>
      </c>
      <c r="G177">
        <v>1</v>
      </c>
      <c r="H177">
        <v>43</v>
      </c>
      <c r="I177">
        <v>43</v>
      </c>
      <c r="J177">
        <v>43</v>
      </c>
      <c r="K177">
        <v>631.77</v>
      </c>
      <c r="L177">
        <v>25</v>
      </c>
    </row>
    <row r="178" spans="1:12">
      <c r="A178">
        <v>211</v>
      </c>
      <c r="B178" s="63" t="s">
        <v>2346</v>
      </c>
      <c r="C178" s="63" t="s">
        <v>2347</v>
      </c>
      <c r="D178" s="63" t="s">
        <v>261</v>
      </c>
      <c r="E178" s="63" t="s">
        <v>175</v>
      </c>
      <c r="F178" s="63" t="s">
        <v>2079</v>
      </c>
      <c r="G178">
        <v>1</v>
      </c>
      <c r="H178">
        <v>60</v>
      </c>
      <c r="I178">
        <v>60</v>
      </c>
      <c r="J178">
        <v>60</v>
      </c>
      <c r="K178">
        <v>627.70000000000005</v>
      </c>
      <c r="L178">
        <v>25</v>
      </c>
    </row>
    <row r="179" spans="1:12">
      <c r="A179">
        <v>211</v>
      </c>
      <c r="B179" s="63" t="s">
        <v>2346</v>
      </c>
      <c r="C179" s="63" t="s">
        <v>2347</v>
      </c>
      <c r="D179" s="63" t="s">
        <v>261</v>
      </c>
      <c r="E179" s="63" t="s">
        <v>175</v>
      </c>
      <c r="F179" s="63" t="s">
        <v>1454</v>
      </c>
      <c r="G179">
        <v>1</v>
      </c>
      <c r="H179">
        <v>45</v>
      </c>
      <c r="I179">
        <v>45</v>
      </c>
      <c r="J179">
        <v>45</v>
      </c>
      <c r="K179">
        <v>586.85</v>
      </c>
      <c r="L179">
        <v>24</v>
      </c>
    </row>
    <row r="180" spans="1:12">
      <c r="A180">
        <v>211</v>
      </c>
      <c r="B180" s="63" t="s">
        <v>371</v>
      </c>
      <c r="C180" s="63" t="s">
        <v>896</v>
      </c>
      <c r="D180" s="63" t="s">
        <v>261</v>
      </c>
      <c r="E180" s="63" t="s">
        <v>184</v>
      </c>
      <c r="F180" s="63" t="s">
        <v>2349</v>
      </c>
      <c r="G180">
        <v>1</v>
      </c>
      <c r="H180">
        <v>40</v>
      </c>
      <c r="I180">
        <v>40</v>
      </c>
      <c r="J180">
        <v>40</v>
      </c>
      <c r="K180">
        <v>227.33</v>
      </c>
      <c r="L180">
        <v>37</v>
      </c>
    </row>
    <row r="181" spans="1:12">
      <c r="A181">
        <v>211</v>
      </c>
      <c r="B181" s="63" t="s">
        <v>335</v>
      </c>
      <c r="C181" s="63" t="s">
        <v>336</v>
      </c>
      <c r="D181" s="63" t="s">
        <v>261</v>
      </c>
      <c r="E181" s="63" t="s">
        <v>174</v>
      </c>
      <c r="F181" s="63" t="s">
        <v>1286</v>
      </c>
      <c r="G181">
        <v>1</v>
      </c>
      <c r="H181">
        <v>34</v>
      </c>
      <c r="I181">
        <v>34</v>
      </c>
      <c r="J181">
        <v>34</v>
      </c>
      <c r="K181">
        <v>607.48</v>
      </c>
      <c r="L181">
        <v>25</v>
      </c>
    </row>
    <row r="182" spans="1:12">
      <c r="A182">
        <v>211</v>
      </c>
      <c r="B182" s="63" t="s">
        <v>315</v>
      </c>
      <c r="C182" s="63" t="s">
        <v>316</v>
      </c>
      <c r="D182" s="63" t="s">
        <v>261</v>
      </c>
      <c r="E182" s="63" t="s">
        <v>173</v>
      </c>
      <c r="F182" s="63" t="s">
        <v>1030</v>
      </c>
      <c r="G182">
        <v>1</v>
      </c>
      <c r="H182">
        <v>60</v>
      </c>
      <c r="I182">
        <v>60</v>
      </c>
      <c r="J182">
        <v>60</v>
      </c>
      <c r="K182">
        <v>425.88</v>
      </c>
      <c r="L182">
        <v>17</v>
      </c>
    </row>
    <row r="183" spans="1:12">
      <c r="A183">
        <v>211</v>
      </c>
      <c r="B183" s="63" t="s">
        <v>315</v>
      </c>
      <c r="C183" s="63" t="s">
        <v>316</v>
      </c>
      <c r="D183" s="63" t="s">
        <v>261</v>
      </c>
      <c r="E183" s="63" t="s">
        <v>173</v>
      </c>
      <c r="F183" s="63" t="s">
        <v>629</v>
      </c>
      <c r="G183">
        <v>1</v>
      </c>
      <c r="H183">
        <v>60</v>
      </c>
      <c r="I183">
        <v>60</v>
      </c>
      <c r="J183">
        <v>60</v>
      </c>
      <c r="K183">
        <v>423.03</v>
      </c>
      <c r="L183">
        <v>16</v>
      </c>
    </row>
    <row r="184" spans="1:12">
      <c r="A184">
        <v>211</v>
      </c>
      <c r="B184" s="63" t="s">
        <v>315</v>
      </c>
      <c r="C184" s="63" t="s">
        <v>316</v>
      </c>
      <c r="D184" s="63" t="s">
        <v>261</v>
      </c>
      <c r="E184" s="63" t="s">
        <v>173</v>
      </c>
      <c r="F184" s="63" t="s">
        <v>760</v>
      </c>
      <c r="G184">
        <v>1</v>
      </c>
      <c r="H184">
        <v>60</v>
      </c>
      <c r="I184">
        <v>60</v>
      </c>
      <c r="J184">
        <v>60</v>
      </c>
      <c r="K184">
        <v>379.32</v>
      </c>
      <c r="L184">
        <v>15</v>
      </c>
    </row>
    <row r="185" spans="1:12">
      <c r="A185">
        <v>211</v>
      </c>
      <c r="B185" s="63" t="s">
        <v>315</v>
      </c>
      <c r="C185" s="63" t="s">
        <v>316</v>
      </c>
      <c r="D185" s="63" t="s">
        <v>261</v>
      </c>
      <c r="E185" s="63" t="s">
        <v>173</v>
      </c>
      <c r="F185" s="63" t="s">
        <v>1718</v>
      </c>
      <c r="G185">
        <v>1</v>
      </c>
      <c r="H185">
        <v>60</v>
      </c>
      <c r="I185">
        <v>60</v>
      </c>
      <c r="J185">
        <v>60</v>
      </c>
      <c r="K185">
        <v>1595.73</v>
      </c>
      <c r="L185">
        <v>66</v>
      </c>
    </row>
    <row r="186" spans="1:12">
      <c r="A186">
        <v>211</v>
      </c>
      <c r="B186" s="63" t="s">
        <v>315</v>
      </c>
      <c r="C186" s="63" t="s">
        <v>316</v>
      </c>
      <c r="D186" s="63" t="s">
        <v>261</v>
      </c>
      <c r="E186" s="63" t="s">
        <v>174</v>
      </c>
      <c r="F186" s="63" t="s">
        <v>2097</v>
      </c>
      <c r="G186">
        <v>1</v>
      </c>
      <c r="H186">
        <v>60</v>
      </c>
      <c r="I186">
        <v>60</v>
      </c>
      <c r="J186">
        <v>60</v>
      </c>
      <c r="K186">
        <v>326.77999999999997</v>
      </c>
      <c r="L186">
        <v>13</v>
      </c>
    </row>
    <row r="187" spans="1:12">
      <c r="A187">
        <v>211</v>
      </c>
      <c r="B187" s="63" t="s">
        <v>315</v>
      </c>
      <c r="C187" s="63" t="s">
        <v>316</v>
      </c>
      <c r="D187" s="63" t="s">
        <v>261</v>
      </c>
      <c r="E187" s="63" t="s">
        <v>175</v>
      </c>
      <c r="F187" s="63" t="s">
        <v>1542</v>
      </c>
      <c r="G187">
        <v>1</v>
      </c>
      <c r="H187">
        <v>33</v>
      </c>
      <c r="I187">
        <v>33</v>
      </c>
      <c r="J187">
        <v>33</v>
      </c>
      <c r="K187">
        <v>136.47</v>
      </c>
      <c r="L187">
        <v>5</v>
      </c>
    </row>
    <row r="188" spans="1:12">
      <c r="A188">
        <v>211</v>
      </c>
      <c r="B188" s="63" t="s">
        <v>315</v>
      </c>
      <c r="C188" s="63" t="s">
        <v>316</v>
      </c>
      <c r="D188" s="63" t="s">
        <v>261</v>
      </c>
      <c r="E188" s="63" t="s">
        <v>184</v>
      </c>
      <c r="F188" s="63" t="s">
        <v>2022</v>
      </c>
      <c r="G188">
        <v>1</v>
      </c>
      <c r="H188">
        <v>34</v>
      </c>
      <c r="I188">
        <v>34</v>
      </c>
      <c r="J188">
        <v>34</v>
      </c>
      <c r="K188">
        <v>285.92</v>
      </c>
      <c r="L188">
        <v>11</v>
      </c>
    </row>
    <row r="189" spans="1:12">
      <c r="A189">
        <v>211</v>
      </c>
      <c r="B189" s="63" t="s">
        <v>400</v>
      </c>
      <c r="C189" s="63" t="s">
        <v>401</v>
      </c>
      <c r="D189" s="63" t="s">
        <v>59</v>
      </c>
      <c r="E189" s="63" t="s">
        <v>184</v>
      </c>
      <c r="F189" s="63" t="s">
        <v>1350</v>
      </c>
      <c r="G189">
        <v>1</v>
      </c>
      <c r="H189">
        <v>6</v>
      </c>
      <c r="I189">
        <v>106</v>
      </c>
      <c r="J189">
        <v>106</v>
      </c>
      <c r="K189">
        <v>97.32</v>
      </c>
      <c r="L189">
        <v>86</v>
      </c>
    </row>
    <row r="190" spans="1:12">
      <c r="A190">
        <v>221</v>
      </c>
      <c r="B190" s="63" t="s">
        <v>989</v>
      </c>
      <c r="C190" s="63" t="s">
        <v>1069</v>
      </c>
      <c r="D190" s="63" t="s">
        <v>261</v>
      </c>
      <c r="E190" s="63" t="s">
        <v>184</v>
      </c>
      <c r="F190" s="63" t="s">
        <v>1328</v>
      </c>
      <c r="G190">
        <v>1</v>
      </c>
      <c r="H190">
        <v>56</v>
      </c>
      <c r="I190">
        <v>56</v>
      </c>
      <c r="J190">
        <v>56</v>
      </c>
      <c r="K190">
        <v>427.75</v>
      </c>
      <c r="L190">
        <v>17</v>
      </c>
    </row>
    <row r="191" spans="1:12">
      <c r="A191">
        <v>221</v>
      </c>
      <c r="B191" s="63" t="s">
        <v>937</v>
      </c>
      <c r="C191" s="63" t="s">
        <v>938</v>
      </c>
      <c r="D191" s="63" t="s">
        <v>261</v>
      </c>
      <c r="E191" s="63" t="s">
        <v>175</v>
      </c>
      <c r="F191" s="63" t="s">
        <v>1431</v>
      </c>
      <c r="G191">
        <v>1</v>
      </c>
      <c r="H191">
        <v>55</v>
      </c>
      <c r="I191">
        <v>55</v>
      </c>
      <c r="J191">
        <v>55</v>
      </c>
      <c r="K191">
        <v>353.03</v>
      </c>
      <c r="L191">
        <v>13</v>
      </c>
    </row>
    <row r="192" spans="1:12">
      <c r="A192">
        <v>221</v>
      </c>
      <c r="B192" s="63" t="s">
        <v>937</v>
      </c>
      <c r="C192" s="63" t="s">
        <v>938</v>
      </c>
      <c r="D192" s="63" t="s">
        <v>261</v>
      </c>
      <c r="E192" s="63" t="s">
        <v>184</v>
      </c>
      <c r="F192" s="63" t="s">
        <v>1714</v>
      </c>
      <c r="G192">
        <v>1</v>
      </c>
      <c r="H192">
        <v>47</v>
      </c>
      <c r="I192">
        <v>47</v>
      </c>
      <c r="J192">
        <v>47</v>
      </c>
      <c r="K192">
        <v>647.57000000000005</v>
      </c>
      <c r="L192">
        <v>10</v>
      </c>
    </row>
    <row r="193" spans="1:12">
      <c r="A193">
        <v>221</v>
      </c>
      <c r="B193" s="63" t="s">
        <v>555</v>
      </c>
      <c r="C193" s="63" t="s">
        <v>762</v>
      </c>
      <c r="D193" s="63" t="s">
        <v>261</v>
      </c>
      <c r="E193" s="63" t="s">
        <v>175</v>
      </c>
      <c r="F193" s="63" t="s">
        <v>1243</v>
      </c>
      <c r="G193">
        <v>1</v>
      </c>
      <c r="H193">
        <v>5</v>
      </c>
      <c r="I193">
        <v>5</v>
      </c>
      <c r="J193">
        <v>5</v>
      </c>
      <c r="K193">
        <v>1075.68</v>
      </c>
      <c r="L193">
        <v>9</v>
      </c>
    </row>
    <row r="194" spans="1:12">
      <c r="A194">
        <v>221</v>
      </c>
      <c r="B194" s="63" t="s">
        <v>976</v>
      </c>
      <c r="C194" s="63" t="s">
        <v>977</v>
      </c>
      <c r="D194" s="63" t="s">
        <v>261</v>
      </c>
      <c r="E194" s="63" t="s">
        <v>175</v>
      </c>
      <c r="F194" s="63" t="s">
        <v>1245</v>
      </c>
      <c r="G194">
        <v>1</v>
      </c>
      <c r="H194">
        <v>25</v>
      </c>
      <c r="I194">
        <v>25</v>
      </c>
      <c r="J194">
        <v>25</v>
      </c>
      <c r="K194">
        <v>382.48</v>
      </c>
      <c r="L194">
        <v>15</v>
      </c>
    </row>
    <row r="195" spans="1:12">
      <c r="A195">
        <v>221</v>
      </c>
      <c r="B195" s="63" t="s">
        <v>976</v>
      </c>
      <c r="C195" s="63" t="s">
        <v>977</v>
      </c>
      <c r="D195" s="63" t="s">
        <v>261</v>
      </c>
      <c r="E195" s="63" t="s">
        <v>184</v>
      </c>
      <c r="F195" s="63" t="s">
        <v>981</v>
      </c>
      <c r="G195">
        <v>1</v>
      </c>
      <c r="H195">
        <v>44</v>
      </c>
      <c r="I195">
        <v>44</v>
      </c>
      <c r="J195">
        <v>44</v>
      </c>
      <c r="K195">
        <v>466.98</v>
      </c>
      <c r="L195">
        <v>19</v>
      </c>
    </row>
    <row r="196" spans="1:12">
      <c r="A196">
        <v>221</v>
      </c>
      <c r="B196" s="63" t="s">
        <v>328</v>
      </c>
      <c r="C196" s="63" t="s">
        <v>2350</v>
      </c>
      <c r="D196" s="63" t="s">
        <v>261</v>
      </c>
      <c r="E196" s="63" t="s">
        <v>272</v>
      </c>
      <c r="F196" s="63" t="s">
        <v>2351</v>
      </c>
      <c r="G196">
        <v>1</v>
      </c>
      <c r="H196">
        <v>20</v>
      </c>
      <c r="I196">
        <v>20</v>
      </c>
      <c r="J196">
        <v>20</v>
      </c>
      <c r="K196">
        <v>550.47</v>
      </c>
      <c r="L196">
        <v>237</v>
      </c>
    </row>
    <row r="197" spans="1:12">
      <c r="A197">
        <v>221</v>
      </c>
      <c r="B197" s="63" t="s">
        <v>328</v>
      </c>
      <c r="C197" s="63" t="s">
        <v>2350</v>
      </c>
      <c r="D197" s="63" t="s">
        <v>261</v>
      </c>
      <c r="E197" s="63" t="s">
        <v>272</v>
      </c>
      <c r="F197" s="63" t="s">
        <v>2352</v>
      </c>
      <c r="G197">
        <v>1</v>
      </c>
      <c r="H197">
        <v>20</v>
      </c>
      <c r="I197">
        <v>20</v>
      </c>
      <c r="J197">
        <v>20</v>
      </c>
      <c r="K197">
        <v>550.66999999999996</v>
      </c>
      <c r="L197">
        <v>237</v>
      </c>
    </row>
    <row r="198" spans="1:12">
      <c r="A198">
        <v>221</v>
      </c>
      <c r="B198" s="63" t="s">
        <v>328</v>
      </c>
      <c r="C198" s="63" t="s">
        <v>2350</v>
      </c>
      <c r="D198" s="63" t="s">
        <v>261</v>
      </c>
      <c r="E198" s="63" t="s">
        <v>272</v>
      </c>
      <c r="F198" s="63" t="s">
        <v>2353</v>
      </c>
      <c r="G198">
        <v>1</v>
      </c>
      <c r="H198">
        <v>20</v>
      </c>
      <c r="I198">
        <v>20</v>
      </c>
      <c r="J198">
        <v>20</v>
      </c>
      <c r="K198">
        <v>550.04999999999995</v>
      </c>
      <c r="L198">
        <v>237</v>
      </c>
    </row>
    <row r="199" spans="1:12">
      <c r="A199">
        <v>221</v>
      </c>
      <c r="B199" s="63" t="s">
        <v>328</v>
      </c>
      <c r="C199" s="63" t="s">
        <v>2350</v>
      </c>
      <c r="D199" s="63" t="s">
        <v>261</v>
      </c>
      <c r="E199" s="63" t="s">
        <v>272</v>
      </c>
      <c r="F199" s="63" t="s">
        <v>2354</v>
      </c>
      <c r="G199">
        <v>1</v>
      </c>
      <c r="H199">
        <v>20</v>
      </c>
      <c r="I199">
        <v>20</v>
      </c>
      <c r="J199">
        <v>20</v>
      </c>
      <c r="K199">
        <v>673.22</v>
      </c>
      <c r="L199">
        <v>237</v>
      </c>
    </row>
    <row r="200" spans="1:12">
      <c r="A200">
        <v>221</v>
      </c>
      <c r="B200" s="63" t="s">
        <v>328</v>
      </c>
      <c r="C200" s="63" t="s">
        <v>2350</v>
      </c>
      <c r="D200" s="63" t="s">
        <v>261</v>
      </c>
      <c r="E200" s="63" t="s">
        <v>272</v>
      </c>
      <c r="F200" s="63" t="s">
        <v>2355</v>
      </c>
      <c r="G200">
        <v>1</v>
      </c>
      <c r="H200">
        <v>20</v>
      </c>
      <c r="I200">
        <v>20</v>
      </c>
      <c r="J200">
        <v>20</v>
      </c>
      <c r="K200">
        <v>549.62</v>
      </c>
      <c r="L200">
        <v>237</v>
      </c>
    </row>
    <row r="201" spans="1:12">
      <c r="A201">
        <v>221</v>
      </c>
      <c r="B201" s="63" t="s">
        <v>328</v>
      </c>
      <c r="C201" s="63" t="s">
        <v>2350</v>
      </c>
      <c r="D201" s="63" t="s">
        <v>261</v>
      </c>
      <c r="E201" s="63" t="s">
        <v>272</v>
      </c>
      <c r="F201" s="63" t="s">
        <v>2356</v>
      </c>
      <c r="G201">
        <v>1</v>
      </c>
      <c r="H201">
        <v>20</v>
      </c>
      <c r="I201">
        <v>20</v>
      </c>
      <c r="J201">
        <v>20</v>
      </c>
      <c r="K201">
        <v>672.67</v>
      </c>
      <c r="L201">
        <v>237</v>
      </c>
    </row>
    <row r="202" spans="1:12">
      <c r="A202">
        <v>221</v>
      </c>
      <c r="B202" s="63" t="s">
        <v>328</v>
      </c>
      <c r="C202" s="63" t="s">
        <v>2350</v>
      </c>
      <c r="D202" s="63" t="s">
        <v>261</v>
      </c>
      <c r="E202" s="63" t="s">
        <v>2357</v>
      </c>
      <c r="F202" s="63" t="s">
        <v>2358</v>
      </c>
      <c r="G202">
        <v>1</v>
      </c>
      <c r="H202">
        <v>20</v>
      </c>
      <c r="I202">
        <v>20</v>
      </c>
      <c r="J202">
        <v>20</v>
      </c>
      <c r="K202">
        <v>550.25</v>
      </c>
      <c r="L202">
        <v>237</v>
      </c>
    </row>
    <row r="203" spans="1:12">
      <c r="A203">
        <v>221</v>
      </c>
      <c r="B203" s="63" t="s">
        <v>361</v>
      </c>
      <c r="C203" s="63" t="s">
        <v>1317</v>
      </c>
      <c r="D203" s="63" t="s">
        <v>261</v>
      </c>
      <c r="E203" s="63" t="s">
        <v>174</v>
      </c>
      <c r="F203" s="63" t="s">
        <v>970</v>
      </c>
      <c r="G203">
        <v>1</v>
      </c>
      <c r="H203">
        <v>5</v>
      </c>
      <c r="I203">
        <v>5</v>
      </c>
      <c r="J203">
        <v>5</v>
      </c>
      <c r="K203">
        <v>26.58</v>
      </c>
      <c r="L203">
        <v>1</v>
      </c>
    </row>
    <row r="204" spans="1:12">
      <c r="A204">
        <v>221</v>
      </c>
      <c r="B204" s="63" t="s">
        <v>361</v>
      </c>
      <c r="C204" s="63" t="s">
        <v>1317</v>
      </c>
      <c r="D204" s="63" t="s">
        <v>261</v>
      </c>
      <c r="E204" s="63" t="s">
        <v>184</v>
      </c>
      <c r="F204" s="63" t="s">
        <v>2028</v>
      </c>
      <c r="G204">
        <v>1</v>
      </c>
      <c r="H204">
        <v>59</v>
      </c>
      <c r="I204">
        <v>59</v>
      </c>
      <c r="J204">
        <v>59</v>
      </c>
      <c r="K204">
        <v>480.73</v>
      </c>
      <c r="L204">
        <v>24</v>
      </c>
    </row>
    <row r="205" spans="1:12">
      <c r="A205">
        <v>221</v>
      </c>
      <c r="B205" s="63" t="s">
        <v>317</v>
      </c>
      <c r="C205" s="63" t="s">
        <v>919</v>
      </c>
      <c r="D205" s="63" t="s">
        <v>261</v>
      </c>
      <c r="E205" s="63" t="s">
        <v>184</v>
      </c>
      <c r="F205" s="63" t="s">
        <v>1327</v>
      </c>
      <c r="G205">
        <v>1</v>
      </c>
      <c r="H205">
        <v>36</v>
      </c>
      <c r="I205">
        <v>36</v>
      </c>
      <c r="J205">
        <v>36</v>
      </c>
      <c r="K205">
        <v>70.13</v>
      </c>
      <c r="L205">
        <v>2</v>
      </c>
    </row>
    <row r="206" spans="1:12">
      <c r="A206">
        <v>221</v>
      </c>
      <c r="B206" s="63" t="s">
        <v>978</v>
      </c>
      <c r="C206" s="63" t="s">
        <v>979</v>
      </c>
      <c r="D206" s="63" t="s">
        <v>261</v>
      </c>
      <c r="E206" s="63" t="s">
        <v>184</v>
      </c>
      <c r="F206" s="63" t="s">
        <v>1997</v>
      </c>
      <c r="G206">
        <v>1</v>
      </c>
      <c r="H206">
        <v>48</v>
      </c>
      <c r="I206">
        <v>48</v>
      </c>
      <c r="J206">
        <v>48</v>
      </c>
      <c r="K206">
        <v>403.9</v>
      </c>
      <c r="L206">
        <v>13</v>
      </c>
    </row>
    <row r="207" spans="1:12">
      <c r="A207">
        <v>221</v>
      </c>
      <c r="B207" s="63" t="s">
        <v>808</v>
      </c>
      <c r="C207" s="63" t="s">
        <v>809</v>
      </c>
      <c r="D207" s="63" t="s">
        <v>261</v>
      </c>
      <c r="E207" s="63" t="s">
        <v>172</v>
      </c>
      <c r="F207" s="63" t="s">
        <v>1159</v>
      </c>
      <c r="G207">
        <v>1</v>
      </c>
      <c r="H207">
        <v>58</v>
      </c>
      <c r="I207">
        <v>58</v>
      </c>
      <c r="J207">
        <v>58</v>
      </c>
      <c r="K207">
        <v>683.1</v>
      </c>
      <c r="L207">
        <v>30</v>
      </c>
    </row>
    <row r="208" spans="1:12">
      <c r="A208">
        <v>221</v>
      </c>
      <c r="B208" s="63" t="s">
        <v>273</v>
      </c>
      <c r="C208" s="63" t="s">
        <v>1582</v>
      </c>
      <c r="D208" s="63" t="s">
        <v>261</v>
      </c>
      <c r="E208" s="63" t="s">
        <v>185</v>
      </c>
      <c r="F208" s="63" t="s">
        <v>1229</v>
      </c>
      <c r="G208">
        <v>1</v>
      </c>
      <c r="H208">
        <v>60</v>
      </c>
      <c r="I208">
        <v>60</v>
      </c>
      <c r="J208">
        <v>60</v>
      </c>
      <c r="K208">
        <v>37.869999999999997</v>
      </c>
      <c r="L208">
        <v>3</v>
      </c>
    </row>
    <row r="209" spans="1:12">
      <c r="A209">
        <v>221</v>
      </c>
      <c r="B209" s="63" t="s">
        <v>273</v>
      </c>
      <c r="C209" s="63" t="s">
        <v>1582</v>
      </c>
      <c r="D209" s="63" t="s">
        <v>261</v>
      </c>
      <c r="E209" s="63" t="s">
        <v>184</v>
      </c>
      <c r="F209" s="63" t="s">
        <v>1798</v>
      </c>
      <c r="G209">
        <v>1</v>
      </c>
      <c r="H209">
        <v>60</v>
      </c>
      <c r="I209">
        <v>60</v>
      </c>
      <c r="J209">
        <v>60</v>
      </c>
      <c r="K209">
        <v>111.67</v>
      </c>
      <c r="L209">
        <v>8</v>
      </c>
    </row>
    <row r="210" spans="1:12">
      <c r="A210">
        <v>221</v>
      </c>
      <c r="B210" s="63" t="s">
        <v>273</v>
      </c>
      <c r="C210" s="63" t="s">
        <v>1582</v>
      </c>
      <c r="D210" s="63" t="s">
        <v>261</v>
      </c>
      <c r="E210" s="63" t="s">
        <v>184</v>
      </c>
      <c r="F210" s="63" t="s">
        <v>1206</v>
      </c>
      <c r="G210">
        <v>1</v>
      </c>
      <c r="H210">
        <v>60</v>
      </c>
      <c r="I210">
        <v>60</v>
      </c>
      <c r="J210">
        <v>60</v>
      </c>
      <c r="K210">
        <v>176.8</v>
      </c>
      <c r="L210">
        <v>6</v>
      </c>
    </row>
    <row r="211" spans="1:12">
      <c r="A211">
        <v>221</v>
      </c>
      <c r="B211" s="63" t="s">
        <v>273</v>
      </c>
      <c r="C211" s="63" t="s">
        <v>1582</v>
      </c>
      <c r="D211" s="63" t="s">
        <v>261</v>
      </c>
      <c r="E211" s="63" t="s">
        <v>184</v>
      </c>
      <c r="F211" s="63" t="s">
        <v>1184</v>
      </c>
      <c r="G211">
        <v>1</v>
      </c>
      <c r="H211">
        <v>60</v>
      </c>
      <c r="I211">
        <v>60</v>
      </c>
      <c r="J211">
        <v>60</v>
      </c>
      <c r="K211">
        <v>127.27</v>
      </c>
      <c r="L211">
        <v>5</v>
      </c>
    </row>
    <row r="212" spans="1:12">
      <c r="A212">
        <v>221</v>
      </c>
      <c r="B212" s="63" t="s">
        <v>273</v>
      </c>
      <c r="C212" s="63" t="s">
        <v>1582</v>
      </c>
      <c r="D212" s="63" t="s">
        <v>261</v>
      </c>
      <c r="E212" s="63" t="s">
        <v>184</v>
      </c>
      <c r="F212" s="63" t="s">
        <v>2021</v>
      </c>
      <c r="G212">
        <v>1</v>
      </c>
      <c r="H212">
        <v>46</v>
      </c>
      <c r="I212">
        <v>46</v>
      </c>
      <c r="J212">
        <v>46</v>
      </c>
      <c r="K212">
        <v>49.92</v>
      </c>
      <c r="L212">
        <v>1</v>
      </c>
    </row>
    <row r="213" spans="1:12">
      <c r="A213">
        <v>221</v>
      </c>
      <c r="B213" s="63" t="s">
        <v>273</v>
      </c>
      <c r="C213" s="63" t="s">
        <v>1582</v>
      </c>
      <c r="D213" s="63" t="s">
        <v>261</v>
      </c>
      <c r="E213" s="63" t="s">
        <v>184</v>
      </c>
      <c r="F213" s="63" t="s">
        <v>1447</v>
      </c>
      <c r="G213">
        <v>1</v>
      </c>
      <c r="H213">
        <v>60</v>
      </c>
      <c r="I213">
        <v>60</v>
      </c>
      <c r="J213">
        <v>60</v>
      </c>
      <c r="K213">
        <v>295.17</v>
      </c>
      <c r="L213">
        <v>10</v>
      </c>
    </row>
    <row r="214" spans="1:12">
      <c r="A214">
        <v>221</v>
      </c>
      <c r="B214" s="63" t="s">
        <v>2359</v>
      </c>
      <c r="C214" s="63" t="s">
        <v>2360</v>
      </c>
      <c r="D214" s="63" t="s">
        <v>261</v>
      </c>
      <c r="E214" s="63" t="s">
        <v>1022</v>
      </c>
      <c r="F214" s="63" t="s">
        <v>1642</v>
      </c>
      <c r="G214">
        <v>1</v>
      </c>
      <c r="H214">
        <v>20</v>
      </c>
      <c r="I214">
        <v>20</v>
      </c>
      <c r="J214">
        <v>20</v>
      </c>
      <c r="K214">
        <v>329.37</v>
      </c>
      <c r="L214">
        <v>353</v>
      </c>
    </row>
    <row r="215" spans="1:12">
      <c r="A215">
        <v>221</v>
      </c>
      <c r="B215" s="63" t="s">
        <v>330</v>
      </c>
      <c r="C215" s="63" t="s">
        <v>1076</v>
      </c>
      <c r="D215" s="63" t="s">
        <v>261</v>
      </c>
      <c r="E215" s="63" t="s">
        <v>203</v>
      </c>
      <c r="F215" s="63" t="s">
        <v>1813</v>
      </c>
      <c r="G215">
        <v>1</v>
      </c>
      <c r="H215">
        <v>59</v>
      </c>
      <c r="I215">
        <v>59</v>
      </c>
      <c r="J215">
        <v>59</v>
      </c>
      <c r="K215">
        <v>224.1</v>
      </c>
      <c r="L215">
        <v>5</v>
      </c>
    </row>
    <row r="216" spans="1:12">
      <c r="A216">
        <v>221</v>
      </c>
      <c r="B216" s="63" t="s">
        <v>330</v>
      </c>
      <c r="C216" s="63" t="s">
        <v>1076</v>
      </c>
      <c r="D216" s="63" t="s">
        <v>261</v>
      </c>
      <c r="E216" s="63" t="s">
        <v>203</v>
      </c>
      <c r="F216" s="63" t="s">
        <v>1460</v>
      </c>
      <c r="G216">
        <v>1</v>
      </c>
      <c r="H216">
        <v>60</v>
      </c>
      <c r="I216">
        <v>60</v>
      </c>
      <c r="J216">
        <v>60</v>
      </c>
      <c r="K216">
        <v>430.98</v>
      </c>
      <c r="L216">
        <v>17</v>
      </c>
    </row>
    <row r="217" spans="1:12">
      <c r="A217">
        <v>221</v>
      </c>
      <c r="B217" s="63" t="s">
        <v>330</v>
      </c>
      <c r="C217" s="63" t="s">
        <v>1076</v>
      </c>
      <c r="D217" s="63" t="s">
        <v>261</v>
      </c>
      <c r="E217" s="63" t="s">
        <v>173</v>
      </c>
      <c r="F217" s="63" t="s">
        <v>1800</v>
      </c>
      <c r="G217">
        <v>1</v>
      </c>
      <c r="H217">
        <v>60</v>
      </c>
      <c r="I217">
        <v>60</v>
      </c>
      <c r="J217">
        <v>60</v>
      </c>
      <c r="K217">
        <v>163.25</v>
      </c>
      <c r="L217">
        <v>6</v>
      </c>
    </row>
    <row r="218" spans="1:12">
      <c r="A218">
        <v>221</v>
      </c>
      <c r="B218" s="63" t="s">
        <v>330</v>
      </c>
      <c r="C218" s="63" t="s">
        <v>1076</v>
      </c>
      <c r="D218" s="63" t="s">
        <v>261</v>
      </c>
      <c r="E218" s="63" t="s">
        <v>175</v>
      </c>
      <c r="F218" s="63" t="s">
        <v>1003</v>
      </c>
      <c r="G218">
        <v>1</v>
      </c>
      <c r="H218">
        <v>60</v>
      </c>
      <c r="I218">
        <v>60</v>
      </c>
      <c r="J218">
        <v>60</v>
      </c>
      <c r="K218">
        <v>110.18</v>
      </c>
      <c r="L218">
        <v>3</v>
      </c>
    </row>
    <row r="219" spans="1:12">
      <c r="A219">
        <v>221</v>
      </c>
      <c r="B219" s="63" t="s">
        <v>330</v>
      </c>
      <c r="C219" s="63" t="s">
        <v>1076</v>
      </c>
      <c r="D219" s="63" t="s">
        <v>261</v>
      </c>
      <c r="E219" s="63" t="s">
        <v>175</v>
      </c>
      <c r="F219" s="63" t="s">
        <v>2101</v>
      </c>
      <c r="G219">
        <v>1</v>
      </c>
      <c r="H219">
        <v>60</v>
      </c>
      <c r="I219">
        <v>60</v>
      </c>
      <c r="J219">
        <v>60</v>
      </c>
      <c r="K219">
        <v>177.4</v>
      </c>
      <c r="L219">
        <v>5</v>
      </c>
    </row>
    <row r="220" spans="1:12">
      <c r="A220">
        <v>221</v>
      </c>
      <c r="B220" s="63" t="s">
        <v>330</v>
      </c>
      <c r="C220" s="63" t="s">
        <v>1076</v>
      </c>
      <c r="D220" s="63" t="s">
        <v>261</v>
      </c>
      <c r="E220" s="63" t="s">
        <v>184</v>
      </c>
      <c r="F220" s="63" t="s">
        <v>1435</v>
      </c>
      <c r="G220">
        <v>1</v>
      </c>
      <c r="H220">
        <v>59</v>
      </c>
      <c r="I220">
        <v>59</v>
      </c>
      <c r="J220">
        <v>59</v>
      </c>
      <c r="K220">
        <v>187.42</v>
      </c>
      <c r="L220">
        <v>6</v>
      </c>
    </row>
    <row r="221" spans="1:12">
      <c r="A221">
        <v>221</v>
      </c>
      <c r="B221" s="63" t="s">
        <v>330</v>
      </c>
      <c r="C221" s="63" t="s">
        <v>1076</v>
      </c>
      <c r="D221" s="63" t="s">
        <v>261</v>
      </c>
      <c r="E221" s="63" t="s">
        <v>184</v>
      </c>
      <c r="F221" s="63" t="s">
        <v>1228</v>
      </c>
      <c r="G221">
        <v>1</v>
      </c>
      <c r="H221">
        <v>24</v>
      </c>
      <c r="I221">
        <v>24</v>
      </c>
      <c r="J221">
        <v>24</v>
      </c>
      <c r="K221">
        <v>168.48</v>
      </c>
      <c r="L221">
        <v>6</v>
      </c>
    </row>
    <row r="222" spans="1:12">
      <c r="A222">
        <v>221</v>
      </c>
      <c r="B222" s="63" t="s">
        <v>2361</v>
      </c>
      <c r="C222" s="63" t="s">
        <v>2362</v>
      </c>
      <c r="D222" s="63" t="s">
        <v>261</v>
      </c>
      <c r="E222" s="63" t="s">
        <v>172</v>
      </c>
      <c r="F222" s="63" t="s">
        <v>2087</v>
      </c>
      <c r="G222">
        <v>1</v>
      </c>
      <c r="H222">
        <v>47</v>
      </c>
      <c r="I222">
        <v>47</v>
      </c>
      <c r="J222">
        <v>47</v>
      </c>
      <c r="K222">
        <v>719.83</v>
      </c>
      <c r="L222">
        <v>29</v>
      </c>
    </row>
    <row r="223" spans="1:12">
      <c r="A223">
        <v>221</v>
      </c>
      <c r="B223" s="63" t="s">
        <v>2363</v>
      </c>
      <c r="C223" s="63" t="s">
        <v>2364</v>
      </c>
      <c r="D223" s="63" t="s">
        <v>261</v>
      </c>
      <c r="E223" s="63" t="s">
        <v>174</v>
      </c>
      <c r="F223" s="63" t="s">
        <v>1437</v>
      </c>
      <c r="G223">
        <v>1</v>
      </c>
      <c r="H223">
        <v>4</v>
      </c>
      <c r="I223">
        <v>4</v>
      </c>
      <c r="J223">
        <v>4</v>
      </c>
      <c r="K223">
        <v>26.48</v>
      </c>
      <c r="L223">
        <v>1</v>
      </c>
    </row>
    <row r="224" spans="1:12">
      <c r="A224">
        <v>221</v>
      </c>
      <c r="B224" s="63" t="s">
        <v>274</v>
      </c>
      <c r="C224" s="63" t="s">
        <v>275</v>
      </c>
      <c r="D224" s="63" t="s">
        <v>261</v>
      </c>
      <c r="F224" s="63" t="s">
        <v>2365</v>
      </c>
      <c r="G224">
        <v>1</v>
      </c>
      <c r="H224">
        <v>20</v>
      </c>
      <c r="I224">
        <v>20</v>
      </c>
      <c r="J224">
        <v>20</v>
      </c>
      <c r="K224">
        <v>696.97</v>
      </c>
      <c r="L224">
        <v>217</v>
      </c>
    </row>
    <row r="225" spans="1:12">
      <c r="A225">
        <v>221</v>
      </c>
      <c r="B225" s="63" t="s">
        <v>274</v>
      </c>
      <c r="C225" s="63" t="s">
        <v>275</v>
      </c>
      <c r="D225" s="63" t="s">
        <v>261</v>
      </c>
      <c r="E225" s="63" t="s">
        <v>302</v>
      </c>
      <c r="F225" s="63" t="s">
        <v>2366</v>
      </c>
      <c r="G225">
        <v>1</v>
      </c>
      <c r="H225">
        <v>2</v>
      </c>
      <c r="I225">
        <v>2</v>
      </c>
      <c r="J225">
        <v>2</v>
      </c>
      <c r="K225">
        <v>693.85</v>
      </c>
      <c r="L225">
        <v>217</v>
      </c>
    </row>
    <row r="226" spans="1:12">
      <c r="A226">
        <v>221</v>
      </c>
      <c r="B226" s="63" t="s">
        <v>274</v>
      </c>
      <c r="C226" s="63" t="s">
        <v>275</v>
      </c>
      <c r="D226" s="63" t="s">
        <v>261</v>
      </c>
      <c r="E226" s="63" t="s">
        <v>272</v>
      </c>
      <c r="F226" s="63" t="s">
        <v>2367</v>
      </c>
      <c r="G226">
        <v>1</v>
      </c>
      <c r="H226">
        <v>20</v>
      </c>
      <c r="I226">
        <v>20</v>
      </c>
      <c r="J226">
        <v>20</v>
      </c>
      <c r="K226">
        <v>414.25</v>
      </c>
      <c r="L226">
        <v>297</v>
      </c>
    </row>
    <row r="227" spans="1:12">
      <c r="A227">
        <v>221</v>
      </c>
      <c r="B227" s="63" t="s">
        <v>274</v>
      </c>
      <c r="C227" s="63" t="s">
        <v>275</v>
      </c>
      <c r="D227" s="63" t="s">
        <v>261</v>
      </c>
      <c r="E227" s="63" t="s">
        <v>272</v>
      </c>
      <c r="F227" s="63" t="s">
        <v>1588</v>
      </c>
      <c r="G227">
        <v>1</v>
      </c>
      <c r="H227">
        <v>20</v>
      </c>
      <c r="I227">
        <v>20</v>
      </c>
      <c r="J227">
        <v>20</v>
      </c>
      <c r="K227">
        <v>693.85</v>
      </c>
      <c r="L227">
        <v>297</v>
      </c>
    </row>
    <row r="228" spans="1:12">
      <c r="A228">
        <v>221</v>
      </c>
      <c r="B228" s="63" t="s">
        <v>274</v>
      </c>
      <c r="C228" s="63" t="s">
        <v>275</v>
      </c>
      <c r="D228" s="63" t="s">
        <v>261</v>
      </c>
      <c r="E228" s="63" t="s">
        <v>276</v>
      </c>
      <c r="F228" s="63" t="s">
        <v>2368</v>
      </c>
      <c r="G228">
        <v>1</v>
      </c>
      <c r="H228">
        <v>20</v>
      </c>
      <c r="I228">
        <v>20</v>
      </c>
      <c r="J228">
        <v>20</v>
      </c>
      <c r="K228">
        <v>301.63</v>
      </c>
      <c r="L228">
        <v>322</v>
      </c>
    </row>
    <row r="229" spans="1:12">
      <c r="A229">
        <v>221</v>
      </c>
      <c r="B229" s="63" t="s">
        <v>274</v>
      </c>
      <c r="C229" s="63" t="s">
        <v>275</v>
      </c>
      <c r="D229" s="63" t="s">
        <v>261</v>
      </c>
      <c r="E229" s="63" t="s">
        <v>277</v>
      </c>
      <c r="F229" s="63" t="s">
        <v>2369</v>
      </c>
      <c r="G229">
        <v>1</v>
      </c>
      <c r="H229">
        <v>20</v>
      </c>
      <c r="I229">
        <v>20</v>
      </c>
      <c r="J229">
        <v>20</v>
      </c>
      <c r="K229">
        <v>301.92</v>
      </c>
      <c r="L229">
        <v>322</v>
      </c>
    </row>
    <row r="230" spans="1:12">
      <c r="A230">
        <v>221</v>
      </c>
      <c r="B230" s="63" t="s">
        <v>274</v>
      </c>
      <c r="C230" s="63" t="s">
        <v>275</v>
      </c>
      <c r="D230" s="63" t="s">
        <v>261</v>
      </c>
      <c r="E230" s="63" t="s">
        <v>277</v>
      </c>
      <c r="F230" s="63" t="s">
        <v>2370</v>
      </c>
      <c r="G230">
        <v>1</v>
      </c>
      <c r="H230">
        <v>20</v>
      </c>
      <c r="I230">
        <v>20</v>
      </c>
      <c r="J230">
        <v>20</v>
      </c>
      <c r="K230">
        <v>695.22</v>
      </c>
      <c r="L230">
        <v>217</v>
      </c>
    </row>
    <row r="231" spans="1:12">
      <c r="A231">
        <v>221</v>
      </c>
      <c r="B231" s="63" t="s">
        <v>274</v>
      </c>
      <c r="C231" s="63" t="s">
        <v>275</v>
      </c>
      <c r="D231" s="63" t="s">
        <v>261</v>
      </c>
      <c r="E231" s="63" t="s">
        <v>277</v>
      </c>
      <c r="F231" s="63" t="s">
        <v>2371</v>
      </c>
      <c r="G231">
        <v>1</v>
      </c>
      <c r="H231">
        <v>20</v>
      </c>
      <c r="I231">
        <v>20</v>
      </c>
      <c r="J231">
        <v>20</v>
      </c>
      <c r="K231">
        <v>693.85</v>
      </c>
      <c r="L231">
        <v>322</v>
      </c>
    </row>
    <row r="232" spans="1:12">
      <c r="A232">
        <v>221</v>
      </c>
      <c r="B232" s="63" t="s">
        <v>274</v>
      </c>
      <c r="C232" s="63" t="s">
        <v>275</v>
      </c>
      <c r="D232" s="63" t="s">
        <v>261</v>
      </c>
      <c r="E232" s="63" t="s">
        <v>172</v>
      </c>
      <c r="F232" s="63" t="s">
        <v>917</v>
      </c>
      <c r="G232">
        <v>1</v>
      </c>
      <c r="H232">
        <v>60</v>
      </c>
      <c r="I232">
        <v>60</v>
      </c>
      <c r="J232">
        <v>60</v>
      </c>
      <c r="K232">
        <v>329.57</v>
      </c>
      <c r="L232">
        <v>10</v>
      </c>
    </row>
    <row r="233" spans="1:12">
      <c r="A233">
        <v>221</v>
      </c>
      <c r="B233" s="63" t="s">
        <v>274</v>
      </c>
      <c r="C233" s="63" t="s">
        <v>275</v>
      </c>
      <c r="D233" s="63" t="s">
        <v>261</v>
      </c>
      <c r="E233" s="63" t="s">
        <v>203</v>
      </c>
      <c r="F233" s="63" t="s">
        <v>1004</v>
      </c>
      <c r="G233">
        <v>1</v>
      </c>
      <c r="H233">
        <v>60</v>
      </c>
      <c r="I233">
        <v>60</v>
      </c>
      <c r="J233">
        <v>60</v>
      </c>
      <c r="K233">
        <v>384.95</v>
      </c>
      <c r="L233">
        <v>14</v>
      </c>
    </row>
    <row r="234" spans="1:12">
      <c r="A234">
        <v>221</v>
      </c>
      <c r="B234" s="63" t="s">
        <v>274</v>
      </c>
      <c r="C234" s="63" t="s">
        <v>275</v>
      </c>
      <c r="D234" s="63" t="s">
        <v>261</v>
      </c>
      <c r="E234" s="63" t="s">
        <v>175</v>
      </c>
      <c r="F234" s="63" t="s">
        <v>1386</v>
      </c>
      <c r="G234">
        <v>1</v>
      </c>
      <c r="H234">
        <v>60</v>
      </c>
      <c r="I234">
        <v>60</v>
      </c>
      <c r="J234">
        <v>60</v>
      </c>
      <c r="K234">
        <v>241</v>
      </c>
      <c r="L234">
        <v>6</v>
      </c>
    </row>
    <row r="235" spans="1:12">
      <c r="A235">
        <v>221</v>
      </c>
      <c r="B235" s="63" t="s">
        <v>274</v>
      </c>
      <c r="C235" s="63" t="s">
        <v>275</v>
      </c>
      <c r="D235" s="63" t="s">
        <v>261</v>
      </c>
      <c r="E235" s="63" t="s">
        <v>175</v>
      </c>
      <c r="F235" s="63" t="s">
        <v>499</v>
      </c>
      <c r="G235">
        <v>1</v>
      </c>
      <c r="H235">
        <v>55</v>
      </c>
      <c r="I235">
        <v>55</v>
      </c>
      <c r="J235">
        <v>55</v>
      </c>
      <c r="K235">
        <v>213.98</v>
      </c>
      <c r="L235">
        <v>5</v>
      </c>
    </row>
    <row r="236" spans="1:12">
      <c r="A236">
        <v>221</v>
      </c>
      <c r="B236" s="63" t="s">
        <v>274</v>
      </c>
      <c r="C236" s="63" t="s">
        <v>275</v>
      </c>
      <c r="D236" s="63" t="s">
        <v>261</v>
      </c>
      <c r="E236" s="63" t="s">
        <v>175</v>
      </c>
      <c r="F236" s="63" t="s">
        <v>1440</v>
      </c>
      <c r="G236">
        <v>1</v>
      </c>
      <c r="H236">
        <v>60</v>
      </c>
      <c r="I236">
        <v>60</v>
      </c>
      <c r="J236">
        <v>60</v>
      </c>
      <c r="K236">
        <v>425.65</v>
      </c>
      <c r="L236">
        <v>17</v>
      </c>
    </row>
    <row r="237" spans="1:12">
      <c r="A237">
        <v>221</v>
      </c>
      <c r="B237" s="63" t="s">
        <v>274</v>
      </c>
      <c r="C237" s="63" t="s">
        <v>275</v>
      </c>
      <c r="D237" s="63" t="s">
        <v>261</v>
      </c>
      <c r="E237" s="63" t="s">
        <v>184</v>
      </c>
      <c r="F237" s="63" t="s">
        <v>2052</v>
      </c>
      <c r="G237">
        <v>1</v>
      </c>
      <c r="H237">
        <v>60</v>
      </c>
      <c r="I237">
        <v>60</v>
      </c>
      <c r="J237">
        <v>60</v>
      </c>
      <c r="K237">
        <v>127.8</v>
      </c>
      <c r="L237">
        <v>3</v>
      </c>
    </row>
    <row r="238" spans="1:12">
      <c r="A238">
        <v>231</v>
      </c>
      <c r="B238" s="63" t="s">
        <v>259</v>
      </c>
      <c r="C238" s="63" t="s">
        <v>406</v>
      </c>
      <c r="D238" s="63" t="s">
        <v>59</v>
      </c>
      <c r="E238" s="63" t="s">
        <v>176</v>
      </c>
      <c r="F238" s="63" t="s">
        <v>2372</v>
      </c>
      <c r="G238">
        <v>1</v>
      </c>
      <c r="H238">
        <v>60</v>
      </c>
      <c r="I238">
        <v>1180</v>
      </c>
      <c r="J238">
        <v>1180</v>
      </c>
      <c r="K238">
        <v>14.58</v>
      </c>
      <c r="L238">
        <v>1</v>
      </c>
    </row>
    <row r="239" spans="1:12">
      <c r="A239">
        <v>231</v>
      </c>
      <c r="B239" s="63" t="s">
        <v>259</v>
      </c>
      <c r="C239" s="63" t="s">
        <v>406</v>
      </c>
      <c r="D239" s="63" t="s">
        <v>59</v>
      </c>
      <c r="E239" s="63" t="s">
        <v>176</v>
      </c>
      <c r="F239" s="63" t="s">
        <v>2373</v>
      </c>
      <c r="G239">
        <v>1</v>
      </c>
      <c r="H239">
        <v>60</v>
      </c>
      <c r="I239">
        <v>1177</v>
      </c>
      <c r="J239">
        <v>1177</v>
      </c>
      <c r="K239">
        <v>14.58</v>
      </c>
      <c r="L239">
        <v>1</v>
      </c>
    </row>
    <row r="240" spans="1:12">
      <c r="A240">
        <v>231</v>
      </c>
      <c r="B240" s="63" t="s">
        <v>259</v>
      </c>
      <c r="C240" s="63" t="s">
        <v>406</v>
      </c>
      <c r="D240" s="63" t="s">
        <v>59</v>
      </c>
      <c r="E240" s="63" t="s">
        <v>176</v>
      </c>
      <c r="F240" s="63" t="s">
        <v>2374</v>
      </c>
      <c r="G240">
        <v>1</v>
      </c>
      <c r="H240">
        <v>60</v>
      </c>
      <c r="I240">
        <v>1159</v>
      </c>
      <c r="J240">
        <v>1159</v>
      </c>
      <c r="K240">
        <v>14.6</v>
      </c>
      <c r="L240">
        <v>1</v>
      </c>
    </row>
    <row r="241" spans="1:12">
      <c r="A241">
        <v>232</v>
      </c>
      <c r="B241" s="63" t="s">
        <v>259</v>
      </c>
      <c r="C241" s="63" t="s">
        <v>406</v>
      </c>
      <c r="D241" s="63" t="s">
        <v>59</v>
      </c>
      <c r="F241" s="63" t="s">
        <v>1629</v>
      </c>
      <c r="G241">
        <v>1</v>
      </c>
      <c r="H241">
        <v>1</v>
      </c>
      <c r="I241">
        <v>19</v>
      </c>
      <c r="J241">
        <v>19</v>
      </c>
      <c r="K241">
        <v>1651.63</v>
      </c>
      <c r="L241">
        <v>65</v>
      </c>
    </row>
    <row r="242" spans="1:12">
      <c r="A242">
        <v>232</v>
      </c>
      <c r="B242" s="63" t="s">
        <v>259</v>
      </c>
      <c r="C242" s="63" t="s">
        <v>406</v>
      </c>
      <c r="D242" s="63" t="s">
        <v>59</v>
      </c>
      <c r="E242" s="63" t="s">
        <v>255</v>
      </c>
      <c r="F242" s="63" t="s">
        <v>2375</v>
      </c>
      <c r="G242">
        <v>1</v>
      </c>
      <c r="H242">
        <v>60</v>
      </c>
      <c r="I242">
        <v>1178</v>
      </c>
      <c r="J242">
        <v>1178</v>
      </c>
      <c r="K242">
        <v>309.14999999999998</v>
      </c>
      <c r="L242">
        <v>0</v>
      </c>
    </row>
    <row r="243" spans="1:12">
      <c r="A243">
        <v>232</v>
      </c>
      <c r="B243" s="63" t="s">
        <v>259</v>
      </c>
      <c r="C243" s="63" t="s">
        <v>406</v>
      </c>
      <c r="D243" s="63" t="s">
        <v>59</v>
      </c>
      <c r="E243" s="63" t="s">
        <v>255</v>
      </c>
      <c r="F243" s="63" t="s">
        <v>1244</v>
      </c>
      <c r="G243">
        <v>1</v>
      </c>
      <c r="H243">
        <v>60</v>
      </c>
      <c r="I243">
        <v>1160</v>
      </c>
      <c r="J243">
        <v>1160</v>
      </c>
      <c r="K243">
        <v>252.52</v>
      </c>
      <c r="L243">
        <v>0</v>
      </c>
    </row>
    <row r="244" spans="1:12">
      <c r="A244">
        <v>232</v>
      </c>
      <c r="B244" s="63" t="s">
        <v>259</v>
      </c>
      <c r="C244" s="63" t="s">
        <v>406</v>
      </c>
      <c r="D244" s="63" t="s">
        <v>59</v>
      </c>
      <c r="E244" s="63" t="s">
        <v>255</v>
      </c>
      <c r="F244" s="63" t="s">
        <v>2376</v>
      </c>
      <c r="G244">
        <v>1</v>
      </c>
      <c r="H244">
        <v>60</v>
      </c>
      <c r="I244">
        <v>1152</v>
      </c>
      <c r="J244">
        <v>1152</v>
      </c>
      <c r="K244">
        <v>265.95</v>
      </c>
      <c r="L244">
        <v>0</v>
      </c>
    </row>
    <row r="245" spans="1:12">
      <c r="A245">
        <v>232</v>
      </c>
      <c r="B245" s="63" t="s">
        <v>259</v>
      </c>
      <c r="C245" s="63" t="s">
        <v>406</v>
      </c>
      <c r="D245" s="63" t="s">
        <v>59</v>
      </c>
      <c r="E245" s="63" t="s">
        <v>255</v>
      </c>
      <c r="F245" s="63" t="s">
        <v>2377</v>
      </c>
      <c r="G245">
        <v>1</v>
      </c>
      <c r="H245">
        <v>60</v>
      </c>
      <c r="I245">
        <v>1180</v>
      </c>
      <c r="J245">
        <v>1180</v>
      </c>
      <c r="K245">
        <v>309.14999999999998</v>
      </c>
      <c r="L245">
        <v>0</v>
      </c>
    </row>
    <row r="246" spans="1:12">
      <c r="A246">
        <v>232</v>
      </c>
      <c r="B246" s="63" t="s">
        <v>259</v>
      </c>
      <c r="C246" s="63" t="s">
        <v>406</v>
      </c>
      <c r="D246" s="63" t="s">
        <v>59</v>
      </c>
      <c r="E246" s="63" t="s">
        <v>255</v>
      </c>
      <c r="F246" s="63" t="s">
        <v>2378</v>
      </c>
      <c r="G246">
        <v>1</v>
      </c>
      <c r="H246">
        <v>60</v>
      </c>
      <c r="I246">
        <v>1168</v>
      </c>
      <c r="J246">
        <v>1168</v>
      </c>
      <c r="K246">
        <v>880.17</v>
      </c>
      <c r="L246">
        <v>0</v>
      </c>
    </row>
    <row r="247" spans="1:12">
      <c r="A247">
        <v>233</v>
      </c>
      <c r="B247" s="63" t="s">
        <v>259</v>
      </c>
      <c r="C247" s="63" t="s">
        <v>406</v>
      </c>
      <c r="D247" s="63" t="s">
        <v>59</v>
      </c>
      <c r="E247" s="63" t="s">
        <v>254</v>
      </c>
      <c r="F247" s="63" t="s">
        <v>1224</v>
      </c>
      <c r="G247">
        <v>1</v>
      </c>
      <c r="H247">
        <v>1</v>
      </c>
      <c r="I247">
        <v>19</v>
      </c>
      <c r="J247">
        <v>19</v>
      </c>
      <c r="K247">
        <v>1091.17</v>
      </c>
      <c r="L247">
        <v>47</v>
      </c>
    </row>
    <row r="248" spans="1:12">
      <c r="A248">
        <v>233</v>
      </c>
      <c r="B248" s="63" t="s">
        <v>259</v>
      </c>
      <c r="C248" s="63" t="s">
        <v>406</v>
      </c>
      <c r="D248" s="63" t="s">
        <v>59</v>
      </c>
      <c r="E248" s="63" t="s">
        <v>254</v>
      </c>
      <c r="F248" s="63" t="s">
        <v>2379</v>
      </c>
      <c r="G248">
        <v>1</v>
      </c>
      <c r="H248">
        <v>3</v>
      </c>
      <c r="I248">
        <v>58</v>
      </c>
      <c r="J248">
        <v>58</v>
      </c>
      <c r="K248">
        <v>145.30000000000001</v>
      </c>
      <c r="L248">
        <v>9</v>
      </c>
    </row>
    <row r="249" spans="1:12">
      <c r="A249">
        <v>233</v>
      </c>
      <c r="B249" s="63" t="s">
        <v>259</v>
      </c>
      <c r="C249" s="63" t="s">
        <v>406</v>
      </c>
      <c r="D249" s="63" t="s">
        <v>59</v>
      </c>
      <c r="E249" s="63" t="s">
        <v>255</v>
      </c>
      <c r="F249" s="63" t="s">
        <v>1305</v>
      </c>
      <c r="G249">
        <v>1</v>
      </c>
      <c r="H249">
        <v>13</v>
      </c>
      <c r="I249">
        <v>247</v>
      </c>
      <c r="J249">
        <v>247</v>
      </c>
      <c r="K249">
        <v>2003.42</v>
      </c>
      <c r="L249">
        <v>83</v>
      </c>
    </row>
    <row r="250" spans="1:12">
      <c r="A250">
        <v>233</v>
      </c>
      <c r="B250" s="63" t="s">
        <v>259</v>
      </c>
      <c r="C250" s="63" t="s">
        <v>406</v>
      </c>
      <c r="D250" s="63" t="s">
        <v>59</v>
      </c>
      <c r="E250" s="63" t="s">
        <v>255</v>
      </c>
      <c r="F250" s="63" t="s">
        <v>1626</v>
      </c>
      <c r="G250">
        <v>1</v>
      </c>
      <c r="H250">
        <v>19</v>
      </c>
      <c r="I250">
        <v>357</v>
      </c>
      <c r="J250">
        <v>357</v>
      </c>
      <c r="K250">
        <v>1987.23</v>
      </c>
      <c r="L250">
        <v>124</v>
      </c>
    </row>
    <row r="251" spans="1:12">
      <c r="A251">
        <v>233</v>
      </c>
      <c r="B251" s="63" t="s">
        <v>259</v>
      </c>
      <c r="C251" s="63" t="s">
        <v>406</v>
      </c>
      <c r="D251" s="63" t="s">
        <v>59</v>
      </c>
      <c r="E251" s="63" t="s">
        <v>255</v>
      </c>
      <c r="F251" s="63" t="s">
        <v>1627</v>
      </c>
      <c r="G251">
        <v>1</v>
      </c>
      <c r="H251">
        <v>6</v>
      </c>
      <c r="I251">
        <v>110</v>
      </c>
      <c r="J251">
        <v>110</v>
      </c>
      <c r="K251">
        <v>1113.53</v>
      </c>
      <c r="L251">
        <v>47</v>
      </c>
    </row>
    <row r="252" spans="1:12">
      <c r="A252">
        <v>233</v>
      </c>
      <c r="B252" s="63" t="s">
        <v>946</v>
      </c>
      <c r="C252" s="63" t="s">
        <v>947</v>
      </c>
      <c r="D252" s="63" t="s">
        <v>59</v>
      </c>
      <c r="E252" s="63" t="s">
        <v>255</v>
      </c>
      <c r="F252" s="63" t="s">
        <v>1628</v>
      </c>
      <c r="G252">
        <v>1</v>
      </c>
      <c r="H252">
        <v>5</v>
      </c>
      <c r="I252">
        <v>97</v>
      </c>
      <c r="J252">
        <v>97</v>
      </c>
      <c r="K252">
        <v>1016.32</v>
      </c>
      <c r="L252">
        <v>44</v>
      </c>
    </row>
    <row r="253" spans="1:12">
      <c r="A253">
        <v>233</v>
      </c>
      <c r="B253" s="63" t="s">
        <v>260</v>
      </c>
      <c r="C253" s="63" t="s">
        <v>1043</v>
      </c>
      <c r="D253" s="63" t="s">
        <v>405</v>
      </c>
      <c r="E253" s="63" t="s">
        <v>172</v>
      </c>
      <c r="F253" s="63" t="s">
        <v>849</v>
      </c>
      <c r="G253">
        <v>1</v>
      </c>
      <c r="H253">
        <v>7</v>
      </c>
      <c r="I253">
        <v>124</v>
      </c>
      <c r="J253">
        <v>124</v>
      </c>
      <c r="K253">
        <v>1995</v>
      </c>
      <c r="L253">
        <v>122</v>
      </c>
    </row>
    <row r="254" spans="1:12">
      <c r="A254">
        <v>233</v>
      </c>
      <c r="B254" s="63" t="s">
        <v>260</v>
      </c>
      <c r="C254" s="63" t="s">
        <v>1043</v>
      </c>
      <c r="D254" s="63" t="s">
        <v>59</v>
      </c>
      <c r="E254" s="63" t="s">
        <v>177</v>
      </c>
      <c r="F254" s="63" t="s">
        <v>1853</v>
      </c>
      <c r="G254">
        <v>1</v>
      </c>
      <c r="H254">
        <v>3</v>
      </c>
      <c r="I254">
        <v>42</v>
      </c>
      <c r="J254">
        <v>42</v>
      </c>
      <c r="K254">
        <v>312.77</v>
      </c>
      <c r="L254">
        <v>48</v>
      </c>
    </row>
    <row r="255" spans="1:12">
      <c r="A255">
        <v>235</v>
      </c>
      <c r="B255" s="63" t="s">
        <v>259</v>
      </c>
      <c r="C255" s="63" t="s">
        <v>406</v>
      </c>
      <c r="D255" s="63" t="s">
        <v>59</v>
      </c>
      <c r="E255" s="63" t="s">
        <v>176</v>
      </c>
      <c r="F255" s="63" t="s">
        <v>1630</v>
      </c>
      <c r="G255">
        <v>1</v>
      </c>
      <c r="H255">
        <v>2</v>
      </c>
      <c r="I255">
        <v>34</v>
      </c>
      <c r="J255">
        <v>34</v>
      </c>
      <c r="K255">
        <v>1439.62</v>
      </c>
      <c r="L255">
        <v>73</v>
      </c>
    </row>
    <row r="256" spans="1:12">
      <c r="A256">
        <v>235</v>
      </c>
      <c r="B256" s="63" t="s">
        <v>259</v>
      </c>
      <c r="C256" s="63" t="s">
        <v>406</v>
      </c>
      <c r="D256" s="63" t="s">
        <v>59</v>
      </c>
      <c r="E256" s="63" t="s">
        <v>254</v>
      </c>
      <c r="F256" s="63" t="s">
        <v>2380</v>
      </c>
      <c r="G256">
        <v>1</v>
      </c>
      <c r="H256">
        <v>1</v>
      </c>
      <c r="I256">
        <v>20</v>
      </c>
      <c r="J256">
        <v>20</v>
      </c>
      <c r="K256">
        <v>442.87</v>
      </c>
      <c r="L256">
        <v>20</v>
      </c>
    </row>
    <row r="257" spans="1:12">
      <c r="A257" s="63" t="s">
        <v>2381</v>
      </c>
      <c r="B257" s="63" t="s">
        <v>320</v>
      </c>
      <c r="C257" s="63" t="s">
        <v>321</v>
      </c>
      <c r="D257" s="63" t="s">
        <v>269</v>
      </c>
      <c r="E257" s="63" t="s">
        <v>504</v>
      </c>
      <c r="F257" s="63" t="s">
        <v>2382</v>
      </c>
      <c r="G257">
        <v>1</v>
      </c>
      <c r="H257">
        <v>59</v>
      </c>
      <c r="I257">
        <v>59</v>
      </c>
      <c r="J257">
        <v>59</v>
      </c>
      <c r="K257">
        <v>3043.55</v>
      </c>
      <c r="L257">
        <v>17</v>
      </c>
    </row>
    <row r="258" spans="1:12">
      <c r="A258" s="63" t="s">
        <v>319</v>
      </c>
      <c r="B258" s="63" t="s">
        <v>320</v>
      </c>
      <c r="C258" s="63" t="s">
        <v>321</v>
      </c>
      <c r="D258" s="63" t="s">
        <v>269</v>
      </c>
      <c r="E258" s="63" t="s">
        <v>184</v>
      </c>
      <c r="F258" s="63" t="s">
        <v>695</v>
      </c>
      <c r="G258">
        <v>1</v>
      </c>
      <c r="H258">
        <v>23</v>
      </c>
      <c r="I258">
        <v>22</v>
      </c>
      <c r="J258">
        <v>22</v>
      </c>
      <c r="K258">
        <v>257.14999999999998</v>
      </c>
      <c r="L258">
        <v>108</v>
      </c>
    </row>
    <row r="259" spans="1:12">
      <c r="A259">
        <v>801</v>
      </c>
      <c r="B259" s="63" t="s">
        <v>622</v>
      </c>
      <c r="C259" s="63" t="s">
        <v>623</v>
      </c>
      <c r="D259" s="63" t="s">
        <v>261</v>
      </c>
      <c r="E259" s="63" t="s">
        <v>504</v>
      </c>
      <c r="F259" s="63" t="s">
        <v>2383</v>
      </c>
      <c r="G259">
        <v>1</v>
      </c>
      <c r="H259">
        <v>30</v>
      </c>
      <c r="I259">
        <v>30</v>
      </c>
      <c r="J259">
        <v>30</v>
      </c>
      <c r="K259">
        <v>3789.5</v>
      </c>
      <c r="L259">
        <v>2</v>
      </c>
    </row>
    <row r="260" spans="1:12">
      <c r="A260">
        <v>802</v>
      </c>
      <c r="B260" s="63" t="s">
        <v>2384</v>
      </c>
      <c r="C260" s="63" t="s">
        <v>2385</v>
      </c>
      <c r="D260" s="63" t="s">
        <v>261</v>
      </c>
      <c r="E260" s="63" t="s">
        <v>299</v>
      </c>
      <c r="F260" s="63" t="s">
        <v>2386</v>
      </c>
      <c r="G260">
        <v>1</v>
      </c>
      <c r="H260">
        <v>20</v>
      </c>
      <c r="I260">
        <v>19</v>
      </c>
      <c r="J260">
        <v>19</v>
      </c>
      <c r="K260">
        <v>6.92</v>
      </c>
      <c r="L260">
        <v>0</v>
      </c>
    </row>
    <row r="261" spans="1:12">
      <c r="A261">
        <v>802</v>
      </c>
      <c r="B261" s="63" t="s">
        <v>2384</v>
      </c>
      <c r="C261" s="63" t="s">
        <v>2385</v>
      </c>
      <c r="D261" s="63" t="s">
        <v>261</v>
      </c>
      <c r="E261" s="63" t="s">
        <v>299</v>
      </c>
      <c r="F261" s="63" t="s">
        <v>2387</v>
      </c>
      <c r="G261">
        <v>1</v>
      </c>
      <c r="H261">
        <v>20</v>
      </c>
      <c r="I261">
        <v>20</v>
      </c>
      <c r="J261">
        <v>20</v>
      </c>
      <c r="K261">
        <v>6.92</v>
      </c>
      <c r="L261">
        <v>0</v>
      </c>
    </row>
    <row r="262" spans="1:12">
      <c r="A262">
        <v>802</v>
      </c>
      <c r="B262" s="63" t="s">
        <v>2384</v>
      </c>
      <c r="C262" s="63" t="s">
        <v>2385</v>
      </c>
      <c r="D262" s="63" t="s">
        <v>261</v>
      </c>
      <c r="E262" s="63" t="s">
        <v>299</v>
      </c>
      <c r="F262" s="63" t="s">
        <v>1139</v>
      </c>
      <c r="G262">
        <v>1</v>
      </c>
      <c r="H262">
        <v>20</v>
      </c>
      <c r="I262">
        <v>20</v>
      </c>
      <c r="J262">
        <v>20</v>
      </c>
      <c r="K262">
        <v>6.92</v>
      </c>
      <c r="L262">
        <v>0</v>
      </c>
    </row>
    <row r="263" spans="1:12">
      <c r="A263">
        <v>802</v>
      </c>
      <c r="B263" s="63" t="s">
        <v>2384</v>
      </c>
      <c r="C263" s="63" t="s">
        <v>2385</v>
      </c>
      <c r="D263" s="63" t="s">
        <v>261</v>
      </c>
      <c r="E263" s="63" t="s">
        <v>299</v>
      </c>
      <c r="F263" s="63" t="s">
        <v>2388</v>
      </c>
      <c r="G263">
        <v>1</v>
      </c>
      <c r="H263">
        <v>20</v>
      </c>
      <c r="I263">
        <v>19</v>
      </c>
      <c r="J263">
        <v>19</v>
      </c>
      <c r="K263">
        <v>6.92</v>
      </c>
      <c r="L263">
        <v>0</v>
      </c>
    </row>
    <row r="264" spans="1:12">
      <c r="A264">
        <v>802</v>
      </c>
      <c r="B264" s="63" t="s">
        <v>2384</v>
      </c>
      <c r="C264" s="63" t="s">
        <v>2385</v>
      </c>
      <c r="D264" s="63" t="s">
        <v>261</v>
      </c>
      <c r="E264" s="63" t="s">
        <v>299</v>
      </c>
      <c r="F264" s="63" t="s">
        <v>1129</v>
      </c>
      <c r="G264">
        <v>1</v>
      </c>
      <c r="H264">
        <v>20</v>
      </c>
      <c r="I264">
        <v>20</v>
      </c>
      <c r="J264">
        <v>20</v>
      </c>
      <c r="K264">
        <v>6.92</v>
      </c>
      <c r="L264">
        <v>0</v>
      </c>
    </row>
    <row r="265" spans="1:12">
      <c r="A265">
        <v>802</v>
      </c>
      <c r="B265" s="63" t="s">
        <v>2384</v>
      </c>
      <c r="C265" s="63" t="s">
        <v>2385</v>
      </c>
      <c r="D265" s="63" t="s">
        <v>261</v>
      </c>
      <c r="E265" s="63" t="s">
        <v>299</v>
      </c>
      <c r="F265" s="63" t="s">
        <v>2389</v>
      </c>
      <c r="G265">
        <v>1</v>
      </c>
      <c r="H265">
        <v>18</v>
      </c>
      <c r="I265">
        <v>18</v>
      </c>
      <c r="J265">
        <v>18</v>
      </c>
      <c r="K265">
        <v>6.93</v>
      </c>
      <c r="L265">
        <v>0</v>
      </c>
    </row>
    <row r="266" spans="1:12">
      <c r="A266">
        <v>802</v>
      </c>
      <c r="B266" s="63" t="s">
        <v>2384</v>
      </c>
      <c r="C266" s="63" t="s">
        <v>2385</v>
      </c>
      <c r="D266" s="63" t="s">
        <v>261</v>
      </c>
      <c r="E266" s="63" t="s">
        <v>299</v>
      </c>
      <c r="F266" s="63" t="s">
        <v>1140</v>
      </c>
      <c r="G266">
        <v>1</v>
      </c>
      <c r="H266">
        <v>20</v>
      </c>
      <c r="I266">
        <v>20</v>
      </c>
      <c r="J266">
        <v>20</v>
      </c>
      <c r="K266">
        <v>6.92</v>
      </c>
      <c r="L266">
        <v>0</v>
      </c>
    </row>
    <row r="267" spans="1:12">
      <c r="A267">
        <v>802</v>
      </c>
      <c r="B267" s="63" t="s">
        <v>2384</v>
      </c>
      <c r="C267" s="63" t="s">
        <v>2390</v>
      </c>
      <c r="D267" s="63" t="s">
        <v>261</v>
      </c>
      <c r="E267" s="63" t="s">
        <v>299</v>
      </c>
      <c r="F267" s="63" t="s">
        <v>1744</v>
      </c>
      <c r="G267">
        <v>1</v>
      </c>
      <c r="H267">
        <v>20</v>
      </c>
      <c r="I267">
        <v>20</v>
      </c>
      <c r="J267">
        <v>20</v>
      </c>
      <c r="K267">
        <v>6.9</v>
      </c>
      <c r="L267">
        <v>0</v>
      </c>
    </row>
    <row r="268" spans="1:12">
      <c r="A268">
        <v>802</v>
      </c>
      <c r="B268" s="63" t="s">
        <v>2384</v>
      </c>
      <c r="C268" s="63" t="s">
        <v>2390</v>
      </c>
      <c r="D268" s="63" t="s">
        <v>261</v>
      </c>
      <c r="E268" s="63" t="s">
        <v>299</v>
      </c>
      <c r="F268" s="63" t="s">
        <v>1745</v>
      </c>
      <c r="G268">
        <v>1</v>
      </c>
      <c r="H268">
        <v>20</v>
      </c>
      <c r="I268">
        <v>20</v>
      </c>
      <c r="J268">
        <v>20</v>
      </c>
      <c r="K268">
        <v>6.92</v>
      </c>
      <c r="L268">
        <v>0</v>
      </c>
    </row>
    <row r="269" spans="1:12">
      <c r="A269">
        <v>802</v>
      </c>
      <c r="B269" s="63" t="s">
        <v>2384</v>
      </c>
      <c r="C269" s="63" t="s">
        <v>2390</v>
      </c>
      <c r="D269" s="63" t="s">
        <v>261</v>
      </c>
      <c r="E269" s="63" t="s">
        <v>299</v>
      </c>
      <c r="F269" s="63" t="s">
        <v>2391</v>
      </c>
      <c r="G269">
        <v>1</v>
      </c>
      <c r="H269">
        <v>20</v>
      </c>
      <c r="I269">
        <v>20</v>
      </c>
      <c r="J269">
        <v>20</v>
      </c>
      <c r="K269">
        <v>6.9</v>
      </c>
      <c r="L269">
        <v>0</v>
      </c>
    </row>
    <row r="270" spans="1:12">
      <c r="A270">
        <v>802</v>
      </c>
      <c r="B270" s="63" t="s">
        <v>2384</v>
      </c>
      <c r="C270" s="63" t="s">
        <v>2390</v>
      </c>
      <c r="D270" s="63" t="s">
        <v>261</v>
      </c>
      <c r="E270" s="63" t="s">
        <v>299</v>
      </c>
      <c r="F270" s="63" t="s">
        <v>2392</v>
      </c>
      <c r="G270">
        <v>1</v>
      </c>
      <c r="H270">
        <v>20</v>
      </c>
      <c r="I270">
        <v>20</v>
      </c>
      <c r="J270">
        <v>20</v>
      </c>
      <c r="K270">
        <v>6.9</v>
      </c>
      <c r="L270">
        <v>0</v>
      </c>
    </row>
    <row r="271" spans="1:12">
      <c r="A271">
        <v>802</v>
      </c>
      <c r="B271" s="63" t="s">
        <v>2384</v>
      </c>
      <c r="C271" s="63" t="s">
        <v>2390</v>
      </c>
      <c r="D271" s="63" t="s">
        <v>261</v>
      </c>
      <c r="E271" s="63" t="s">
        <v>299</v>
      </c>
      <c r="F271" s="63" t="s">
        <v>2393</v>
      </c>
      <c r="G271">
        <v>1</v>
      </c>
      <c r="H271">
        <v>20</v>
      </c>
      <c r="I271">
        <v>20</v>
      </c>
      <c r="J271">
        <v>20</v>
      </c>
      <c r="K271">
        <v>6.92</v>
      </c>
      <c r="L271">
        <v>0</v>
      </c>
    </row>
    <row r="272" spans="1:12">
      <c r="A272">
        <v>802</v>
      </c>
      <c r="B272" s="63" t="s">
        <v>2384</v>
      </c>
      <c r="C272" s="63" t="s">
        <v>2390</v>
      </c>
      <c r="D272" s="63" t="s">
        <v>261</v>
      </c>
      <c r="E272" s="63" t="s">
        <v>299</v>
      </c>
      <c r="F272" s="63" t="s">
        <v>2394</v>
      </c>
      <c r="G272">
        <v>1</v>
      </c>
      <c r="H272">
        <v>20</v>
      </c>
      <c r="I272">
        <v>20</v>
      </c>
      <c r="J272">
        <v>20</v>
      </c>
      <c r="K272">
        <v>6.92</v>
      </c>
      <c r="L272">
        <v>0</v>
      </c>
    </row>
    <row r="273" spans="1:12">
      <c r="A273">
        <v>802</v>
      </c>
      <c r="B273" s="63" t="s">
        <v>2384</v>
      </c>
      <c r="C273" s="63" t="s">
        <v>2395</v>
      </c>
      <c r="D273" s="63" t="s">
        <v>261</v>
      </c>
      <c r="E273" s="63" t="s">
        <v>299</v>
      </c>
      <c r="F273" s="63" t="s">
        <v>2396</v>
      </c>
      <c r="G273">
        <v>1</v>
      </c>
      <c r="H273">
        <v>20</v>
      </c>
      <c r="I273">
        <v>20</v>
      </c>
      <c r="J273">
        <v>20</v>
      </c>
      <c r="K273">
        <v>6.95</v>
      </c>
      <c r="L273">
        <v>0</v>
      </c>
    </row>
    <row r="274" spans="1:12">
      <c r="A274">
        <v>802</v>
      </c>
      <c r="B274" s="63" t="s">
        <v>2384</v>
      </c>
      <c r="C274" s="63" t="s">
        <v>2395</v>
      </c>
      <c r="D274" s="63" t="s">
        <v>261</v>
      </c>
      <c r="E274" s="63" t="s">
        <v>299</v>
      </c>
      <c r="F274" s="63" t="s">
        <v>2397</v>
      </c>
      <c r="G274">
        <v>1</v>
      </c>
      <c r="H274">
        <v>20</v>
      </c>
      <c r="I274">
        <v>16</v>
      </c>
      <c r="J274">
        <v>16</v>
      </c>
      <c r="K274">
        <v>6.97</v>
      </c>
      <c r="L274">
        <v>0</v>
      </c>
    </row>
    <row r="275" spans="1:12">
      <c r="A275">
        <v>802</v>
      </c>
      <c r="B275" s="63" t="s">
        <v>2384</v>
      </c>
      <c r="C275" s="63" t="s">
        <v>2395</v>
      </c>
      <c r="D275" s="63" t="s">
        <v>261</v>
      </c>
      <c r="E275" s="63" t="s">
        <v>299</v>
      </c>
      <c r="F275" s="63" t="s">
        <v>2398</v>
      </c>
      <c r="G275">
        <v>1</v>
      </c>
      <c r="H275">
        <v>20</v>
      </c>
      <c r="I275">
        <v>18</v>
      </c>
      <c r="J275">
        <v>18</v>
      </c>
      <c r="K275">
        <v>6.97</v>
      </c>
      <c r="L275">
        <v>0</v>
      </c>
    </row>
    <row r="276" spans="1:12">
      <c r="A276">
        <v>802</v>
      </c>
      <c r="B276" s="63" t="s">
        <v>2384</v>
      </c>
      <c r="C276" s="63" t="s">
        <v>2395</v>
      </c>
      <c r="D276" s="63" t="s">
        <v>261</v>
      </c>
      <c r="E276" s="63" t="s">
        <v>299</v>
      </c>
      <c r="F276" s="63" t="s">
        <v>1578</v>
      </c>
      <c r="G276">
        <v>1</v>
      </c>
      <c r="H276">
        <v>20</v>
      </c>
      <c r="I276">
        <v>18</v>
      </c>
      <c r="J276">
        <v>18</v>
      </c>
      <c r="K276">
        <v>6.95</v>
      </c>
      <c r="L276">
        <v>0</v>
      </c>
    </row>
    <row r="277" spans="1:12">
      <c r="A277">
        <v>802</v>
      </c>
      <c r="B277" s="63" t="s">
        <v>2384</v>
      </c>
      <c r="C277" s="63" t="s">
        <v>2395</v>
      </c>
      <c r="D277" s="63" t="s">
        <v>261</v>
      </c>
      <c r="E277" s="63" t="s">
        <v>299</v>
      </c>
      <c r="F277" s="63" t="s">
        <v>2399</v>
      </c>
      <c r="G277">
        <v>1</v>
      </c>
      <c r="H277">
        <v>20</v>
      </c>
      <c r="I277">
        <v>19</v>
      </c>
      <c r="J277">
        <v>19</v>
      </c>
      <c r="K277">
        <v>6.95</v>
      </c>
      <c r="L277">
        <v>0</v>
      </c>
    </row>
    <row r="278" spans="1:12">
      <c r="A278">
        <v>802</v>
      </c>
      <c r="B278" s="63" t="s">
        <v>2384</v>
      </c>
      <c r="C278" s="63" t="s">
        <v>2395</v>
      </c>
      <c r="D278" s="63" t="s">
        <v>261</v>
      </c>
      <c r="E278" s="63" t="s">
        <v>299</v>
      </c>
      <c r="F278" s="63" t="s">
        <v>2400</v>
      </c>
      <c r="G278">
        <v>1</v>
      </c>
      <c r="H278">
        <v>20</v>
      </c>
      <c r="I278">
        <v>20</v>
      </c>
      <c r="J278">
        <v>20</v>
      </c>
      <c r="K278">
        <v>6.97</v>
      </c>
      <c r="L278">
        <v>0</v>
      </c>
    </row>
    <row r="279" spans="1:12">
      <c r="A279">
        <v>802</v>
      </c>
      <c r="B279" s="63" t="s">
        <v>2384</v>
      </c>
      <c r="C279" s="63" t="s">
        <v>2395</v>
      </c>
      <c r="D279" s="63" t="s">
        <v>261</v>
      </c>
      <c r="E279" s="63" t="s">
        <v>299</v>
      </c>
      <c r="F279" s="63" t="s">
        <v>2401</v>
      </c>
      <c r="G279">
        <v>1</v>
      </c>
      <c r="H279">
        <v>20</v>
      </c>
      <c r="I279">
        <v>18</v>
      </c>
      <c r="J279">
        <v>18</v>
      </c>
      <c r="K279">
        <v>6.95</v>
      </c>
      <c r="L279">
        <v>0</v>
      </c>
    </row>
    <row r="280" spans="1:12">
      <c r="A280">
        <v>802</v>
      </c>
      <c r="B280" s="63" t="s">
        <v>2384</v>
      </c>
      <c r="C280" s="63" t="s">
        <v>2395</v>
      </c>
      <c r="D280" s="63" t="s">
        <v>261</v>
      </c>
      <c r="E280" s="63" t="s">
        <v>299</v>
      </c>
      <c r="F280" s="63" t="s">
        <v>2402</v>
      </c>
      <c r="G280">
        <v>1</v>
      </c>
      <c r="H280">
        <v>20</v>
      </c>
      <c r="I280">
        <v>20</v>
      </c>
      <c r="J280">
        <v>20</v>
      </c>
      <c r="K280">
        <v>6.95</v>
      </c>
      <c r="L280">
        <v>0</v>
      </c>
    </row>
    <row r="281" spans="1:12">
      <c r="A281">
        <v>802</v>
      </c>
      <c r="B281" s="63" t="s">
        <v>2384</v>
      </c>
      <c r="C281" s="63" t="s">
        <v>2395</v>
      </c>
      <c r="D281" s="63" t="s">
        <v>261</v>
      </c>
      <c r="E281" s="63" t="s">
        <v>299</v>
      </c>
      <c r="F281" s="63" t="s">
        <v>2403</v>
      </c>
      <c r="G281">
        <v>1</v>
      </c>
      <c r="H281">
        <v>20</v>
      </c>
      <c r="I281">
        <v>20</v>
      </c>
      <c r="J281">
        <v>20</v>
      </c>
      <c r="K281">
        <v>6.95</v>
      </c>
      <c r="L281">
        <v>0</v>
      </c>
    </row>
    <row r="282" spans="1:12">
      <c r="A282">
        <v>802</v>
      </c>
      <c r="B282" s="63" t="s">
        <v>2384</v>
      </c>
      <c r="C282" s="63" t="s">
        <v>2395</v>
      </c>
      <c r="D282" s="63" t="s">
        <v>261</v>
      </c>
      <c r="E282" s="63" t="s">
        <v>299</v>
      </c>
      <c r="F282" s="63" t="s">
        <v>2404</v>
      </c>
      <c r="G282">
        <v>1</v>
      </c>
      <c r="H282">
        <v>20</v>
      </c>
      <c r="I282">
        <v>20</v>
      </c>
      <c r="J282">
        <v>20</v>
      </c>
      <c r="K282">
        <v>6.97</v>
      </c>
      <c r="L282">
        <v>0</v>
      </c>
    </row>
    <row r="283" spans="1:12">
      <c r="A283">
        <v>802</v>
      </c>
      <c r="B283" s="63" t="s">
        <v>2384</v>
      </c>
      <c r="C283" s="63" t="s">
        <v>2395</v>
      </c>
      <c r="D283" s="63" t="s">
        <v>261</v>
      </c>
      <c r="E283" s="63" t="s">
        <v>299</v>
      </c>
      <c r="F283" s="63" t="s">
        <v>2405</v>
      </c>
      <c r="G283">
        <v>1</v>
      </c>
      <c r="H283">
        <v>20</v>
      </c>
      <c r="I283">
        <v>17</v>
      </c>
      <c r="J283">
        <v>17</v>
      </c>
      <c r="K283">
        <v>6.95</v>
      </c>
      <c r="L283">
        <v>0</v>
      </c>
    </row>
    <row r="284" spans="1:12">
      <c r="A284">
        <v>802</v>
      </c>
      <c r="B284" s="63" t="s">
        <v>2384</v>
      </c>
      <c r="C284" s="63" t="s">
        <v>2395</v>
      </c>
      <c r="D284" s="63" t="s">
        <v>261</v>
      </c>
      <c r="E284" s="63" t="s">
        <v>299</v>
      </c>
      <c r="F284" s="63" t="s">
        <v>2406</v>
      </c>
      <c r="G284">
        <v>1</v>
      </c>
      <c r="H284">
        <v>20</v>
      </c>
      <c r="I284">
        <v>19</v>
      </c>
      <c r="J284">
        <v>19</v>
      </c>
      <c r="K284">
        <v>6.95</v>
      </c>
      <c r="L284">
        <v>0</v>
      </c>
    </row>
    <row r="285" spans="1:12">
      <c r="A285">
        <v>802</v>
      </c>
      <c r="B285" s="63" t="s">
        <v>2384</v>
      </c>
      <c r="C285" s="63" t="s">
        <v>2395</v>
      </c>
      <c r="D285" s="63" t="s">
        <v>261</v>
      </c>
      <c r="E285" s="63" t="s">
        <v>299</v>
      </c>
      <c r="F285" s="63" t="s">
        <v>2407</v>
      </c>
      <c r="G285">
        <v>1</v>
      </c>
      <c r="H285">
        <v>20</v>
      </c>
      <c r="I285">
        <v>18</v>
      </c>
      <c r="J285">
        <v>18</v>
      </c>
      <c r="K285">
        <v>6.97</v>
      </c>
      <c r="L285">
        <v>0</v>
      </c>
    </row>
    <row r="286" spans="1:12">
      <c r="A286">
        <v>802</v>
      </c>
      <c r="B286" s="63" t="s">
        <v>2384</v>
      </c>
      <c r="C286" s="63" t="s">
        <v>2395</v>
      </c>
      <c r="D286" s="63" t="s">
        <v>261</v>
      </c>
      <c r="E286" s="63" t="s">
        <v>299</v>
      </c>
      <c r="F286" s="63" t="s">
        <v>2408</v>
      </c>
      <c r="G286">
        <v>1</v>
      </c>
      <c r="H286">
        <v>20</v>
      </c>
      <c r="I286">
        <v>13</v>
      </c>
      <c r="J286">
        <v>13</v>
      </c>
      <c r="K286">
        <v>6.95</v>
      </c>
      <c r="L286">
        <v>0</v>
      </c>
    </row>
    <row r="287" spans="1:12">
      <c r="A287">
        <v>802</v>
      </c>
      <c r="B287" s="63" t="s">
        <v>2384</v>
      </c>
      <c r="C287" s="63" t="s">
        <v>2395</v>
      </c>
      <c r="D287" s="63" t="s">
        <v>261</v>
      </c>
      <c r="E287" s="63" t="s">
        <v>299</v>
      </c>
      <c r="F287" s="63" t="s">
        <v>2409</v>
      </c>
      <c r="G287">
        <v>1</v>
      </c>
      <c r="H287">
        <v>20</v>
      </c>
      <c r="I287">
        <v>15</v>
      </c>
      <c r="J287">
        <v>15</v>
      </c>
      <c r="K287">
        <v>6.97</v>
      </c>
      <c r="L287">
        <v>0</v>
      </c>
    </row>
    <row r="288" spans="1:12">
      <c r="A288">
        <v>802</v>
      </c>
      <c r="B288" s="63" t="s">
        <v>2410</v>
      </c>
      <c r="C288" s="63" t="s">
        <v>2411</v>
      </c>
      <c r="D288" s="63" t="s">
        <v>261</v>
      </c>
      <c r="E288" s="63" t="s">
        <v>299</v>
      </c>
      <c r="F288" s="63" t="s">
        <v>2412</v>
      </c>
      <c r="G288">
        <v>1</v>
      </c>
      <c r="H288">
        <v>1</v>
      </c>
      <c r="I288">
        <v>1</v>
      </c>
      <c r="J288">
        <v>1</v>
      </c>
      <c r="K288">
        <v>103.12</v>
      </c>
      <c r="L288">
        <v>4</v>
      </c>
    </row>
    <row r="289" spans="1:12">
      <c r="A289">
        <v>802</v>
      </c>
      <c r="B289" s="63" t="s">
        <v>2410</v>
      </c>
      <c r="C289" s="63" t="s">
        <v>2411</v>
      </c>
      <c r="D289" s="63" t="s">
        <v>261</v>
      </c>
      <c r="E289" s="63" t="s">
        <v>299</v>
      </c>
      <c r="F289" s="63" t="s">
        <v>2413</v>
      </c>
      <c r="G289">
        <v>1</v>
      </c>
      <c r="H289">
        <v>20</v>
      </c>
      <c r="I289">
        <v>20</v>
      </c>
      <c r="J289">
        <v>20</v>
      </c>
      <c r="K289">
        <v>103.12</v>
      </c>
      <c r="L289">
        <v>4</v>
      </c>
    </row>
    <row r="290" spans="1:12">
      <c r="A290">
        <v>802</v>
      </c>
      <c r="B290" s="63" t="s">
        <v>2410</v>
      </c>
      <c r="C290" s="63" t="s">
        <v>2411</v>
      </c>
      <c r="D290" s="63" t="s">
        <v>261</v>
      </c>
      <c r="E290" s="63" t="s">
        <v>299</v>
      </c>
      <c r="F290" s="63" t="s">
        <v>2414</v>
      </c>
      <c r="G290">
        <v>1</v>
      </c>
      <c r="H290">
        <v>20</v>
      </c>
      <c r="I290">
        <v>20</v>
      </c>
      <c r="J290">
        <v>20</v>
      </c>
      <c r="K290">
        <v>103.12</v>
      </c>
      <c r="L290">
        <v>4</v>
      </c>
    </row>
    <row r="291" spans="1:12">
      <c r="A291">
        <v>802</v>
      </c>
      <c r="B291" s="63" t="s">
        <v>2410</v>
      </c>
      <c r="C291" s="63" t="s">
        <v>2411</v>
      </c>
      <c r="D291" s="63" t="s">
        <v>261</v>
      </c>
      <c r="E291" s="63" t="s">
        <v>299</v>
      </c>
      <c r="F291" s="63" t="s">
        <v>2415</v>
      </c>
      <c r="G291">
        <v>1</v>
      </c>
      <c r="H291">
        <v>20</v>
      </c>
      <c r="I291">
        <v>20</v>
      </c>
      <c r="J291">
        <v>20</v>
      </c>
      <c r="K291">
        <v>103.12</v>
      </c>
      <c r="L291">
        <v>4</v>
      </c>
    </row>
    <row r="292" spans="1:12">
      <c r="A292">
        <v>802</v>
      </c>
      <c r="B292" s="63" t="s">
        <v>2410</v>
      </c>
      <c r="C292" s="63" t="s">
        <v>2411</v>
      </c>
      <c r="D292" s="63" t="s">
        <v>261</v>
      </c>
      <c r="E292" s="63" t="s">
        <v>299</v>
      </c>
      <c r="F292" s="63" t="s">
        <v>2416</v>
      </c>
      <c r="G292">
        <v>1</v>
      </c>
      <c r="H292">
        <v>20</v>
      </c>
      <c r="I292">
        <v>20</v>
      </c>
      <c r="J292">
        <v>20</v>
      </c>
      <c r="K292">
        <v>103.12</v>
      </c>
      <c r="L292">
        <v>4</v>
      </c>
    </row>
    <row r="293" spans="1:12">
      <c r="A293">
        <v>802</v>
      </c>
      <c r="B293" s="63" t="s">
        <v>2410</v>
      </c>
      <c r="C293" s="63" t="s">
        <v>2411</v>
      </c>
      <c r="D293" s="63" t="s">
        <v>261</v>
      </c>
      <c r="E293" s="63" t="s">
        <v>299</v>
      </c>
      <c r="F293" s="63" t="s">
        <v>2417</v>
      </c>
      <c r="G293">
        <v>1</v>
      </c>
      <c r="H293">
        <v>20</v>
      </c>
      <c r="I293">
        <v>20</v>
      </c>
      <c r="J293">
        <v>20</v>
      </c>
      <c r="K293">
        <v>103.12</v>
      </c>
      <c r="L293">
        <v>4</v>
      </c>
    </row>
    <row r="294" spans="1:12">
      <c r="A294">
        <v>802</v>
      </c>
      <c r="B294" s="63" t="s">
        <v>2410</v>
      </c>
      <c r="C294" s="63" t="s">
        <v>2411</v>
      </c>
      <c r="D294" s="63" t="s">
        <v>261</v>
      </c>
      <c r="E294" s="63" t="s">
        <v>299</v>
      </c>
      <c r="F294" s="63" t="s">
        <v>2418</v>
      </c>
      <c r="G294">
        <v>1</v>
      </c>
      <c r="H294">
        <v>19</v>
      </c>
      <c r="I294">
        <v>19</v>
      </c>
      <c r="J294">
        <v>19</v>
      </c>
      <c r="K294">
        <v>103.12</v>
      </c>
      <c r="L294">
        <v>4</v>
      </c>
    </row>
    <row r="295" spans="1:12">
      <c r="A295">
        <v>802</v>
      </c>
      <c r="B295" s="63" t="s">
        <v>2410</v>
      </c>
      <c r="C295" s="63" t="s">
        <v>2411</v>
      </c>
      <c r="D295" s="63" t="s">
        <v>261</v>
      </c>
      <c r="E295" s="63" t="s">
        <v>299</v>
      </c>
      <c r="F295" s="63" t="s">
        <v>2419</v>
      </c>
      <c r="G295">
        <v>1</v>
      </c>
      <c r="H295">
        <v>20</v>
      </c>
      <c r="I295">
        <v>20</v>
      </c>
      <c r="J295">
        <v>20</v>
      </c>
      <c r="K295">
        <v>103.12</v>
      </c>
      <c r="L295">
        <v>4</v>
      </c>
    </row>
    <row r="296" spans="1:12">
      <c r="A296">
        <v>802</v>
      </c>
      <c r="B296" s="63" t="s">
        <v>2410</v>
      </c>
      <c r="C296" s="63" t="s">
        <v>2411</v>
      </c>
      <c r="D296" s="63" t="s">
        <v>261</v>
      </c>
      <c r="E296" s="63" t="s">
        <v>299</v>
      </c>
      <c r="F296" s="63" t="s">
        <v>2420</v>
      </c>
      <c r="G296">
        <v>1</v>
      </c>
      <c r="H296">
        <v>20</v>
      </c>
      <c r="I296">
        <v>20</v>
      </c>
      <c r="J296">
        <v>20</v>
      </c>
      <c r="K296">
        <v>103.12</v>
      </c>
      <c r="L296">
        <v>4</v>
      </c>
    </row>
    <row r="297" spans="1:12">
      <c r="A297">
        <v>802</v>
      </c>
      <c r="B297" s="63" t="s">
        <v>2421</v>
      </c>
      <c r="C297" s="63" t="s">
        <v>2422</v>
      </c>
      <c r="D297" s="63" t="s">
        <v>261</v>
      </c>
      <c r="E297" s="63" t="s">
        <v>299</v>
      </c>
      <c r="F297" s="63" t="s">
        <v>2423</v>
      </c>
      <c r="G297">
        <v>1</v>
      </c>
      <c r="H297">
        <v>20</v>
      </c>
      <c r="I297">
        <v>20</v>
      </c>
      <c r="J297">
        <v>20</v>
      </c>
      <c r="K297">
        <v>103.1</v>
      </c>
      <c r="L297">
        <v>4</v>
      </c>
    </row>
    <row r="298" spans="1:12">
      <c r="A298">
        <v>802</v>
      </c>
      <c r="B298" s="63" t="s">
        <v>2421</v>
      </c>
      <c r="C298" s="63" t="s">
        <v>2422</v>
      </c>
      <c r="D298" s="63" t="s">
        <v>261</v>
      </c>
      <c r="E298" s="63" t="s">
        <v>299</v>
      </c>
      <c r="F298" s="63" t="s">
        <v>2424</v>
      </c>
      <c r="G298">
        <v>1</v>
      </c>
      <c r="H298">
        <v>20</v>
      </c>
      <c r="I298">
        <v>20</v>
      </c>
      <c r="J298">
        <v>20</v>
      </c>
      <c r="K298">
        <v>103.1</v>
      </c>
      <c r="L298">
        <v>4</v>
      </c>
    </row>
    <row r="299" spans="1:12">
      <c r="A299">
        <v>802</v>
      </c>
      <c r="B299" s="63" t="s">
        <v>2421</v>
      </c>
      <c r="C299" s="63" t="s">
        <v>2422</v>
      </c>
      <c r="D299" s="63" t="s">
        <v>261</v>
      </c>
      <c r="E299" s="63" t="s">
        <v>299</v>
      </c>
      <c r="F299" s="63" t="s">
        <v>2425</v>
      </c>
      <c r="G299">
        <v>1</v>
      </c>
      <c r="H299">
        <v>20</v>
      </c>
      <c r="I299">
        <v>20</v>
      </c>
      <c r="J299">
        <v>20</v>
      </c>
      <c r="K299">
        <v>103.1</v>
      </c>
      <c r="L299">
        <v>4</v>
      </c>
    </row>
    <row r="300" spans="1:12">
      <c r="A300">
        <v>802</v>
      </c>
      <c r="B300" s="63" t="s">
        <v>2426</v>
      </c>
      <c r="C300" s="63" t="s">
        <v>2427</v>
      </c>
      <c r="D300" s="63" t="s">
        <v>261</v>
      </c>
      <c r="E300" s="63" t="s">
        <v>299</v>
      </c>
      <c r="F300" s="63" t="s">
        <v>2428</v>
      </c>
      <c r="G300">
        <v>1</v>
      </c>
      <c r="H300">
        <v>20</v>
      </c>
      <c r="I300">
        <v>18</v>
      </c>
      <c r="J300">
        <v>18</v>
      </c>
      <c r="K300">
        <v>103.1</v>
      </c>
      <c r="L300">
        <v>4</v>
      </c>
    </row>
    <row r="301" spans="1:12">
      <c r="A301">
        <v>802</v>
      </c>
      <c r="B301" s="63" t="s">
        <v>2426</v>
      </c>
      <c r="C301" s="63" t="s">
        <v>2427</v>
      </c>
      <c r="D301" s="63" t="s">
        <v>261</v>
      </c>
      <c r="E301" s="63" t="s">
        <v>299</v>
      </c>
      <c r="F301" s="63" t="s">
        <v>2429</v>
      </c>
      <c r="G301">
        <v>1</v>
      </c>
      <c r="H301">
        <v>17</v>
      </c>
      <c r="I301">
        <v>17</v>
      </c>
      <c r="J301">
        <v>17</v>
      </c>
      <c r="K301">
        <v>103.1</v>
      </c>
      <c r="L301">
        <v>4</v>
      </c>
    </row>
    <row r="302" spans="1:12">
      <c r="A302">
        <v>802</v>
      </c>
      <c r="B302" s="63" t="s">
        <v>312</v>
      </c>
      <c r="C302" s="63" t="s">
        <v>346</v>
      </c>
      <c r="D302" s="63" t="s">
        <v>269</v>
      </c>
      <c r="E302" s="63" t="s">
        <v>326</v>
      </c>
      <c r="F302" s="63" t="s">
        <v>2430</v>
      </c>
      <c r="G302">
        <v>1</v>
      </c>
      <c r="H302">
        <v>8</v>
      </c>
      <c r="I302">
        <v>8</v>
      </c>
      <c r="J302">
        <v>8</v>
      </c>
      <c r="K302">
        <v>880.28</v>
      </c>
      <c r="L302">
        <v>175</v>
      </c>
    </row>
    <row r="303" spans="1:12">
      <c r="A303">
        <v>802</v>
      </c>
      <c r="B303" s="63" t="s">
        <v>937</v>
      </c>
      <c r="C303" s="63" t="s">
        <v>1631</v>
      </c>
      <c r="D303" s="63" t="s">
        <v>261</v>
      </c>
      <c r="E303" s="63" t="s">
        <v>302</v>
      </c>
      <c r="F303" s="63" t="s">
        <v>2431</v>
      </c>
      <c r="G303">
        <v>1</v>
      </c>
      <c r="H303">
        <v>20</v>
      </c>
      <c r="I303">
        <v>20</v>
      </c>
      <c r="J303">
        <v>20</v>
      </c>
      <c r="K303">
        <v>323.72000000000003</v>
      </c>
      <c r="L303">
        <v>6</v>
      </c>
    </row>
    <row r="304" spans="1:12">
      <c r="A304">
        <v>802</v>
      </c>
      <c r="B304" s="63" t="s">
        <v>937</v>
      </c>
      <c r="C304" s="63" t="s">
        <v>1631</v>
      </c>
      <c r="D304" s="63" t="s">
        <v>261</v>
      </c>
      <c r="E304" s="63" t="s">
        <v>286</v>
      </c>
      <c r="F304" s="63" t="s">
        <v>2432</v>
      </c>
      <c r="G304">
        <v>1</v>
      </c>
      <c r="H304">
        <v>20</v>
      </c>
      <c r="I304">
        <v>20</v>
      </c>
      <c r="J304">
        <v>20</v>
      </c>
      <c r="K304">
        <v>738.67</v>
      </c>
      <c r="L304">
        <v>6</v>
      </c>
    </row>
    <row r="305" spans="1:12">
      <c r="A305">
        <v>802</v>
      </c>
      <c r="B305" s="63" t="s">
        <v>273</v>
      </c>
      <c r="C305" s="63" t="s">
        <v>1119</v>
      </c>
      <c r="D305" s="63" t="s">
        <v>261</v>
      </c>
      <c r="E305" s="63" t="s">
        <v>302</v>
      </c>
      <c r="F305" s="63" t="s">
        <v>2433</v>
      </c>
      <c r="G305">
        <v>1</v>
      </c>
      <c r="H305">
        <v>20</v>
      </c>
      <c r="I305">
        <v>20</v>
      </c>
      <c r="J305">
        <v>20</v>
      </c>
      <c r="K305">
        <v>317.58</v>
      </c>
      <c r="L305">
        <v>6</v>
      </c>
    </row>
    <row r="306" spans="1:12">
      <c r="A306">
        <v>802</v>
      </c>
      <c r="B306" s="63" t="s">
        <v>588</v>
      </c>
      <c r="C306" s="63" t="s">
        <v>589</v>
      </c>
      <c r="D306" s="63" t="s">
        <v>261</v>
      </c>
      <c r="E306" s="63" t="s">
        <v>299</v>
      </c>
      <c r="F306" s="63" t="s">
        <v>2434</v>
      </c>
      <c r="G306">
        <v>1</v>
      </c>
      <c r="H306">
        <v>20</v>
      </c>
      <c r="I306">
        <v>20</v>
      </c>
      <c r="J306">
        <v>20</v>
      </c>
      <c r="K306">
        <v>788.73</v>
      </c>
      <c r="L306">
        <v>33</v>
      </c>
    </row>
    <row r="307" spans="1:12">
      <c r="A307">
        <v>802</v>
      </c>
      <c r="B307" s="63" t="s">
        <v>588</v>
      </c>
      <c r="C307" s="63" t="s">
        <v>589</v>
      </c>
      <c r="D307" s="63" t="s">
        <v>261</v>
      </c>
      <c r="E307" s="63" t="s">
        <v>299</v>
      </c>
      <c r="F307" s="63" t="s">
        <v>2435</v>
      </c>
      <c r="G307">
        <v>1</v>
      </c>
      <c r="H307">
        <v>20</v>
      </c>
      <c r="I307">
        <v>20</v>
      </c>
      <c r="J307">
        <v>20</v>
      </c>
      <c r="K307">
        <v>799.17</v>
      </c>
      <c r="L307">
        <v>38</v>
      </c>
    </row>
    <row r="308" spans="1:12">
      <c r="A308">
        <v>802</v>
      </c>
      <c r="B308" s="63" t="s">
        <v>588</v>
      </c>
      <c r="C308" s="63" t="s">
        <v>589</v>
      </c>
      <c r="D308" s="63" t="s">
        <v>261</v>
      </c>
      <c r="E308" s="63" t="s">
        <v>299</v>
      </c>
      <c r="F308" s="63" t="s">
        <v>1747</v>
      </c>
      <c r="G308">
        <v>1</v>
      </c>
      <c r="H308">
        <v>20</v>
      </c>
      <c r="I308">
        <v>20</v>
      </c>
      <c r="J308">
        <v>20</v>
      </c>
      <c r="K308">
        <v>798.9</v>
      </c>
      <c r="L308">
        <v>39</v>
      </c>
    </row>
    <row r="309" spans="1:12">
      <c r="A309">
        <v>802</v>
      </c>
      <c r="B309" s="63" t="s">
        <v>330</v>
      </c>
      <c r="C309" s="63" t="s">
        <v>331</v>
      </c>
      <c r="D309" s="63" t="s">
        <v>261</v>
      </c>
      <c r="E309" s="63" t="s">
        <v>302</v>
      </c>
      <c r="F309" s="63" t="s">
        <v>1621</v>
      </c>
      <c r="G309">
        <v>1</v>
      </c>
      <c r="H309">
        <v>1</v>
      </c>
      <c r="I309">
        <v>1</v>
      </c>
      <c r="J309">
        <v>1</v>
      </c>
      <c r="K309">
        <v>710.93</v>
      </c>
      <c r="L309">
        <v>19</v>
      </c>
    </row>
    <row r="310" spans="1:12">
      <c r="A310">
        <v>802</v>
      </c>
      <c r="B310" s="63" t="s">
        <v>330</v>
      </c>
      <c r="C310" s="63" t="s">
        <v>331</v>
      </c>
      <c r="D310" s="63" t="s">
        <v>261</v>
      </c>
      <c r="E310" s="63" t="s">
        <v>302</v>
      </c>
      <c r="F310" s="63" t="s">
        <v>2436</v>
      </c>
      <c r="G310">
        <v>1</v>
      </c>
      <c r="H310">
        <v>20</v>
      </c>
      <c r="I310">
        <v>20</v>
      </c>
      <c r="J310">
        <v>20</v>
      </c>
      <c r="K310">
        <v>443.33</v>
      </c>
      <c r="L310">
        <v>10</v>
      </c>
    </row>
    <row r="311" spans="1:12">
      <c r="A311">
        <v>802</v>
      </c>
      <c r="B311" s="63" t="s">
        <v>330</v>
      </c>
      <c r="C311" s="63" t="s">
        <v>331</v>
      </c>
      <c r="D311" s="63" t="s">
        <v>261</v>
      </c>
      <c r="E311" s="63" t="s">
        <v>302</v>
      </c>
      <c r="F311" s="63" t="s">
        <v>1632</v>
      </c>
      <c r="G311">
        <v>1</v>
      </c>
      <c r="H311">
        <v>20</v>
      </c>
      <c r="I311">
        <v>20</v>
      </c>
      <c r="J311">
        <v>20</v>
      </c>
      <c r="K311">
        <v>723.72</v>
      </c>
      <c r="L311">
        <v>25</v>
      </c>
    </row>
    <row r="312" spans="1:12">
      <c r="A312">
        <v>802</v>
      </c>
      <c r="B312" s="63" t="s">
        <v>330</v>
      </c>
      <c r="C312" s="63" t="s">
        <v>331</v>
      </c>
      <c r="D312" s="63" t="s">
        <v>261</v>
      </c>
      <c r="E312" s="63" t="s">
        <v>302</v>
      </c>
      <c r="F312" s="63" t="s">
        <v>2437</v>
      </c>
      <c r="G312">
        <v>1</v>
      </c>
      <c r="H312">
        <v>20</v>
      </c>
      <c r="I312">
        <v>20</v>
      </c>
      <c r="J312">
        <v>20</v>
      </c>
      <c r="K312">
        <v>440.22</v>
      </c>
      <c r="L312">
        <v>10</v>
      </c>
    </row>
    <row r="313" spans="1:12">
      <c r="A313">
        <v>802</v>
      </c>
      <c r="B313" s="63" t="s">
        <v>330</v>
      </c>
      <c r="C313" s="63" t="s">
        <v>331</v>
      </c>
      <c r="D313" s="63" t="s">
        <v>261</v>
      </c>
      <c r="E313" s="63" t="s">
        <v>302</v>
      </c>
      <c r="F313" s="63" t="s">
        <v>1936</v>
      </c>
      <c r="G313">
        <v>1</v>
      </c>
      <c r="H313">
        <v>13</v>
      </c>
      <c r="I313">
        <v>13</v>
      </c>
      <c r="J313">
        <v>13</v>
      </c>
      <c r="K313">
        <v>892.58</v>
      </c>
      <c r="L313">
        <v>11</v>
      </c>
    </row>
    <row r="314" spans="1:12">
      <c r="A314">
        <v>802</v>
      </c>
      <c r="B314" s="63" t="s">
        <v>330</v>
      </c>
      <c r="C314" s="63" t="s">
        <v>331</v>
      </c>
      <c r="D314" s="63" t="s">
        <v>261</v>
      </c>
      <c r="E314" s="63" t="s">
        <v>302</v>
      </c>
      <c r="F314" s="63" t="s">
        <v>1746</v>
      </c>
      <c r="G314">
        <v>1</v>
      </c>
      <c r="H314">
        <v>20</v>
      </c>
      <c r="I314">
        <v>20</v>
      </c>
      <c r="J314">
        <v>20</v>
      </c>
      <c r="K314">
        <v>441.28</v>
      </c>
      <c r="L314">
        <v>10</v>
      </c>
    </row>
    <row r="315" spans="1:12">
      <c r="A315">
        <v>802</v>
      </c>
      <c r="B315" s="63" t="s">
        <v>330</v>
      </c>
      <c r="C315" s="63" t="s">
        <v>331</v>
      </c>
      <c r="D315" s="63" t="s">
        <v>261</v>
      </c>
      <c r="E315" s="63" t="s">
        <v>302</v>
      </c>
      <c r="F315" s="63" t="s">
        <v>1634</v>
      </c>
      <c r="G315">
        <v>1</v>
      </c>
      <c r="H315">
        <v>20</v>
      </c>
      <c r="I315">
        <v>20</v>
      </c>
      <c r="J315">
        <v>20</v>
      </c>
      <c r="K315">
        <v>722.13</v>
      </c>
      <c r="L315">
        <v>25</v>
      </c>
    </row>
    <row r="316" spans="1:12">
      <c r="A316">
        <v>802</v>
      </c>
      <c r="B316" s="63" t="s">
        <v>330</v>
      </c>
      <c r="C316" s="63" t="s">
        <v>331</v>
      </c>
      <c r="D316" s="63" t="s">
        <v>261</v>
      </c>
      <c r="E316" s="63" t="s">
        <v>302</v>
      </c>
      <c r="F316" s="63" t="s">
        <v>2438</v>
      </c>
      <c r="G316">
        <v>1</v>
      </c>
      <c r="H316">
        <v>20</v>
      </c>
      <c r="I316">
        <v>20</v>
      </c>
      <c r="J316">
        <v>20</v>
      </c>
      <c r="K316">
        <v>332.72</v>
      </c>
      <c r="L316">
        <v>6</v>
      </c>
    </row>
    <row r="317" spans="1:12">
      <c r="A317">
        <v>802</v>
      </c>
      <c r="B317" s="63" t="s">
        <v>330</v>
      </c>
      <c r="C317" s="63" t="s">
        <v>331</v>
      </c>
      <c r="D317" s="63" t="s">
        <v>261</v>
      </c>
      <c r="E317" s="63" t="s">
        <v>302</v>
      </c>
      <c r="F317" s="63" t="s">
        <v>2439</v>
      </c>
      <c r="G317">
        <v>1</v>
      </c>
      <c r="H317">
        <v>20</v>
      </c>
      <c r="I317">
        <v>20</v>
      </c>
      <c r="J317">
        <v>20</v>
      </c>
      <c r="K317">
        <v>442.5</v>
      </c>
      <c r="L317">
        <v>10</v>
      </c>
    </row>
    <row r="318" spans="1:12">
      <c r="A318">
        <v>802</v>
      </c>
      <c r="B318" s="63" t="s">
        <v>330</v>
      </c>
      <c r="C318" s="63" t="s">
        <v>331</v>
      </c>
      <c r="D318" s="63" t="s">
        <v>261</v>
      </c>
      <c r="E318" s="63" t="s">
        <v>302</v>
      </c>
      <c r="F318" s="63" t="s">
        <v>2440</v>
      </c>
      <c r="G318">
        <v>1</v>
      </c>
      <c r="H318">
        <v>20</v>
      </c>
      <c r="I318">
        <v>20</v>
      </c>
      <c r="J318">
        <v>20</v>
      </c>
      <c r="K318">
        <v>442.22</v>
      </c>
      <c r="L318">
        <v>10</v>
      </c>
    </row>
    <row r="319" spans="1:12">
      <c r="A319">
        <v>802</v>
      </c>
      <c r="B319" s="63" t="s">
        <v>330</v>
      </c>
      <c r="C319" s="63" t="s">
        <v>331</v>
      </c>
      <c r="D319" s="63" t="s">
        <v>261</v>
      </c>
      <c r="E319" s="63" t="s">
        <v>302</v>
      </c>
      <c r="F319" s="63" t="s">
        <v>1635</v>
      </c>
      <c r="G319">
        <v>1</v>
      </c>
      <c r="H319">
        <v>20</v>
      </c>
      <c r="I319">
        <v>20</v>
      </c>
      <c r="J319">
        <v>20</v>
      </c>
      <c r="K319">
        <v>721.17</v>
      </c>
      <c r="L319">
        <v>25</v>
      </c>
    </row>
    <row r="320" spans="1:12">
      <c r="A320">
        <v>802</v>
      </c>
      <c r="B320" s="63" t="s">
        <v>330</v>
      </c>
      <c r="C320" s="63" t="s">
        <v>331</v>
      </c>
      <c r="D320" s="63" t="s">
        <v>261</v>
      </c>
      <c r="E320" s="63" t="s">
        <v>302</v>
      </c>
      <c r="F320" s="63" t="s">
        <v>1713</v>
      </c>
      <c r="G320">
        <v>1</v>
      </c>
      <c r="H320">
        <v>20</v>
      </c>
      <c r="I320">
        <v>20</v>
      </c>
      <c r="J320">
        <v>20</v>
      </c>
      <c r="K320">
        <v>441.57</v>
      </c>
      <c r="L320">
        <v>10</v>
      </c>
    </row>
    <row r="321" spans="1:12">
      <c r="A321">
        <v>802</v>
      </c>
      <c r="B321" s="63" t="s">
        <v>330</v>
      </c>
      <c r="C321" s="63" t="s">
        <v>331</v>
      </c>
      <c r="D321" s="63" t="s">
        <v>261</v>
      </c>
      <c r="E321" s="63" t="s">
        <v>302</v>
      </c>
      <c r="F321" s="63" t="s">
        <v>2441</v>
      </c>
      <c r="G321">
        <v>1</v>
      </c>
      <c r="H321">
        <v>20</v>
      </c>
      <c r="I321">
        <v>20</v>
      </c>
      <c r="J321">
        <v>20</v>
      </c>
      <c r="K321">
        <v>613.08000000000004</v>
      </c>
      <c r="L321">
        <v>19</v>
      </c>
    </row>
    <row r="322" spans="1:12">
      <c r="A322">
        <v>802</v>
      </c>
      <c r="B322" s="63" t="s">
        <v>330</v>
      </c>
      <c r="C322" s="63" t="s">
        <v>331</v>
      </c>
      <c r="D322" s="63" t="s">
        <v>261</v>
      </c>
      <c r="E322" s="63" t="s">
        <v>302</v>
      </c>
      <c r="F322" s="63" t="s">
        <v>1749</v>
      </c>
      <c r="G322">
        <v>1</v>
      </c>
      <c r="H322">
        <v>20</v>
      </c>
      <c r="I322">
        <v>20</v>
      </c>
      <c r="J322">
        <v>20</v>
      </c>
      <c r="K322">
        <v>798.3</v>
      </c>
      <c r="L322">
        <v>19</v>
      </c>
    </row>
    <row r="323" spans="1:12">
      <c r="A323">
        <v>802</v>
      </c>
      <c r="B323" s="63" t="s">
        <v>330</v>
      </c>
      <c r="C323" s="63" t="s">
        <v>331</v>
      </c>
      <c r="D323" s="63" t="s">
        <v>261</v>
      </c>
      <c r="E323" s="63" t="s">
        <v>302</v>
      </c>
      <c r="F323" s="63" t="s">
        <v>2442</v>
      </c>
      <c r="G323">
        <v>1</v>
      </c>
      <c r="H323">
        <v>20</v>
      </c>
      <c r="I323">
        <v>20</v>
      </c>
      <c r="J323">
        <v>20</v>
      </c>
      <c r="K323">
        <v>326.60000000000002</v>
      </c>
      <c r="L323">
        <v>6</v>
      </c>
    </row>
    <row r="324" spans="1:12">
      <c r="A324">
        <v>802</v>
      </c>
      <c r="B324" s="63" t="s">
        <v>330</v>
      </c>
      <c r="C324" s="63" t="s">
        <v>331</v>
      </c>
      <c r="D324" s="63" t="s">
        <v>261</v>
      </c>
      <c r="E324" s="63" t="s">
        <v>302</v>
      </c>
      <c r="F324" s="63" t="s">
        <v>2443</v>
      </c>
      <c r="G324">
        <v>1</v>
      </c>
      <c r="H324">
        <v>20</v>
      </c>
      <c r="I324">
        <v>20</v>
      </c>
      <c r="J324">
        <v>20</v>
      </c>
      <c r="K324">
        <v>443.6</v>
      </c>
      <c r="L324">
        <v>10</v>
      </c>
    </row>
    <row r="325" spans="1:12">
      <c r="A325">
        <v>802</v>
      </c>
      <c r="B325" s="63" t="s">
        <v>330</v>
      </c>
      <c r="C325" s="63" t="s">
        <v>331</v>
      </c>
      <c r="D325" s="63" t="s">
        <v>261</v>
      </c>
      <c r="E325" s="63" t="s">
        <v>302</v>
      </c>
      <c r="F325" s="63" t="s">
        <v>1754</v>
      </c>
      <c r="G325">
        <v>1</v>
      </c>
      <c r="H325">
        <v>20</v>
      </c>
      <c r="I325">
        <v>20</v>
      </c>
      <c r="J325">
        <v>20</v>
      </c>
      <c r="K325">
        <v>726.22</v>
      </c>
      <c r="L325">
        <v>19</v>
      </c>
    </row>
    <row r="326" spans="1:12">
      <c r="A326">
        <v>802</v>
      </c>
      <c r="B326" s="63" t="s">
        <v>330</v>
      </c>
      <c r="C326" s="63" t="s">
        <v>331</v>
      </c>
      <c r="D326" s="63" t="s">
        <v>261</v>
      </c>
      <c r="E326" s="63" t="s">
        <v>302</v>
      </c>
      <c r="F326" s="63" t="s">
        <v>1768</v>
      </c>
      <c r="G326">
        <v>1</v>
      </c>
      <c r="H326">
        <v>18</v>
      </c>
      <c r="I326">
        <v>18</v>
      </c>
      <c r="J326">
        <v>18</v>
      </c>
      <c r="K326">
        <v>501.92</v>
      </c>
      <c r="L326">
        <v>11</v>
      </c>
    </row>
    <row r="327" spans="1:12">
      <c r="A327">
        <v>802</v>
      </c>
      <c r="B327" s="63" t="s">
        <v>558</v>
      </c>
      <c r="C327" s="63" t="s">
        <v>559</v>
      </c>
      <c r="D327" s="63" t="s">
        <v>261</v>
      </c>
      <c r="E327" s="63" t="s">
        <v>299</v>
      </c>
      <c r="F327" s="63" t="s">
        <v>1899</v>
      </c>
      <c r="G327">
        <v>1</v>
      </c>
      <c r="H327">
        <v>20</v>
      </c>
      <c r="I327">
        <v>20</v>
      </c>
      <c r="J327">
        <v>20</v>
      </c>
      <c r="K327">
        <v>816.73</v>
      </c>
      <c r="L327">
        <v>40</v>
      </c>
    </row>
    <row r="328" spans="1:12">
      <c r="A328">
        <v>802</v>
      </c>
      <c r="B328" s="63" t="s">
        <v>558</v>
      </c>
      <c r="C328" s="63" t="s">
        <v>559</v>
      </c>
      <c r="D328" s="63" t="s">
        <v>261</v>
      </c>
      <c r="E328" s="63" t="s">
        <v>299</v>
      </c>
      <c r="F328" s="63" t="s">
        <v>998</v>
      </c>
      <c r="G328">
        <v>1</v>
      </c>
      <c r="H328">
        <v>19</v>
      </c>
      <c r="I328">
        <v>19</v>
      </c>
      <c r="J328">
        <v>19</v>
      </c>
      <c r="K328">
        <v>1012.22</v>
      </c>
      <c r="L328">
        <v>46</v>
      </c>
    </row>
    <row r="329" spans="1:12">
      <c r="A329">
        <v>802</v>
      </c>
      <c r="B329" s="63" t="s">
        <v>558</v>
      </c>
      <c r="C329" s="63" t="s">
        <v>559</v>
      </c>
      <c r="D329" s="63" t="s">
        <v>261</v>
      </c>
      <c r="E329" s="63" t="s">
        <v>299</v>
      </c>
      <c r="F329" s="63" t="s">
        <v>1901</v>
      </c>
      <c r="G329">
        <v>1</v>
      </c>
      <c r="H329">
        <v>20</v>
      </c>
      <c r="I329">
        <v>20</v>
      </c>
      <c r="J329">
        <v>20</v>
      </c>
      <c r="K329">
        <v>815.23</v>
      </c>
      <c r="L329">
        <v>35</v>
      </c>
    </row>
    <row r="330" spans="1:12">
      <c r="A330">
        <v>802</v>
      </c>
      <c r="B330" s="63" t="s">
        <v>558</v>
      </c>
      <c r="C330" s="63" t="s">
        <v>559</v>
      </c>
      <c r="D330" s="63" t="s">
        <v>261</v>
      </c>
      <c r="E330" s="63" t="s">
        <v>299</v>
      </c>
      <c r="F330" s="63" t="s">
        <v>1903</v>
      </c>
      <c r="G330">
        <v>1</v>
      </c>
      <c r="H330">
        <v>20</v>
      </c>
      <c r="I330">
        <v>20</v>
      </c>
      <c r="J330">
        <v>20</v>
      </c>
      <c r="K330">
        <v>892.57</v>
      </c>
      <c r="L330">
        <v>170</v>
      </c>
    </row>
    <row r="331" spans="1:12">
      <c r="A331">
        <v>802</v>
      </c>
      <c r="B331" s="63" t="s">
        <v>558</v>
      </c>
      <c r="C331" s="63" t="s">
        <v>559</v>
      </c>
      <c r="D331" s="63" t="s">
        <v>261</v>
      </c>
      <c r="E331" s="63" t="s">
        <v>299</v>
      </c>
      <c r="F331" s="63" t="s">
        <v>2444</v>
      </c>
      <c r="G331">
        <v>1</v>
      </c>
      <c r="H331">
        <v>20</v>
      </c>
      <c r="I331">
        <v>20</v>
      </c>
      <c r="J331">
        <v>20</v>
      </c>
      <c r="K331">
        <v>1121.45</v>
      </c>
      <c r="L331">
        <v>51</v>
      </c>
    </row>
    <row r="332" spans="1:12">
      <c r="A332">
        <v>802</v>
      </c>
      <c r="B332" s="63" t="s">
        <v>558</v>
      </c>
      <c r="C332" s="63" t="s">
        <v>559</v>
      </c>
      <c r="D332" s="63" t="s">
        <v>261</v>
      </c>
      <c r="E332" s="63" t="s">
        <v>299</v>
      </c>
      <c r="F332" s="63" t="s">
        <v>1905</v>
      </c>
      <c r="G332">
        <v>1</v>
      </c>
      <c r="H332">
        <v>20</v>
      </c>
      <c r="I332">
        <v>20</v>
      </c>
      <c r="J332">
        <v>20</v>
      </c>
      <c r="K332">
        <v>893.42</v>
      </c>
      <c r="L332">
        <v>40</v>
      </c>
    </row>
    <row r="333" spans="1:12">
      <c r="A333">
        <v>802</v>
      </c>
      <c r="B333" s="63" t="s">
        <v>558</v>
      </c>
      <c r="C333" s="63" t="s">
        <v>559</v>
      </c>
      <c r="D333" s="63" t="s">
        <v>261</v>
      </c>
      <c r="E333" s="63" t="s">
        <v>299</v>
      </c>
      <c r="F333" s="63" t="s">
        <v>2445</v>
      </c>
      <c r="G333">
        <v>1</v>
      </c>
      <c r="H333">
        <v>20</v>
      </c>
      <c r="I333">
        <v>20</v>
      </c>
      <c r="J333">
        <v>20</v>
      </c>
      <c r="K333">
        <v>720.77</v>
      </c>
      <c r="L333">
        <v>211</v>
      </c>
    </row>
    <row r="334" spans="1:12">
      <c r="A334">
        <v>802</v>
      </c>
      <c r="B334" s="63" t="s">
        <v>558</v>
      </c>
      <c r="C334" s="63" t="s">
        <v>559</v>
      </c>
      <c r="D334" s="63" t="s">
        <v>261</v>
      </c>
      <c r="E334" s="63" t="s">
        <v>299</v>
      </c>
      <c r="F334" s="63" t="s">
        <v>2446</v>
      </c>
      <c r="G334">
        <v>1</v>
      </c>
      <c r="H334">
        <v>20</v>
      </c>
      <c r="I334">
        <v>20</v>
      </c>
      <c r="J334">
        <v>20</v>
      </c>
      <c r="K334">
        <v>550.98</v>
      </c>
      <c r="L334">
        <v>180</v>
      </c>
    </row>
    <row r="335" spans="1:12">
      <c r="A335">
        <v>802</v>
      </c>
      <c r="B335" s="63" t="s">
        <v>558</v>
      </c>
      <c r="C335" s="63" t="s">
        <v>559</v>
      </c>
      <c r="D335" s="63" t="s">
        <v>261</v>
      </c>
      <c r="E335" s="63" t="s">
        <v>299</v>
      </c>
      <c r="F335" s="63" t="s">
        <v>1896</v>
      </c>
      <c r="G335">
        <v>1</v>
      </c>
      <c r="H335">
        <v>20</v>
      </c>
      <c r="I335">
        <v>20</v>
      </c>
      <c r="J335">
        <v>20</v>
      </c>
      <c r="K335">
        <v>991.53</v>
      </c>
      <c r="L335">
        <v>44</v>
      </c>
    </row>
    <row r="336" spans="1:12">
      <c r="A336">
        <v>802</v>
      </c>
      <c r="B336" s="63" t="s">
        <v>558</v>
      </c>
      <c r="C336" s="63" t="s">
        <v>559</v>
      </c>
      <c r="D336" s="63" t="s">
        <v>261</v>
      </c>
      <c r="E336" s="63" t="s">
        <v>299</v>
      </c>
      <c r="F336" s="63" t="s">
        <v>1906</v>
      </c>
      <c r="G336">
        <v>1</v>
      </c>
      <c r="H336">
        <v>20</v>
      </c>
      <c r="I336">
        <v>20</v>
      </c>
      <c r="J336">
        <v>20</v>
      </c>
      <c r="K336">
        <v>816.47</v>
      </c>
      <c r="L336">
        <v>38</v>
      </c>
    </row>
    <row r="337" spans="1:12">
      <c r="A337">
        <v>802</v>
      </c>
      <c r="B337" s="63" t="s">
        <v>558</v>
      </c>
      <c r="C337" s="63" t="s">
        <v>559</v>
      </c>
      <c r="D337" s="63" t="s">
        <v>261</v>
      </c>
      <c r="E337" s="63" t="s">
        <v>299</v>
      </c>
      <c r="F337" s="63" t="s">
        <v>562</v>
      </c>
      <c r="G337">
        <v>1</v>
      </c>
      <c r="H337">
        <v>20</v>
      </c>
      <c r="I337">
        <v>20</v>
      </c>
      <c r="J337">
        <v>20</v>
      </c>
      <c r="K337">
        <v>600.63</v>
      </c>
      <c r="L337">
        <v>179</v>
      </c>
    </row>
    <row r="338" spans="1:12">
      <c r="A338">
        <v>802</v>
      </c>
      <c r="B338" s="63" t="s">
        <v>558</v>
      </c>
      <c r="C338" s="63" t="s">
        <v>559</v>
      </c>
      <c r="D338" s="63" t="s">
        <v>261</v>
      </c>
      <c r="E338" s="63" t="s">
        <v>299</v>
      </c>
      <c r="F338" s="63" t="s">
        <v>2447</v>
      </c>
      <c r="G338">
        <v>1</v>
      </c>
      <c r="H338">
        <v>20</v>
      </c>
      <c r="I338">
        <v>20</v>
      </c>
      <c r="J338">
        <v>20</v>
      </c>
      <c r="K338">
        <v>1002.28</v>
      </c>
      <c r="L338">
        <v>52</v>
      </c>
    </row>
    <row r="339" spans="1:12">
      <c r="A339">
        <v>802</v>
      </c>
      <c r="B339" s="63" t="s">
        <v>558</v>
      </c>
      <c r="C339" s="63" t="s">
        <v>559</v>
      </c>
      <c r="D339" s="63" t="s">
        <v>261</v>
      </c>
      <c r="E339" s="63" t="s">
        <v>299</v>
      </c>
      <c r="F339" s="63" t="s">
        <v>999</v>
      </c>
      <c r="G339">
        <v>1</v>
      </c>
      <c r="H339">
        <v>20</v>
      </c>
      <c r="I339">
        <v>20</v>
      </c>
      <c r="J339">
        <v>20</v>
      </c>
      <c r="K339">
        <v>814.97</v>
      </c>
      <c r="L339">
        <v>35</v>
      </c>
    </row>
    <row r="340" spans="1:12">
      <c r="A340">
        <v>802</v>
      </c>
      <c r="B340" s="63" t="s">
        <v>558</v>
      </c>
      <c r="C340" s="63" t="s">
        <v>559</v>
      </c>
      <c r="D340" s="63" t="s">
        <v>261</v>
      </c>
      <c r="E340" s="63" t="s">
        <v>299</v>
      </c>
      <c r="F340" s="63" t="s">
        <v>2448</v>
      </c>
      <c r="G340">
        <v>1</v>
      </c>
      <c r="H340">
        <v>20</v>
      </c>
      <c r="I340">
        <v>20</v>
      </c>
      <c r="J340">
        <v>20</v>
      </c>
      <c r="K340">
        <v>551.57000000000005</v>
      </c>
      <c r="L340">
        <v>30</v>
      </c>
    </row>
    <row r="341" spans="1:12">
      <c r="A341">
        <v>802</v>
      </c>
      <c r="B341" s="63" t="s">
        <v>558</v>
      </c>
      <c r="C341" s="63" t="s">
        <v>559</v>
      </c>
      <c r="D341" s="63" t="s">
        <v>261</v>
      </c>
      <c r="E341" s="63" t="s">
        <v>299</v>
      </c>
      <c r="F341" s="63" t="s">
        <v>1910</v>
      </c>
      <c r="G341">
        <v>1</v>
      </c>
      <c r="H341">
        <v>20</v>
      </c>
      <c r="I341">
        <v>20</v>
      </c>
      <c r="J341">
        <v>20</v>
      </c>
      <c r="K341">
        <v>816.17</v>
      </c>
      <c r="L341">
        <v>42</v>
      </c>
    </row>
    <row r="342" spans="1:12">
      <c r="A342">
        <v>802</v>
      </c>
      <c r="B342" s="63" t="s">
        <v>558</v>
      </c>
      <c r="C342" s="63" t="s">
        <v>559</v>
      </c>
      <c r="D342" s="63" t="s">
        <v>261</v>
      </c>
      <c r="E342" s="63" t="s">
        <v>299</v>
      </c>
      <c r="F342" s="63" t="s">
        <v>2449</v>
      </c>
      <c r="G342">
        <v>1</v>
      </c>
      <c r="H342">
        <v>20</v>
      </c>
      <c r="I342">
        <v>20</v>
      </c>
      <c r="J342">
        <v>20</v>
      </c>
      <c r="K342">
        <v>995.97</v>
      </c>
      <c r="L342">
        <v>44</v>
      </c>
    </row>
    <row r="343" spans="1:12">
      <c r="A343">
        <v>802</v>
      </c>
      <c r="B343" s="63" t="s">
        <v>558</v>
      </c>
      <c r="C343" s="63" t="s">
        <v>559</v>
      </c>
      <c r="D343" s="63" t="s">
        <v>261</v>
      </c>
      <c r="E343" s="63" t="s">
        <v>299</v>
      </c>
      <c r="F343" s="63" t="s">
        <v>1911</v>
      </c>
      <c r="G343">
        <v>1</v>
      </c>
      <c r="H343">
        <v>20</v>
      </c>
      <c r="I343">
        <v>20</v>
      </c>
      <c r="J343">
        <v>20</v>
      </c>
      <c r="K343">
        <v>893.15</v>
      </c>
      <c r="L343">
        <v>41</v>
      </c>
    </row>
    <row r="344" spans="1:12">
      <c r="A344">
        <v>802</v>
      </c>
      <c r="B344" s="63" t="s">
        <v>558</v>
      </c>
      <c r="C344" s="63" t="s">
        <v>559</v>
      </c>
      <c r="D344" s="63" t="s">
        <v>261</v>
      </c>
      <c r="E344" s="63" t="s">
        <v>299</v>
      </c>
      <c r="F344" s="63" t="s">
        <v>1912</v>
      </c>
      <c r="G344">
        <v>1</v>
      </c>
      <c r="H344">
        <v>20</v>
      </c>
      <c r="I344">
        <v>20</v>
      </c>
      <c r="J344">
        <v>20</v>
      </c>
      <c r="K344">
        <v>991.25</v>
      </c>
      <c r="L344">
        <v>43</v>
      </c>
    </row>
    <row r="345" spans="1:12">
      <c r="A345">
        <v>802</v>
      </c>
      <c r="B345" s="63" t="s">
        <v>558</v>
      </c>
      <c r="C345" s="63" t="s">
        <v>559</v>
      </c>
      <c r="D345" s="63" t="s">
        <v>261</v>
      </c>
      <c r="E345" s="63" t="s">
        <v>299</v>
      </c>
      <c r="F345" s="63" t="s">
        <v>2450</v>
      </c>
      <c r="G345">
        <v>1</v>
      </c>
      <c r="H345">
        <v>20</v>
      </c>
      <c r="I345">
        <v>20</v>
      </c>
      <c r="J345">
        <v>20</v>
      </c>
      <c r="K345">
        <v>722.25</v>
      </c>
      <c r="L345">
        <v>211</v>
      </c>
    </row>
    <row r="346" spans="1:12">
      <c r="A346">
        <v>802</v>
      </c>
      <c r="B346" s="63" t="s">
        <v>558</v>
      </c>
      <c r="C346" s="63" t="s">
        <v>559</v>
      </c>
      <c r="D346" s="63" t="s">
        <v>261</v>
      </c>
      <c r="E346" s="63" t="s">
        <v>299</v>
      </c>
      <c r="F346" s="63" t="s">
        <v>1914</v>
      </c>
      <c r="G346">
        <v>1</v>
      </c>
      <c r="H346">
        <v>20</v>
      </c>
      <c r="I346">
        <v>20</v>
      </c>
      <c r="J346">
        <v>20</v>
      </c>
      <c r="K346">
        <v>893.7</v>
      </c>
      <c r="L346">
        <v>43</v>
      </c>
    </row>
    <row r="347" spans="1:12">
      <c r="A347">
        <v>802</v>
      </c>
      <c r="B347" s="63" t="s">
        <v>558</v>
      </c>
      <c r="C347" s="63" t="s">
        <v>559</v>
      </c>
      <c r="D347" s="63" t="s">
        <v>261</v>
      </c>
      <c r="E347" s="63" t="s">
        <v>299</v>
      </c>
      <c r="F347" s="63" t="s">
        <v>2451</v>
      </c>
      <c r="G347">
        <v>1</v>
      </c>
      <c r="H347">
        <v>20</v>
      </c>
      <c r="I347">
        <v>20</v>
      </c>
      <c r="J347">
        <v>20</v>
      </c>
      <c r="K347">
        <v>551.28</v>
      </c>
      <c r="L347">
        <v>30</v>
      </c>
    </row>
    <row r="348" spans="1:12">
      <c r="A348">
        <v>802</v>
      </c>
      <c r="B348" s="63" t="s">
        <v>558</v>
      </c>
      <c r="C348" s="63" t="s">
        <v>559</v>
      </c>
      <c r="D348" s="63" t="s">
        <v>261</v>
      </c>
      <c r="E348" s="63" t="s">
        <v>299</v>
      </c>
      <c r="F348" s="63" t="s">
        <v>1915</v>
      </c>
      <c r="G348">
        <v>1</v>
      </c>
      <c r="H348">
        <v>20</v>
      </c>
      <c r="I348">
        <v>20</v>
      </c>
      <c r="J348">
        <v>20</v>
      </c>
      <c r="K348">
        <v>815.6</v>
      </c>
      <c r="L348">
        <v>38</v>
      </c>
    </row>
    <row r="349" spans="1:12">
      <c r="A349">
        <v>802</v>
      </c>
      <c r="B349" s="63" t="s">
        <v>558</v>
      </c>
      <c r="C349" s="63" t="s">
        <v>559</v>
      </c>
      <c r="D349" s="63" t="s">
        <v>261</v>
      </c>
      <c r="E349" s="63" t="s">
        <v>299</v>
      </c>
      <c r="F349" s="63" t="s">
        <v>2452</v>
      </c>
      <c r="G349">
        <v>1</v>
      </c>
      <c r="H349">
        <v>20</v>
      </c>
      <c r="I349">
        <v>20</v>
      </c>
      <c r="J349">
        <v>20</v>
      </c>
      <c r="K349">
        <v>549.03</v>
      </c>
      <c r="L349">
        <v>180</v>
      </c>
    </row>
    <row r="350" spans="1:12">
      <c r="A350">
        <v>802</v>
      </c>
      <c r="B350" s="63" t="s">
        <v>558</v>
      </c>
      <c r="C350" s="63" t="s">
        <v>559</v>
      </c>
      <c r="D350" s="63" t="s">
        <v>261</v>
      </c>
      <c r="E350" s="63" t="s">
        <v>299</v>
      </c>
      <c r="F350" s="63" t="s">
        <v>2453</v>
      </c>
      <c r="G350">
        <v>1</v>
      </c>
      <c r="H350">
        <v>20</v>
      </c>
      <c r="I350">
        <v>20</v>
      </c>
      <c r="J350">
        <v>20</v>
      </c>
      <c r="K350">
        <v>1002.57</v>
      </c>
      <c r="L350">
        <v>48</v>
      </c>
    </row>
    <row r="351" spans="1:12">
      <c r="A351">
        <v>802</v>
      </c>
      <c r="B351" s="63" t="s">
        <v>558</v>
      </c>
      <c r="C351" s="63" t="s">
        <v>559</v>
      </c>
      <c r="D351" s="63" t="s">
        <v>261</v>
      </c>
      <c r="E351" s="63" t="s">
        <v>299</v>
      </c>
      <c r="F351" s="63" t="s">
        <v>1766</v>
      </c>
      <c r="G351">
        <v>1</v>
      </c>
      <c r="H351">
        <v>20</v>
      </c>
      <c r="I351">
        <v>20</v>
      </c>
      <c r="J351">
        <v>20</v>
      </c>
      <c r="K351">
        <v>720.2</v>
      </c>
      <c r="L351">
        <v>211</v>
      </c>
    </row>
    <row r="352" spans="1:12">
      <c r="A352">
        <v>802</v>
      </c>
      <c r="B352" s="63" t="s">
        <v>558</v>
      </c>
      <c r="C352" s="63" t="s">
        <v>559</v>
      </c>
      <c r="D352" s="63" t="s">
        <v>261</v>
      </c>
      <c r="E352" s="63" t="s">
        <v>299</v>
      </c>
      <c r="F352" s="63" t="s">
        <v>780</v>
      </c>
      <c r="G352">
        <v>1</v>
      </c>
      <c r="H352">
        <v>20</v>
      </c>
      <c r="I352">
        <v>20</v>
      </c>
      <c r="J352">
        <v>20</v>
      </c>
      <c r="K352">
        <v>998.32</v>
      </c>
      <c r="L352">
        <v>42</v>
      </c>
    </row>
    <row r="353" spans="1:12">
      <c r="A353">
        <v>802</v>
      </c>
      <c r="B353" s="63" t="s">
        <v>558</v>
      </c>
      <c r="C353" s="63" t="s">
        <v>559</v>
      </c>
      <c r="D353" s="63" t="s">
        <v>261</v>
      </c>
      <c r="E353" s="63" t="s">
        <v>299</v>
      </c>
      <c r="F353" s="63" t="s">
        <v>2454</v>
      </c>
      <c r="G353">
        <v>1</v>
      </c>
      <c r="H353">
        <v>20</v>
      </c>
      <c r="I353">
        <v>20</v>
      </c>
      <c r="J353">
        <v>20</v>
      </c>
      <c r="K353">
        <v>996.23</v>
      </c>
      <c r="L353">
        <v>44</v>
      </c>
    </row>
    <row r="354" spans="1:12">
      <c r="A354">
        <v>802</v>
      </c>
      <c r="B354" s="63" t="s">
        <v>558</v>
      </c>
      <c r="C354" s="63" t="s">
        <v>559</v>
      </c>
      <c r="D354" s="63" t="s">
        <v>261</v>
      </c>
      <c r="E354" s="63" t="s">
        <v>299</v>
      </c>
      <c r="F354" s="63" t="s">
        <v>423</v>
      </c>
      <c r="G354">
        <v>1</v>
      </c>
      <c r="H354">
        <v>20</v>
      </c>
      <c r="I354">
        <v>20</v>
      </c>
      <c r="J354">
        <v>20</v>
      </c>
      <c r="K354">
        <v>1011.52</v>
      </c>
      <c r="L354">
        <v>54</v>
      </c>
    </row>
    <row r="355" spans="1:12">
      <c r="A355">
        <v>802</v>
      </c>
      <c r="B355" s="63" t="s">
        <v>558</v>
      </c>
      <c r="C355" s="63" t="s">
        <v>559</v>
      </c>
      <c r="D355" s="63" t="s">
        <v>261</v>
      </c>
      <c r="E355" s="63" t="s">
        <v>299</v>
      </c>
      <c r="F355" s="63" t="s">
        <v>2455</v>
      </c>
      <c r="G355">
        <v>1</v>
      </c>
      <c r="H355">
        <v>19</v>
      </c>
      <c r="I355">
        <v>19</v>
      </c>
      <c r="J355">
        <v>19</v>
      </c>
      <c r="K355">
        <v>1012.5</v>
      </c>
      <c r="L355">
        <v>47</v>
      </c>
    </row>
    <row r="356" spans="1:12">
      <c r="A356">
        <v>802</v>
      </c>
      <c r="B356" s="63" t="s">
        <v>558</v>
      </c>
      <c r="C356" s="63" t="s">
        <v>559</v>
      </c>
      <c r="D356" s="63" t="s">
        <v>261</v>
      </c>
      <c r="E356" s="63" t="s">
        <v>299</v>
      </c>
      <c r="F356" s="63" t="s">
        <v>2456</v>
      </c>
      <c r="G356">
        <v>1</v>
      </c>
      <c r="H356">
        <v>20</v>
      </c>
      <c r="I356">
        <v>20</v>
      </c>
      <c r="J356">
        <v>20</v>
      </c>
      <c r="K356">
        <v>722.8</v>
      </c>
      <c r="L356">
        <v>211</v>
      </c>
    </row>
    <row r="357" spans="1:12">
      <c r="A357">
        <v>802</v>
      </c>
      <c r="B357" s="63" t="s">
        <v>558</v>
      </c>
      <c r="C357" s="63" t="s">
        <v>559</v>
      </c>
      <c r="D357" s="63" t="s">
        <v>261</v>
      </c>
      <c r="E357" s="63" t="s">
        <v>299</v>
      </c>
      <c r="F357" s="63" t="s">
        <v>1494</v>
      </c>
      <c r="G357">
        <v>1</v>
      </c>
      <c r="H357">
        <v>20</v>
      </c>
      <c r="I357">
        <v>20</v>
      </c>
      <c r="J357">
        <v>20</v>
      </c>
      <c r="K357">
        <v>817.02</v>
      </c>
      <c r="L357">
        <v>40</v>
      </c>
    </row>
    <row r="358" spans="1:12">
      <c r="A358">
        <v>802</v>
      </c>
      <c r="B358" s="63" t="s">
        <v>558</v>
      </c>
      <c r="C358" s="63" t="s">
        <v>559</v>
      </c>
      <c r="D358" s="63" t="s">
        <v>261</v>
      </c>
      <c r="E358" s="63" t="s">
        <v>299</v>
      </c>
      <c r="F358" s="63" t="s">
        <v>2457</v>
      </c>
      <c r="G358">
        <v>1</v>
      </c>
      <c r="H358">
        <v>20</v>
      </c>
      <c r="I358">
        <v>20</v>
      </c>
      <c r="J358">
        <v>20</v>
      </c>
      <c r="K358">
        <v>722.53</v>
      </c>
      <c r="L358">
        <v>211</v>
      </c>
    </row>
    <row r="359" spans="1:12">
      <c r="A359">
        <v>802</v>
      </c>
      <c r="B359" s="63" t="s">
        <v>558</v>
      </c>
      <c r="C359" s="63" t="s">
        <v>559</v>
      </c>
      <c r="D359" s="63" t="s">
        <v>261</v>
      </c>
      <c r="E359" s="63" t="s">
        <v>299</v>
      </c>
      <c r="F359" s="63" t="s">
        <v>2458</v>
      </c>
      <c r="G359">
        <v>1</v>
      </c>
      <c r="H359">
        <v>20</v>
      </c>
      <c r="I359">
        <v>20</v>
      </c>
      <c r="J359">
        <v>20</v>
      </c>
      <c r="K359">
        <v>1172.82</v>
      </c>
      <c r="L359">
        <v>50</v>
      </c>
    </row>
    <row r="360" spans="1:12">
      <c r="A360">
        <v>802</v>
      </c>
      <c r="B360" s="63" t="s">
        <v>558</v>
      </c>
      <c r="C360" s="63" t="s">
        <v>559</v>
      </c>
      <c r="D360" s="63" t="s">
        <v>261</v>
      </c>
      <c r="E360" s="63" t="s">
        <v>299</v>
      </c>
      <c r="F360" s="63" t="s">
        <v>1926</v>
      </c>
      <c r="G360">
        <v>1</v>
      </c>
      <c r="H360">
        <v>20</v>
      </c>
      <c r="I360">
        <v>20</v>
      </c>
      <c r="J360">
        <v>20</v>
      </c>
      <c r="K360">
        <v>719.35</v>
      </c>
      <c r="L360">
        <v>211</v>
      </c>
    </row>
    <row r="361" spans="1:12">
      <c r="A361">
        <v>802</v>
      </c>
      <c r="B361" s="63" t="s">
        <v>558</v>
      </c>
      <c r="C361" s="63" t="s">
        <v>559</v>
      </c>
      <c r="D361" s="63" t="s">
        <v>261</v>
      </c>
      <c r="E361" s="63" t="s">
        <v>299</v>
      </c>
      <c r="F361" s="63" t="s">
        <v>1917</v>
      </c>
      <c r="G361">
        <v>1</v>
      </c>
      <c r="H361">
        <v>20</v>
      </c>
      <c r="I361">
        <v>20</v>
      </c>
      <c r="J361">
        <v>20</v>
      </c>
      <c r="K361">
        <v>815.88</v>
      </c>
      <c r="L361">
        <v>41</v>
      </c>
    </row>
    <row r="362" spans="1:12">
      <c r="A362">
        <v>802</v>
      </c>
      <c r="B362" s="63" t="s">
        <v>558</v>
      </c>
      <c r="C362" s="63" t="s">
        <v>559</v>
      </c>
      <c r="D362" s="63" t="s">
        <v>261</v>
      </c>
      <c r="E362" s="63" t="s">
        <v>299</v>
      </c>
      <c r="F362" s="63" t="s">
        <v>1598</v>
      </c>
      <c r="G362">
        <v>1</v>
      </c>
      <c r="H362">
        <v>20</v>
      </c>
      <c r="I362">
        <v>20</v>
      </c>
      <c r="J362">
        <v>20</v>
      </c>
      <c r="K362">
        <v>548.75</v>
      </c>
      <c r="L362">
        <v>180</v>
      </c>
    </row>
    <row r="363" spans="1:12">
      <c r="A363">
        <v>802</v>
      </c>
      <c r="B363" s="63" t="s">
        <v>558</v>
      </c>
      <c r="C363" s="63" t="s">
        <v>559</v>
      </c>
      <c r="D363" s="63" t="s">
        <v>261</v>
      </c>
      <c r="E363" s="63" t="s">
        <v>299</v>
      </c>
      <c r="F363" s="63" t="s">
        <v>2459</v>
      </c>
      <c r="G363">
        <v>1</v>
      </c>
      <c r="H363">
        <v>20</v>
      </c>
      <c r="I363">
        <v>20</v>
      </c>
      <c r="J363">
        <v>20</v>
      </c>
      <c r="K363">
        <v>1002.83</v>
      </c>
      <c r="L363">
        <v>48</v>
      </c>
    </row>
    <row r="364" spans="1:12">
      <c r="A364">
        <v>802</v>
      </c>
      <c r="B364" s="63" t="s">
        <v>274</v>
      </c>
      <c r="C364" s="63" t="s">
        <v>332</v>
      </c>
      <c r="D364" s="63" t="s">
        <v>261</v>
      </c>
      <c r="E364" s="63" t="s">
        <v>302</v>
      </c>
      <c r="F364" s="63" t="s">
        <v>1597</v>
      </c>
      <c r="G364">
        <v>1</v>
      </c>
      <c r="H364">
        <v>20</v>
      </c>
      <c r="I364">
        <v>20</v>
      </c>
      <c r="J364">
        <v>20</v>
      </c>
      <c r="K364">
        <v>748.48</v>
      </c>
      <c r="L364">
        <v>11</v>
      </c>
    </row>
    <row r="365" spans="1:12">
      <c r="A365">
        <v>802</v>
      </c>
      <c r="B365" s="63" t="s">
        <v>274</v>
      </c>
      <c r="C365" s="63" t="s">
        <v>332</v>
      </c>
      <c r="D365" s="63" t="s">
        <v>261</v>
      </c>
      <c r="E365" s="63" t="s">
        <v>302</v>
      </c>
      <c r="F365" s="63" t="s">
        <v>2460</v>
      </c>
      <c r="G365">
        <v>1</v>
      </c>
      <c r="H365">
        <v>20</v>
      </c>
      <c r="I365">
        <v>20</v>
      </c>
      <c r="J365">
        <v>20</v>
      </c>
      <c r="K365">
        <v>576.70000000000005</v>
      </c>
      <c r="L365">
        <v>11</v>
      </c>
    </row>
    <row r="366" spans="1:12">
      <c r="A366">
        <v>802</v>
      </c>
      <c r="B366" s="63" t="s">
        <v>274</v>
      </c>
      <c r="C366" s="63" t="s">
        <v>332</v>
      </c>
      <c r="D366" s="63" t="s">
        <v>261</v>
      </c>
      <c r="E366" s="63" t="s">
        <v>302</v>
      </c>
      <c r="F366" s="63" t="s">
        <v>1925</v>
      </c>
      <c r="G366">
        <v>1</v>
      </c>
      <c r="H366">
        <v>20</v>
      </c>
      <c r="I366">
        <v>20</v>
      </c>
      <c r="J366">
        <v>20</v>
      </c>
      <c r="K366">
        <v>581.07000000000005</v>
      </c>
      <c r="L366">
        <v>11</v>
      </c>
    </row>
    <row r="367" spans="1:12">
      <c r="A367">
        <v>802</v>
      </c>
      <c r="B367" s="63" t="s">
        <v>274</v>
      </c>
      <c r="C367" s="63" t="s">
        <v>332</v>
      </c>
      <c r="D367" s="63" t="s">
        <v>261</v>
      </c>
      <c r="E367" s="63" t="s">
        <v>302</v>
      </c>
      <c r="F367" s="63" t="s">
        <v>1748</v>
      </c>
      <c r="G367">
        <v>1</v>
      </c>
      <c r="H367">
        <v>20</v>
      </c>
      <c r="I367">
        <v>20</v>
      </c>
      <c r="J367">
        <v>20</v>
      </c>
      <c r="K367">
        <v>602.38</v>
      </c>
      <c r="L367">
        <v>11</v>
      </c>
    </row>
    <row r="368" spans="1:12">
      <c r="A368">
        <v>802</v>
      </c>
      <c r="B368" s="63" t="s">
        <v>274</v>
      </c>
      <c r="C368" s="63" t="s">
        <v>332</v>
      </c>
      <c r="D368" s="63" t="s">
        <v>261</v>
      </c>
      <c r="E368" s="63" t="s">
        <v>302</v>
      </c>
      <c r="F368" s="63" t="s">
        <v>2461</v>
      </c>
      <c r="G368">
        <v>1</v>
      </c>
      <c r="H368">
        <v>20</v>
      </c>
      <c r="I368">
        <v>20</v>
      </c>
      <c r="J368">
        <v>20</v>
      </c>
      <c r="K368">
        <v>533.78</v>
      </c>
      <c r="L368">
        <v>11</v>
      </c>
    </row>
    <row r="369" spans="1:12">
      <c r="A369">
        <v>802</v>
      </c>
      <c r="B369" s="63" t="s">
        <v>274</v>
      </c>
      <c r="C369" s="63" t="s">
        <v>332</v>
      </c>
      <c r="D369" s="63" t="s">
        <v>261</v>
      </c>
      <c r="E369" s="63" t="s">
        <v>302</v>
      </c>
      <c r="F369" s="63" t="s">
        <v>2462</v>
      </c>
      <c r="G369">
        <v>1</v>
      </c>
      <c r="H369">
        <v>20</v>
      </c>
      <c r="I369">
        <v>20</v>
      </c>
      <c r="J369">
        <v>20</v>
      </c>
      <c r="K369">
        <v>741.4</v>
      </c>
      <c r="L369">
        <v>11</v>
      </c>
    </row>
    <row r="370" spans="1:12">
      <c r="A370">
        <v>802</v>
      </c>
      <c r="B370" s="63" t="s">
        <v>274</v>
      </c>
      <c r="C370" s="63" t="s">
        <v>332</v>
      </c>
      <c r="D370" s="63" t="s">
        <v>261</v>
      </c>
      <c r="E370" s="63" t="s">
        <v>302</v>
      </c>
      <c r="F370" s="63" t="s">
        <v>1756</v>
      </c>
      <c r="G370">
        <v>1</v>
      </c>
      <c r="H370">
        <v>20</v>
      </c>
      <c r="I370">
        <v>20</v>
      </c>
      <c r="J370">
        <v>20</v>
      </c>
      <c r="K370">
        <v>602.1</v>
      </c>
      <c r="L370">
        <v>11</v>
      </c>
    </row>
    <row r="371" spans="1:12">
      <c r="A371">
        <v>921</v>
      </c>
      <c r="B371" s="63" t="s">
        <v>502</v>
      </c>
      <c r="C371" s="63" t="s">
        <v>2463</v>
      </c>
      <c r="D371" s="63" t="s">
        <v>365</v>
      </c>
      <c r="E371" s="63" t="s">
        <v>1151</v>
      </c>
      <c r="F371" s="63" t="s">
        <v>1633</v>
      </c>
      <c r="G371">
        <v>1</v>
      </c>
      <c r="H371">
        <v>20</v>
      </c>
      <c r="I371">
        <v>480</v>
      </c>
      <c r="J371">
        <v>480</v>
      </c>
      <c r="K371">
        <v>454.3</v>
      </c>
      <c r="L371">
        <v>18</v>
      </c>
    </row>
    <row r="372" spans="1:12">
      <c r="A372">
        <v>921</v>
      </c>
      <c r="B372" s="63" t="s">
        <v>502</v>
      </c>
      <c r="C372" s="63" t="s">
        <v>2463</v>
      </c>
      <c r="D372" s="63" t="s">
        <v>365</v>
      </c>
      <c r="E372" s="63" t="s">
        <v>272</v>
      </c>
      <c r="F372" s="63" t="s">
        <v>1066</v>
      </c>
      <c r="G372">
        <v>1</v>
      </c>
      <c r="H372">
        <v>20</v>
      </c>
      <c r="I372">
        <v>480</v>
      </c>
      <c r="J372">
        <v>480</v>
      </c>
      <c r="K372">
        <v>456.02</v>
      </c>
      <c r="L372">
        <v>19</v>
      </c>
    </row>
    <row r="373" spans="1:12">
      <c r="A373">
        <v>921</v>
      </c>
      <c r="B373" s="63" t="s">
        <v>502</v>
      </c>
      <c r="C373" s="63" t="s">
        <v>2463</v>
      </c>
      <c r="D373" s="63" t="s">
        <v>365</v>
      </c>
      <c r="E373" s="63" t="s">
        <v>272</v>
      </c>
      <c r="F373" s="63" t="s">
        <v>1636</v>
      </c>
      <c r="G373">
        <v>1</v>
      </c>
      <c r="H373">
        <v>20</v>
      </c>
      <c r="I373">
        <v>480</v>
      </c>
      <c r="J373">
        <v>480</v>
      </c>
      <c r="K373">
        <v>455.67</v>
      </c>
      <c r="L373">
        <v>18</v>
      </c>
    </row>
    <row r="374" spans="1:12">
      <c r="A374">
        <v>921</v>
      </c>
      <c r="B374" s="63" t="s">
        <v>502</v>
      </c>
      <c r="C374" s="63" t="s">
        <v>2463</v>
      </c>
      <c r="D374" s="63" t="s">
        <v>365</v>
      </c>
      <c r="E374" s="63" t="s">
        <v>272</v>
      </c>
      <c r="F374" s="63" t="s">
        <v>1002</v>
      </c>
      <c r="G374">
        <v>1</v>
      </c>
      <c r="H374">
        <v>20</v>
      </c>
      <c r="I374">
        <v>480</v>
      </c>
      <c r="J374">
        <v>480</v>
      </c>
      <c r="K374">
        <v>455.12</v>
      </c>
      <c r="L374">
        <v>18</v>
      </c>
    </row>
    <row r="375" spans="1:12">
      <c r="A375">
        <v>921</v>
      </c>
      <c r="B375" s="63" t="s">
        <v>502</v>
      </c>
      <c r="C375" s="63" t="s">
        <v>2463</v>
      </c>
      <c r="D375" s="63" t="s">
        <v>365</v>
      </c>
      <c r="E375" s="63" t="s">
        <v>272</v>
      </c>
      <c r="F375" s="63" t="s">
        <v>1587</v>
      </c>
      <c r="G375">
        <v>1</v>
      </c>
      <c r="H375">
        <v>20</v>
      </c>
      <c r="I375">
        <v>480</v>
      </c>
      <c r="J375">
        <v>480</v>
      </c>
      <c r="K375">
        <v>454.8</v>
      </c>
      <c r="L375">
        <v>18</v>
      </c>
    </row>
    <row r="376" spans="1:12">
      <c r="A376">
        <v>921</v>
      </c>
      <c r="B376" s="63" t="s">
        <v>502</v>
      </c>
      <c r="C376" s="63" t="s">
        <v>2463</v>
      </c>
      <c r="D376" s="63" t="s">
        <v>365</v>
      </c>
      <c r="E376" s="63" t="s">
        <v>272</v>
      </c>
      <c r="F376" s="63" t="s">
        <v>1593</v>
      </c>
      <c r="G376">
        <v>1</v>
      </c>
      <c r="H376">
        <v>20</v>
      </c>
      <c r="I376">
        <v>480</v>
      </c>
      <c r="J376">
        <v>480</v>
      </c>
      <c r="K376">
        <v>453.83</v>
      </c>
      <c r="L376">
        <v>18</v>
      </c>
    </row>
    <row r="377" spans="1:12">
      <c r="A377">
        <v>921</v>
      </c>
      <c r="B377" s="63" t="s">
        <v>502</v>
      </c>
      <c r="C377" s="63" t="s">
        <v>2463</v>
      </c>
      <c r="D377" s="63" t="s">
        <v>365</v>
      </c>
      <c r="E377" s="63" t="s">
        <v>272</v>
      </c>
      <c r="F377" s="63" t="s">
        <v>568</v>
      </c>
      <c r="G377">
        <v>1</v>
      </c>
      <c r="H377">
        <v>20</v>
      </c>
      <c r="I377">
        <v>480</v>
      </c>
      <c r="J377">
        <v>480</v>
      </c>
      <c r="K377">
        <v>456.28</v>
      </c>
      <c r="L377">
        <v>19</v>
      </c>
    </row>
    <row r="378" spans="1:12">
      <c r="A378">
        <v>921</v>
      </c>
      <c r="B378" s="63" t="s">
        <v>502</v>
      </c>
      <c r="C378" s="63" t="s">
        <v>2463</v>
      </c>
      <c r="D378" s="63" t="s">
        <v>365</v>
      </c>
      <c r="E378" s="63" t="s">
        <v>272</v>
      </c>
      <c r="F378" s="63" t="s">
        <v>1488</v>
      </c>
      <c r="G378">
        <v>1</v>
      </c>
      <c r="H378">
        <v>20</v>
      </c>
      <c r="I378">
        <v>480</v>
      </c>
      <c r="J378">
        <v>480</v>
      </c>
      <c r="K378">
        <v>456.57</v>
      </c>
      <c r="L378">
        <v>19</v>
      </c>
    </row>
    <row r="379" spans="1:12">
      <c r="A379">
        <v>921</v>
      </c>
      <c r="B379" s="63" t="s">
        <v>502</v>
      </c>
      <c r="C379" s="63" t="s">
        <v>2463</v>
      </c>
      <c r="D379" s="63" t="s">
        <v>365</v>
      </c>
      <c r="E379" s="63" t="s">
        <v>272</v>
      </c>
      <c r="F379" s="63" t="s">
        <v>1935</v>
      </c>
      <c r="G379">
        <v>1</v>
      </c>
      <c r="H379">
        <v>20</v>
      </c>
      <c r="I379">
        <v>480</v>
      </c>
      <c r="J379">
        <v>480</v>
      </c>
      <c r="K379">
        <v>455.4</v>
      </c>
      <c r="L379">
        <v>18</v>
      </c>
    </row>
    <row r="380" spans="1:12">
      <c r="A380">
        <v>921</v>
      </c>
      <c r="B380" s="63" t="s">
        <v>502</v>
      </c>
      <c r="C380" s="63" t="s">
        <v>2463</v>
      </c>
      <c r="D380" s="63" t="s">
        <v>365</v>
      </c>
      <c r="E380" s="63" t="s">
        <v>1616</v>
      </c>
      <c r="F380" s="63" t="s">
        <v>1487</v>
      </c>
      <c r="G380">
        <v>1</v>
      </c>
      <c r="H380">
        <v>20</v>
      </c>
      <c r="I380">
        <v>480</v>
      </c>
      <c r="J380">
        <v>480</v>
      </c>
      <c r="K380">
        <v>453.98</v>
      </c>
      <c r="L380">
        <v>18</v>
      </c>
    </row>
    <row r="381" spans="1:12">
      <c r="A381">
        <v>921</v>
      </c>
      <c r="B381" s="63" t="s">
        <v>502</v>
      </c>
      <c r="C381" s="63" t="s">
        <v>2463</v>
      </c>
      <c r="D381" s="63" t="s">
        <v>365</v>
      </c>
      <c r="E381" s="63" t="s">
        <v>294</v>
      </c>
      <c r="F381" s="63" t="s">
        <v>1590</v>
      </c>
      <c r="G381">
        <v>1</v>
      </c>
      <c r="H381">
        <v>20</v>
      </c>
      <c r="I381">
        <v>480</v>
      </c>
      <c r="J381">
        <v>480</v>
      </c>
      <c r="K381">
        <v>454.15</v>
      </c>
      <c r="L381">
        <v>18</v>
      </c>
    </row>
    <row r="382" spans="1:12">
      <c r="A382">
        <v>921</v>
      </c>
      <c r="B382" s="63" t="s">
        <v>502</v>
      </c>
      <c r="C382" s="63" t="s">
        <v>2463</v>
      </c>
      <c r="D382" s="63" t="s">
        <v>365</v>
      </c>
      <c r="E382" s="63" t="s">
        <v>1164</v>
      </c>
      <c r="F382" s="63" t="s">
        <v>1592</v>
      </c>
      <c r="G382">
        <v>1</v>
      </c>
      <c r="H382">
        <v>20</v>
      </c>
      <c r="I382">
        <v>480</v>
      </c>
      <c r="J382">
        <v>480</v>
      </c>
      <c r="K382">
        <v>454.6</v>
      </c>
      <c r="L382">
        <v>18</v>
      </c>
    </row>
    <row r="383" spans="1:12">
      <c r="A383">
        <v>921</v>
      </c>
      <c r="B383" s="63" t="s">
        <v>502</v>
      </c>
      <c r="C383" s="63" t="s">
        <v>2463</v>
      </c>
      <c r="D383" s="63" t="s">
        <v>365</v>
      </c>
      <c r="E383" s="63" t="s">
        <v>1164</v>
      </c>
      <c r="F383" s="63" t="s">
        <v>1641</v>
      </c>
      <c r="G383">
        <v>1</v>
      </c>
      <c r="H383">
        <v>20</v>
      </c>
      <c r="I383">
        <v>480</v>
      </c>
      <c r="J383">
        <v>480</v>
      </c>
      <c r="K383">
        <v>454.45</v>
      </c>
      <c r="L383">
        <v>18</v>
      </c>
    </row>
    <row r="384" spans="1:12">
      <c r="A384">
        <v>921</v>
      </c>
      <c r="B384" s="63" t="s">
        <v>502</v>
      </c>
      <c r="C384" s="63" t="s">
        <v>2463</v>
      </c>
      <c r="D384" s="63" t="s">
        <v>365</v>
      </c>
      <c r="E384" s="63" t="s">
        <v>2464</v>
      </c>
      <c r="F384" s="63" t="s">
        <v>1583</v>
      </c>
      <c r="G384">
        <v>1</v>
      </c>
      <c r="H384">
        <v>20</v>
      </c>
      <c r="I384">
        <v>480</v>
      </c>
      <c r="J384">
        <v>480</v>
      </c>
      <c r="K384">
        <v>452.45</v>
      </c>
      <c r="L384">
        <v>18</v>
      </c>
    </row>
    <row r="385" spans="1:12">
      <c r="A385">
        <v>921</v>
      </c>
      <c r="B385" s="63" t="s">
        <v>502</v>
      </c>
      <c r="C385" s="63" t="s">
        <v>2463</v>
      </c>
      <c r="D385" s="63" t="s">
        <v>365</v>
      </c>
      <c r="E385" s="63" t="s">
        <v>2464</v>
      </c>
      <c r="F385" s="63" t="s">
        <v>1584</v>
      </c>
      <c r="G385">
        <v>1</v>
      </c>
      <c r="H385">
        <v>20</v>
      </c>
      <c r="I385">
        <v>480</v>
      </c>
      <c r="J385">
        <v>480</v>
      </c>
      <c r="K385">
        <v>452.77</v>
      </c>
      <c r="L385">
        <v>18</v>
      </c>
    </row>
    <row r="386" spans="1:12">
      <c r="A386">
        <v>921</v>
      </c>
      <c r="B386" s="63" t="s">
        <v>502</v>
      </c>
      <c r="C386" s="63" t="s">
        <v>2463</v>
      </c>
      <c r="D386" s="63" t="s">
        <v>365</v>
      </c>
      <c r="E386" s="63" t="s">
        <v>2464</v>
      </c>
      <c r="F386" s="63" t="s">
        <v>1922</v>
      </c>
      <c r="G386">
        <v>1</v>
      </c>
      <c r="H386">
        <v>20</v>
      </c>
      <c r="I386">
        <v>480</v>
      </c>
      <c r="J386">
        <v>480</v>
      </c>
      <c r="K386">
        <v>452.6</v>
      </c>
      <c r="L386">
        <v>18</v>
      </c>
    </row>
    <row r="387" spans="1:12">
      <c r="A387">
        <v>921</v>
      </c>
      <c r="B387" s="63" t="s">
        <v>502</v>
      </c>
      <c r="C387" s="63" t="s">
        <v>2463</v>
      </c>
      <c r="D387" s="63" t="s">
        <v>365</v>
      </c>
      <c r="E387" s="63" t="s">
        <v>2464</v>
      </c>
      <c r="F387" s="63" t="s">
        <v>1176</v>
      </c>
      <c r="G387">
        <v>1</v>
      </c>
      <c r="H387">
        <v>19</v>
      </c>
      <c r="I387">
        <v>456</v>
      </c>
      <c r="J387">
        <v>456</v>
      </c>
      <c r="K387">
        <v>452.27</v>
      </c>
      <c r="L387">
        <v>18</v>
      </c>
    </row>
    <row r="388" spans="1:12">
      <c r="A388">
        <v>921</v>
      </c>
      <c r="B388" s="63" t="s">
        <v>502</v>
      </c>
      <c r="C388" s="63" t="s">
        <v>2463</v>
      </c>
      <c r="D388" s="63" t="s">
        <v>365</v>
      </c>
      <c r="E388" s="63" t="s">
        <v>2464</v>
      </c>
      <c r="F388" s="63" t="s">
        <v>1589</v>
      </c>
      <c r="G388">
        <v>1</v>
      </c>
      <c r="H388">
        <v>20</v>
      </c>
      <c r="I388">
        <v>480</v>
      </c>
      <c r="J388">
        <v>480</v>
      </c>
      <c r="K388">
        <v>452.48</v>
      </c>
      <c r="L388">
        <v>18</v>
      </c>
    </row>
    <row r="389" spans="1:12">
      <c r="A389">
        <v>921</v>
      </c>
      <c r="B389" s="63" t="s">
        <v>1778</v>
      </c>
      <c r="C389" s="63" t="s">
        <v>1779</v>
      </c>
      <c r="D389" s="63" t="s">
        <v>261</v>
      </c>
      <c r="E389" s="63" t="s">
        <v>344</v>
      </c>
      <c r="F389" s="63" t="s">
        <v>1780</v>
      </c>
      <c r="G389">
        <v>1</v>
      </c>
      <c r="H389">
        <v>20</v>
      </c>
      <c r="I389">
        <v>20</v>
      </c>
      <c r="J389">
        <v>20</v>
      </c>
      <c r="K389">
        <v>935.93</v>
      </c>
      <c r="L389">
        <v>156</v>
      </c>
    </row>
    <row r="390" spans="1:12">
      <c r="A390">
        <v>921</v>
      </c>
      <c r="B390" s="63" t="s">
        <v>1778</v>
      </c>
      <c r="C390" s="63" t="s">
        <v>1779</v>
      </c>
      <c r="D390" s="63" t="s">
        <v>261</v>
      </c>
      <c r="E390" s="63" t="s">
        <v>372</v>
      </c>
      <c r="F390" s="63" t="s">
        <v>1781</v>
      </c>
      <c r="G390">
        <v>1</v>
      </c>
      <c r="H390">
        <v>20</v>
      </c>
      <c r="I390">
        <v>20</v>
      </c>
      <c r="J390">
        <v>20</v>
      </c>
      <c r="K390">
        <v>935.65</v>
      </c>
      <c r="L390">
        <v>150</v>
      </c>
    </row>
    <row r="391" spans="1:12">
      <c r="A391">
        <v>921</v>
      </c>
      <c r="B391" s="63" t="s">
        <v>1778</v>
      </c>
      <c r="C391" s="63" t="s">
        <v>1779</v>
      </c>
      <c r="D391" s="63" t="s">
        <v>261</v>
      </c>
      <c r="E391" s="63" t="s">
        <v>407</v>
      </c>
      <c r="F391" s="63" t="s">
        <v>1782</v>
      </c>
      <c r="G391">
        <v>1</v>
      </c>
      <c r="H391">
        <v>20</v>
      </c>
      <c r="I391">
        <v>20</v>
      </c>
      <c r="J391">
        <v>20</v>
      </c>
      <c r="K391">
        <v>936.22</v>
      </c>
      <c r="L391">
        <v>156</v>
      </c>
    </row>
    <row r="392" spans="1:12">
      <c r="A392">
        <v>921</v>
      </c>
      <c r="B392" s="63" t="s">
        <v>555</v>
      </c>
      <c r="C392" s="63" t="s">
        <v>762</v>
      </c>
      <c r="D392" s="63" t="s">
        <v>261</v>
      </c>
      <c r="E392" s="63" t="s">
        <v>372</v>
      </c>
      <c r="F392" s="63" t="s">
        <v>1783</v>
      </c>
      <c r="G392">
        <v>1</v>
      </c>
      <c r="H392">
        <v>20</v>
      </c>
      <c r="I392">
        <v>20</v>
      </c>
      <c r="J392">
        <v>20</v>
      </c>
      <c r="K392">
        <v>936.97</v>
      </c>
      <c r="L392">
        <v>174</v>
      </c>
    </row>
    <row r="393" spans="1:12">
      <c r="A393">
        <v>921</v>
      </c>
      <c r="B393" s="63" t="s">
        <v>555</v>
      </c>
      <c r="C393" s="63" t="s">
        <v>762</v>
      </c>
      <c r="D393" s="63" t="s">
        <v>261</v>
      </c>
      <c r="E393" s="63" t="s">
        <v>372</v>
      </c>
      <c r="F393" s="63" t="s">
        <v>1784</v>
      </c>
      <c r="G393">
        <v>1</v>
      </c>
      <c r="H393">
        <v>20</v>
      </c>
      <c r="I393">
        <v>20</v>
      </c>
      <c r="J393">
        <v>20</v>
      </c>
      <c r="K393">
        <v>936.7</v>
      </c>
      <c r="L393">
        <v>169</v>
      </c>
    </row>
    <row r="394" spans="1:12">
      <c r="A394">
        <v>921</v>
      </c>
      <c r="B394" s="63" t="s">
        <v>555</v>
      </c>
      <c r="C394" s="63" t="s">
        <v>762</v>
      </c>
      <c r="D394" s="63" t="s">
        <v>261</v>
      </c>
      <c r="E394" s="63" t="s">
        <v>407</v>
      </c>
      <c r="F394" s="63" t="s">
        <v>1785</v>
      </c>
      <c r="G394">
        <v>1</v>
      </c>
      <c r="H394">
        <v>10</v>
      </c>
      <c r="I394">
        <v>10</v>
      </c>
      <c r="J394">
        <v>10</v>
      </c>
      <c r="K394">
        <v>936.52</v>
      </c>
      <c r="L394">
        <v>104</v>
      </c>
    </row>
    <row r="395" spans="1:12">
      <c r="A395">
        <v>921</v>
      </c>
      <c r="B395" s="63" t="s">
        <v>555</v>
      </c>
      <c r="C395" s="63" t="s">
        <v>762</v>
      </c>
      <c r="D395" s="63" t="s">
        <v>261</v>
      </c>
      <c r="E395" s="63" t="s">
        <v>362</v>
      </c>
      <c r="F395" s="63" t="s">
        <v>410</v>
      </c>
      <c r="G395">
        <v>1</v>
      </c>
      <c r="H395">
        <v>20</v>
      </c>
      <c r="I395">
        <v>20</v>
      </c>
      <c r="J395">
        <v>20</v>
      </c>
      <c r="K395">
        <v>4212.3999999999996</v>
      </c>
      <c r="L395">
        <v>168</v>
      </c>
    </row>
    <row r="396" spans="1:12">
      <c r="A396">
        <v>921</v>
      </c>
      <c r="B396" s="63" t="s">
        <v>555</v>
      </c>
      <c r="C396" s="63" t="s">
        <v>762</v>
      </c>
      <c r="D396" s="63" t="s">
        <v>261</v>
      </c>
      <c r="E396" s="63" t="s">
        <v>362</v>
      </c>
      <c r="F396" s="63" t="s">
        <v>416</v>
      </c>
      <c r="G396">
        <v>1</v>
      </c>
      <c r="H396">
        <v>20</v>
      </c>
      <c r="I396">
        <v>20</v>
      </c>
      <c r="J396">
        <v>20</v>
      </c>
      <c r="K396">
        <v>4217.03</v>
      </c>
      <c r="L396">
        <v>168</v>
      </c>
    </row>
    <row r="397" spans="1:12">
      <c r="A397">
        <v>921</v>
      </c>
      <c r="B397" s="63" t="s">
        <v>555</v>
      </c>
      <c r="C397" s="63" t="s">
        <v>762</v>
      </c>
      <c r="D397" s="63" t="s">
        <v>261</v>
      </c>
      <c r="E397" s="63" t="s">
        <v>362</v>
      </c>
      <c r="F397" s="63" t="s">
        <v>414</v>
      </c>
      <c r="G397">
        <v>1</v>
      </c>
      <c r="H397">
        <v>20</v>
      </c>
      <c r="I397">
        <v>20</v>
      </c>
      <c r="J397">
        <v>20</v>
      </c>
      <c r="K397">
        <v>4215.9799999999996</v>
      </c>
      <c r="L397">
        <v>168</v>
      </c>
    </row>
    <row r="398" spans="1:12">
      <c r="A398">
        <v>921</v>
      </c>
      <c r="B398" s="63" t="s">
        <v>555</v>
      </c>
      <c r="C398" s="63" t="s">
        <v>762</v>
      </c>
      <c r="D398" s="63" t="s">
        <v>261</v>
      </c>
      <c r="E398" s="63" t="s">
        <v>289</v>
      </c>
      <c r="F398" s="63" t="s">
        <v>417</v>
      </c>
      <c r="G398">
        <v>1</v>
      </c>
      <c r="H398">
        <v>20</v>
      </c>
      <c r="I398">
        <v>20</v>
      </c>
      <c r="J398">
        <v>20</v>
      </c>
      <c r="K398">
        <v>4211.33</v>
      </c>
      <c r="L398">
        <v>168</v>
      </c>
    </row>
    <row r="399" spans="1:12">
      <c r="A399">
        <v>921</v>
      </c>
      <c r="B399" s="63" t="s">
        <v>555</v>
      </c>
      <c r="C399" s="63" t="s">
        <v>762</v>
      </c>
      <c r="D399" s="63" t="s">
        <v>261</v>
      </c>
      <c r="E399" s="63" t="s">
        <v>289</v>
      </c>
      <c r="F399" s="63" t="s">
        <v>411</v>
      </c>
      <c r="G399">
        <v>1</v>
      </c>
      <c r="H399">
        <v>20</v>
      </c>
      <c r="I399">
        <v>20</v>
      </c>
      <c r="J399">
        <v>20</v>
      </c>
      <c r="K399">
        <v>4212.18</v>
      </c>
      <c r="L399">
        <v>168</v>
      </c>
    </row>
    <row r="400" spans="1:12">
      <c r="A400">
        <v>921</v>
      </c>
      <c r="B400" s="63" t="s">
        <v>555</v>
      </c>
      <c r="C400" s="63" t="s">
        <v>762</v>
      </c>
      <c r="D400" s="63" t="s">
        <v>261</v>
      </c>
      <c r="E400" s="63" t="s">
        <v>277</v>
      </c>
      <c r="F400" s="63" t="s">
        <v>413</v>
      </c>
      <c r="G400">
        <v>1</v>
      </c>
      <c r="H400">
        <v>20</v>
      </c>
      <c r="I400">
        <v>20</v>
      </c>
      <c r="J400">
        <v>20</v>
      </c>
      <c r="K400">
        <v>4216.5200000000004</v>
      </c>
      <c r="L400">
        <v>168</v>
      </c>
    </row>
    <row r="401" spans="1:12">
      <c r="A401">
        <v>921</v>
      </c>
      <c r="B401" s="63" t="s">
        <v>808</v>
      </c>
      <c r="C401" s="63" t="s">
        <v>809</v>
      </c>
      <c r="D401" s="63" t="s">
        <v>261</v>
      </c>
      <c r="E401" s="63" t="s">
        <v>272</v>
      </c>
      <c r="F401" s="63" t="s">
        <v>1705</v>
      </c>
      <c r="G401">
        <v>1</v>
      </c>
      <c r="H401">
        <v>19</v>
      </c>
      <c r="I401">
        <v>19</v>
      </c>
      <c r="J401">
        <v>19</v>
      </c>
      <c r="K401">
        <v>1079.9000000000001</v>
      </c>
      <c r="L401">
        <v>114</v>
      </c>
    </row>
    <row r="402" spans="1:12">
      <c r="A402">
        <v>921</v>
      </c>
      <c r="B402" s="63" t="s">
        <v>808</v>
      </c>
      <c r="C402" s="63" t="s">
        <v>809</v>
      </c>
      <c r="D402" s="63" t="s">
        <v>261</v>
      </c>
      <c r="E402" s="63" t="s">
        <v>272</v>
      </c>
      <c r="F402" s="63" t="s">
        <v>1138</v>
      </c>
      <c r="G402">
        <v>1</v>
      </c>
      <c r="H402">
        <v>20</v>
      </c>
      <c r="I402">
        <v>20</v>
      </c>
      <c r="J402">
        <v>20</v>
      </c>
      <c r="K402">
        <v>1080.25</v>
      </c>
      <c r="L402">
        <v>119</v>
      </c>
    </row>
    <row r="403" spans="1:12">
      <c r="A403">
        <v>921</v>
      </c>
      <c r="B403" s="63" t="s">
        <v>808</v>
      </c>
      <c r="C403" s="63" t="s">
        <v>809</v>
      </c>
      <c r="D403" s="63" t="s">
        <v>261</v>
      </c>
      <c r="E403" s="63" t="s">
        <v>272</v>
      </c>
      <c r="F403" s="63" t="s">
        <v>1137</v>
      </c>
      <c r="G403">
        <v>1</v>
      </c>
      <c r="H403">
        <v>20</v>
      </c>
      <c r="I403">
        <v>20</v>
      </c>
      <c r="J403">
        <v>20</v>
      </c>
      <c r="K403">
        <v>1080.53</v>
      </c>
      <c r="L403">
        <v>137</v>
      </c>
    </row>
    <row r="404" spans="1:12">
      <c r="A404">
        <v>921</v>
      </c>
      <c r="B404" s="63" t="s">
        <v>808</v>
      </c>
      <c r="C404" s="63" t="s">
        <v>809</v>
      </c>
      <c r="D404" s="63" t="s">
        <v>261</v>
      </c>
      <c r="E404" s="63" t="s">
        <v>504</v>
      </c>
      <c r="F404" s="63" t="s">
        <v>2465</v>
      </c>
      <c r="G404">
        <v>1</v>
      </c>
      <c r="H404">
        <v>29</v>
      </c>
      <c r="I404">
        <v>29</v>
      </c>
      <c r="J404">
        <v>29</v>
      </c>
      <c r="K404">
        <v>506.08</v>
      </c>
      <c r="L404">
        <v>39</v>
      </c>
    </row>
    <row r="405" spans="1:12">
      <c r="A405">
        <v>921</v>
      </c>
      <c r="B405" s="63" t="s">
        <v>882</v>
      </c>
      <c r="C405" s="63" t="s">
        <v>883</v>
      </c>
      <c r="D405" s="63" t="s">
        <v>261</v>
      </c>
      <c r="E405" s="63" t="s">
        <v>344</v>
      </c>
      <c r="F405" s="63" t="s">
        <v>1127</v>
      </c>
      <c r="G405">
        <v>1</v>
      </c>
      <c r="H405">
        <v>20</v>
      </c>
      <c r="I405">
        <v>20</v>
      </c>
      <c r="J405">
        <v>20</v>
      </c>
      <c r="K405">
        <v>1630.43</v>
      </c>
      <c r="L405">
        <v>101</v>
      </c>
    </row>
    <row r="406" spans="1:12">
      <c r="A406">
        <v>921</v>
      </c>
      <c r="B406" s="63" t="s">
        <v>882</v>
      </c>
      <c r="C406" s="63" t="s">
        <v>883</v>
      </c>
      <c r="D406" s="63" t="s">
        <v>261</v>
      </c>
      <c r="E406" s="63" t="s">
        <v>344</v>
      </c>
      <c r="F406" s="63" t="s">
        <v>1146</v>
      </c>
      <c r="G406">
        <v>1</v>
      </c>
      <c r="H406">
        <v>20</v>
      </c>
      <c r="I406">
        <v>20</v>
      </c>
      <c r="J406">
        <v>20</v>
      </c>
      <c r="K406">
        <v>1630.17</v>
      </c>
      <c r="L406">
        <v>101</v>
      </c>
    </row>
    <row r="407" spans="1:12">
      <c r="A407">
        <v>921</v>
      </c>
      <c r="B407" s="63" t="s">
        <v>882</v>
      </c>
      <c r="C407" s="63" t="s">
        <v>883</v>
      </c>
      <c r="D407" s="63" t="s">
        <v>261</v>
      </c>
      <c r="E407" s="63" t="s">
        <v>407</v>
      </c>
      <c r="F407" s="63" t="s">
        <v>1135</v>
      </c>
      <c r="G407">
        <v>1</v>
      </c>
      <c r="H407">
        <v>20</v>
      </c>
      <c r="I407">
        <v>20</v>
      </c>
      <c r="J407">
        <v>20</v>
      </c>
      <c r="K407">
        <v>1629.88</v>
      </c>
      <c r="L407">
        <v>101</v>
      </c>
    </row>
    <row r="408" spans="1:12">
      <c r="A408">
        <v>921</v>
      </c>
      <c r="B408" s="63" t="s">
        <v>882</v>
      </c>
      <c r="C408" s="63" t="s">
        <v>883</v>
      </c>
      <c r="D408" s="63" t="s">
        <v>261</v>
      </c>
      <c r="E408" s="63" t="s">
        <v>254</v>
      </c>
      <c r="F408" s="63" t="s">
        <v>2466</v>
      </c>
      <c r="G408">
        <v>1</v>
      </c>
      <c r="H408">
        <v>39</v>
      </c>
      <c r="I408">
        <v>39</v>
      </c>
      <c r="J408">
        <v>39</v>
      </c>
      <c r="K408">
        <v>634.13</v>
      </c>
      <c r="L408">
        <v>100</v>
      </c>
    </row>
    <row r="409" spans="1:12">
      <c r="A409">
        <v>921</v>
      </c>
      <c r="B409" s="63" t="s">
        <v>882</v>
      </c>
      <c r="C409" s="63" t="s">
        <v>883</v>
      </c>
      <c r="D409" s="63" t="s">
        <v>261</v>
      </c>
      <c r="E409" s="63" t="s">
        <v>254</v>
      </c>
      <c r="F409" s="63" t="s">
        <v>2467</v>
      </c>
      <c r="G409">
        <v>1</v>
      </c>
      <c r="H409">
        <v>56</v>
      </c>
      <c r="I409">
        <v>56</v>
      </c>
      <c r="J409">
        <v>56</v>
      </c>
      <c r="K409">
        <v>635.25</v>
      </c>
      <c r="L409">
        <v>103</v>
      </c>
    </row>
    <row r="410" spans="1:12">
      <c r="A410">
        <v>921</v>
      </c>
      <c r="B410" s="63" t="s">
        <v>335</v>
      </c>
      <c r="C410" s="63" t="s">
        <v>336</v>
      </c>
      <c r="D410" s="63" t="s">
        <v>261</v>
      </c>
      <c r="E410" s="63" t="s">
        <v>327</v>
      </c>
      <c r="F410" s="63" t="s">
        <v>1675</v>
      </c>
      <c r="G410">
        <v>1</v>
      </c>
      <c r="H410">
        <v>20</v>
      </c>
      <c r="I410">
        <v>20</v>
      </c>
      <c r="J410">
        <v>20</v>
      </c>
      <c r="K410">
        <v>840.87</v>
      </c>
      <c r="L410">
        <v>192</v>
      </c>
    </row>
    <row r="411" spans="1:12">
      <c r="A411">
        <v>921</v>
      </c>
      <c r="B411" s="63" t="s">
        <v>335</v>
      </c>
      <c r="C411" s="63" t="s">
        <v>336</v>
      </c>
      <c r="D411" s="63" t="s">
        <v>261</v>
      </c>
      <c r="E411" s="63" t="s">
        <v>327</v>
      </c>
      <c r="F411" s="63" t="s">
        <v>1676</v>
      </c>
      <c r="G411">
        <v>1</v>
      </c>
      <c r="H411">
        <v>20</v>
      </c>
      <c r="I411">
        <v>20</v>
      </c>
      <c r="J411">
        <v>20</v>
      </c>
      <c r="K411">
        <v>841.13</v>
      </c>
      <c r="L411">
        <v>191</v>
      </c>
    </row>
    <row r="412" spans="1:12">
      <c r="A412">
        <v>921</v>
      </c>
      <c r="B412" s="63" t="s">
        <v>335</v>
      </c>
      <c r="C412" s="63" t="s">
        <v>336</v>
      </c>
      <c r="D412" s="63" t="s">
        <v>261</v>
      </c>
      <c r="E412" s="63" t="s">
        <v>327</v>
      </c>
      <c r="F412" s="63" t="s">
        <v>1677</v>
      </c>
      <c r="G412">
        <v>1</v>
      </c>
      <c r="H412">
        <v>20</v>
      </c>
      <c r="I412">
        <v>20</v>
      </c>
      <c r="J412">
        <v>20</v>
      </c>
      <c r="K412">
        <v>840.58</v>
      </c>
      <c r="L412">
        <v>87</v>
      </c>
    </row>
    <row r="413" spans="1:12">
      <c r="A413">
        <v>921</v>
      </c>
      <c r="B413" s="63" t="s">
        <v>335</v>
      </c>
      <c r="C413" s="63" t="s">
        <v>336</v>
      </c>
      <c r="D413" s="63" t="s">
        <v>261</v>
      </c>
      <c r="E413" s="63" t="s">
        <v>299</v>
      </c>
      <c r="F413" s="63" t="s">
        <v>2468</v>
      </c>
      <c r="G413">
        <v>1</v>
      </c>
      <c r="H413">
        <v>17</v>
      </c>
      <c r="I413">
        <v>17</v>
      </c>
      <c r="J413">
        <v>17</v>
      </c>
      <c r="K413">
        <v>6678.13</v>
      </c>
      <c r="L413">
        <v>406</v>
      </c>
    </row>
    <row r="414" spans="1:12">
      <c r="A414">
        <v>921</v>
      </c>
      <c r="B414" s="63" t="s">
        <v>335</v>
      </c>
      <c r="C414" s="63" t="s">
        <v>336</v>
      </c>
      <c r="D414" s="63" t="s">
        <v>261</v>
      </c>
      <c r="E414" s="63" t="s">
        <v>1616</v>
      </c>
      <c r="F414" s="63" t="s">
        <v>1658</v>
      </c>
      <c r="G414">
        <v>1</v>
      </c>
      <c r="H414">
        <v>20</v>
      </c>
      <c r="I414">
        <v>20</v>
      </c>
      <c r="J414">
        <v>20</v>
      </c>
      <c r="K414">
        <v>6678.35</v>
      </c>
      <c r="L414">
        <v>407</v>
      </c>
    </row>
    <row r="415" spans="1:12">
      <c r="A415">
        <v>921</v>
      </c>
      <c r="B415" s="63" t="s">
        <v>335</v>
      </c>
      <c r="C415" s="63" t="s">
        <v>336</v>
      </c>
      <c r="D415" s="63" t="s">
        <v>261</v>
      </c>
      <c r="E415" s="63" t="s">
        <v>176</v>
      </c>
      <c r="F415" s="63" t="s">
        <v>2469</v>
      </c>
      <c r="G415">
        <v>1</v>
      </c>
      <c r="H415">
        <v>44</v>
      </c>
      <c r="I415">
        <v>44</v>
      </c>
      <c r="J415">
        <v>44</v>
      </c>
      <c r="K415">
        <v>633.79999999999995</v>
      </c>
      <c r="L415">
        <v>55</v>
      </c>
    </row>
    <row r="416" spans="1:12">
      <c r="A416">
        <v>921</v>
      </c>
      <c r="B416" s="63" t="s">
        <v>315</v>
      </c>
      <c r="C416" s="63" t="s">
        <v>316</v>
      </c>
      <c r="D416" s="63" t="s">
        <v>261</v>
      </c>
      <c r="E416" s="63" t="s">
        <v>344</v>
      </c>
      <c r="F416" s="63" t="s">
        <v>661</v>
      </c>
      <c r="G416">
        <v>1</v>
      </c>
      <c r="H416">
        <v>20</v>
      </c>
      <c r="I416">
        <v>20</v>
      </c>
      <c r="J416">
        <v>20</v>
      </c>
      <c r="K416">
        <v>1225.8699999999999</v>
      </c>
      <c r="L416">
        <v>68</v>
      </c>
    </row>
    <row r="417" spans="1:12">
      <c r="A417">
        <v>921</v>
      </c>
      <c r="B417" s="63" t="s">
        <v>315</v>
      </c>
      <c r="C417" s="63" t="s">
        <v>316</v>
      </c>
      <c r="D417" s="63" t="s">
        <v>261</v>
      </c>
      <c r="E417" s="63" t="s">
        <v>344</v>
      </c>
      <c r="F417" s="63" t="s">
        <v>1708</v>
      </c>
      <c r="G417">
        <v>1</v>
      </c>
      <c r="H417">
        <v>20</v>
      </c>
      <c r="I417">
        <v>20</v>
      </c>
      <c r="J417">
        <v>20</v>
      </c>
      <c r="K417">
        <v>1226.1500000000001</v>
      </c>
      <c r="L417">
        <v>66</v>
      </c>
    </row>
    <row r="418" spans="1:12">
      <c r="A418">
        <v>921</v>
      </c>
      <c r="B418" s="63" t="s">
        <v>315</v>
      </c>
      <c r="C418" s="63" t="s">
        <v>316</v>
      </c>
      <c r="D418" s="63" t="s">
        <v>261</v>
      </c>
      <c r="E418" s="63" t="s">
        <v>372</v>
      </c>
      <c r="F418" s="63" t="s">
        <v>1678</v>
      </c>
      <c r="G418">
        <v>1</v>
      </c>
      <c r="H418">
        <v>20</v>
      </c>
      <c r="I418">
        <v>20</v>
      </c>
      <c r="J418">
        <v>20</v>
      </c>
      <c r="K418">
        <v>1222.8699999999999</v>
      </c>
      <c r="L418">
        <v>148</v>
      </c>
    </row>
    <row r="419" spans="1:12">
      <c r="A419">
        <v>921</v>
      </c>
      <c r="B419" s="63" t="s">
        <v>315</v>
      </c>
      <c r="C419" s="63" t="s">
        <v>316</v>
      </c>
      <c r="D419" s="63" t="s">
        <v>261</v>
      </c>
      <c r="E419" s="63" t="s">
        <v>1591</v>
      </c>
      <c r="F419" s="63" t="s">
        <v>1709</v>
      </c>
      <c r="G419">
        <v>1</v>
      </c>
      <c r="H419">
        <v>20</v>
      </c>
      <c r="I419">
        <v>20</v>
      </c>
      <c r="J419">
        <v>20</v>
      </c>
      <c r="K419">
        <v>1225.55</v>
      </c>
      <c r="L419">
        <v>68</v>
      </c>
    </row>
    <row r="420" spans="1:12">
      <c r="A420">
        <v>921</v>
      </c>
      <c r="B420" s="63" t="s">
        <v>315</v>
      </c>
      <c r="C420" s="63" t="s">
        <v>316</v>
      </c>
      <c r="D420" s="63" t="s">
        <v>261</v>
      </c>
      <c r="E420" s="63" t="s">
        <v>1591</v>
      </c>
      <c r="F420" s="63" t="s">
        <v>1710</v>
      </c>
      <c r="G420">
        <v>1</v>
      </c>
      <c r="H420">
        <v>20</v>
      </c>
      <c r="I420">
        <v>20</v>
      </c>
      <c r="J420">
        <v>20</v>
      </c>
      <c r="K420">
        <v>1226.42</v>
      </c>
      <c r="L420">
        <v>66</v>
      </c>
    </row>
    <row r="421" spans="1:12">
      <c r="A421">
        <v>921</v>
      </c>
      <c r="B421" s="63" t="s">
        <v>315</v>
      </c>
      <c r="C421" s="63" t="s">
        <v>316</v>
      </c>
      <c r="D421" s="63" t="s">
        <v>261</v>
      </c>
      <c r="E421" s="63" t="s">
        <v>1711</v>
      </c>
      <c r="F421" s="63" t="s">
        <v>1712</v>
      </c>
      <c r="G421">
        <v>1</v>
      </c>
      <c r="H421">
        <v>20</v>
      </c>
      <c r="I421">
        <v>20</v>
      </c>
      <c r="J421">
        <v>20</v>
      </c>
      <c r="K421">
        <v>1225.28</v>
      </c>
      <c r="L421">
        <v>67</v>
      </c>
    </row>
    <row r="422" spans="1:12">
      <c r="A422">
        <v>921</v>
      </c>
      <c r="B422" s="63" t="s">
        <v>315</v>
      </c>
      <c r="C422" s="63" t="s">
        <v>316</v>
      </c>
      <c r="D422" s="63" t="s">
        <v>261</v>
      </c>
      <c r="E422" s="63" t="s">
        <v>299</v>
      </c>
      <c r="F422" s="63" t="s">
        <v>2470</v>
      </c>
      <c r="G422">
        <v>1</v>
      </c>
      <c r="H422">
        <v>20</v>
      </c>
      <c r="I422">
        <v>20</v>
      </c>
      <c r="J422">
        <v>20</v>
      </c>
      <c r="K422">
        <v>757.08</v>
      </c>
      <c r="L422">
        <v>67</v>
      </c>
    </row>
    <row r="423" spans="1:12">
      <c r="A423">
        <v>921</v>
      </c>
      <c r="B423" s="63" t="s">
        <v>315</v>
      </c>
      <c r="C423" s="63" t="s">
        <v>316</v>
      </c>
      <c r="D423" s="63" t="s">
        <v>261</v>
      </c>
      <c r="E423" s="63" t="s">
        <v>299</v>
      </c>
      <c r="F423" s="63" t="s">
        <v>2471</v>
      </c>
      <c r="G423">
        <v>1</v>
      </c>
      <c r="H423">
        <v>20</v>
      </c>
      <c r="I423">
        <v>20</v>
      </c>
      <c r="J423">
        <v>20</v>
      </c>
      <c r="K423">
        <v>1221.27</v>
      </c>
      <c r="L423">
        <v>63</v>
      </c>
    </row>
    <row r="424" spans="1:12">
      <c r="A424">
        <v>921</v>
      </c>
      <c r="B424" s="63" t="s">
        <v>315</v>
      </c>
      <c r="C424" s="63" t="s">
        <v>316</v>
      </c>
      <c r="D424" s="63" t="s">
        <v>261</v>
      </c>
      <c r="E424" s="63" t="s">
        <v>839</v>
      </c>
      <c r="F424" s="63" t="s">
        <v>567</v>
      </c>
      <c r="G424">
        <v>1</v>
      </c>
      <c r="H424">
        <v>20</v>
      </c>
      <c r="I424">
        <v>20</v>
      </c>
      <c r="J424">
        <v>20</v>
      </c>
      <c r="K424">
        <v>1212.1199999999999</v>
      </c>
      <c r="L424">
        <v>81</v>
      </c>
    </row>
    <row r="425" spans="1:12">
      <c r="A425">
        <v>921</v>
      </c>
      <c r="B425" s="63" t="s">
        <v>315</v>
      </c>
      <c r="C425" s="63" t="s">
        <v>316</v>
      </c>
      <c r="D425" s="63" t="s">
        <v>261</v>
      </c>
      <c r="E425" s="63" t="s">
        <v>286</v>
      </c>
      <c r="F425" s="63" t="s">
        <v>2472</v>
      </c>
      <c r="G425">
        <v>1</v>
      </c>
      <c r="H425">
        <v>20</v>
      </c>
      <c r="I425">
        <v>20</v>
      </c>
      <c r="J425">
        <v>20</v>
      </c>
      <c r="K425">
        <v>762.98</v>
      </c>
      <c r="L425">
        <v>36</v>
      </c>
    </row>
    <row r="426" spans="1:12">
      <c r="A426">
        <v>921</v>
      </c>
      <c r="B426" s="63" t="s">
        <v>315</v>
      </c>
      <c r="C426" s="63" t="s">
        <v>316</v>
      </c>
      <c r="D426" s="63" t="s">
        <v>261</v>
      </c>
      <c r="E426" s="63" t="s">
        <v>286</v>
      </c>
      <c r="F426" s="63" t="s">
        <v>1750</v>
      </c>
      <c r="G426">
        <v>1</v>
      </c>
      <c r="H426">
        <v>20</v>
      </c>
      <c r="I426">
        <v>20</v>
      </c>
      <c r="J426">
        <v>20</v>
      </c>
      <c r="K426">
        <v>762.7</v>
      </c>
      <c r="L426">
        <v>36</v>
      </c>
    </row>
    <row r="427" spans="1:12">
      <c r="A427">
        <v>921</v>
      </c>
      <c r="B427" s="63" t="s">
        <v>315</v>
      </c>
      <c r="C427" s="63" t="s">
        <v>316</v>
      </c>
      <c r="D427" s="63" t="s">
        <v>261</v>
      </c>
      <c r="E427" s="63" t="s">
        <v>1151</v>
      </c>
      <c r="F427" s="63" t="s">
        <v>1679</v>
      </c>
      <c r="G427">
        <v>1</v>
      </c>
      <c r="H427">
        <v>20</v>
      </c>
      <c r="I427">
        <v>20</v>
      </c>
      <c r="J427">
        <v>20</v>
      </c>
      <c r="K427">
        <v>1222.32</v>
      </c>
      <c r="L427">
        <v>148</v>
      </c>
    </row>
    <row r="428" spans="1:12">
      <c r="A428">
        <v>921</v>
      </c>
      <c r="B428" s="63" t="s">
        <v>315</v>
      </c>
      <c r="C428" s="63" t="s">
        <v>316</v>
      </c>
      <c r="D428" s="63" t="s">
        <v>261</v>
      </c>
      <c r="E428" s="63" t="s">
        <v>362</v>
      </c>
      <c r="F428" s="63" t="s">
        <v>2010</v>
      </c>
      <c r="G428">
        <v>1</v>
      </c>
      <c r="H428">
        <v>20</v>
      </c>
      <c r="I428">
        <v>20</v>
      </c>
      <c r="J428">
        <v>20</v>
      </c>
      <c r="K428">
        <v>784.38</v>
      </c>
      <c r="L428">
        <v>53</v>
      </c>
    </row>
    <row r="429" spans="1:12">
      <c r="A429">
        <v>921</v>
      </c>
      <c r="B429" s="63" t="s">
        <v>315</v>
      </c>
      <c r="C429" s="63" t="s">
        <v>316</v>
      </c>
      <c r="D429" s="63" t="s">
        <v>261</v>
      </c>
      <c r="E429" s="63" t="s">
        <v>362</v>
      </c>
      <c r="F429" s="63" t="s">
        <v>2473</v>
      </c>
      <c r="G429">
        <v>1</v>
      </c>
      <c r="H429">
        <v>20</v>
      </c>
      <c r="I429">
        <v>20</v>
      </c>
      <c r="J429">
        <v>20</v>
      </c>
      <c r="K429">
        <v>779.83</v>
      </c>
      <c r="L429">
        <v>52</v>
      </c>
    </row>
    <row r="430" spans="1:12">
      <c r="A430">
        <v>921</v>
      </c>
      <c r="B430" s="63" t="s">
        <v>315</v>
      </c>
      <c r="C430" s="63" t="s">
        <v>316</v>
      </c>
      <c r="D430" s="63" t="s">
        <v>261</v>
      </c>
      <c r="E430" s="63" t="s">
        <v>362</v>
      </c>
      <c r="F430" s="63" t="s">
        <v>2084</v>
      </c>
      <c r="G430">
        <v>1</v>
      </c>
      <c r="H430">
        <v>20</v>
      </c>
      <c r="I430">
        <v>20</v>
      </c>
      <c r="J430">
        <v>20</v>
      </c>
      <c r="K430">
        <v>780.92</v>
      </c>
      <c r="L430">
        <v>53</v>
      </c>
    </row>
    <row r="431" spans="1:12">
      <c r="A431">
        <v>921</v>
      </c>
      <c r="B431" s="63" t="s">
        <v>315</v>
      </c>
      <c r="C431" s="63" t="s">
        <v>316</v>
      </c>
      <c r="D431" s="63" t="s">
        <v>261</v>
      </c>
      <c r="E431" s="63" t="s">
        <v>362</v>
      </c>
      <c r="F431" s="63" t="s">
        <v>1680</v>
      </c>
      <c r="G431">
        <v>1</v>
      </c>
      <c r="H431">
        <v>20</v>
      </c>
      <c r="I431">
        <v>20</v>
      </c>
      <c r="J431">
        <v>20</v>
      </c>
      <c r="K431">
        <v>1217.47</v>
      </c>
      <c r="L431">
        <v>64</v>
      </c>
    </row>
    <row r="432" spans="1:12">
      <c r="A432">
        <v>921</v>
      </c>
      <c r="B432" s="63" t="s">
        <v>315</v>
      </c>
      <c r="C432" s="63" t="s">
        <v>316</v>
      </c>
      <c r="D432" s="63" t="s">
        <v>261</v>
      </c>
      <c r="E432" s="63" t="s">
        <v>362</v>
      </c>
      <c r="F432" s="63" t="s">
        <v>1681</v>
      </c>
      <c r="G432">
        <v>1</v>
      </c>
      <c r="H432">
        <v>20</v>
      </c>
      <c r="I432">
        <v>20</v>
      </c>
      <c r="J432">
        <v>20</v>
      </c>
      <c r="K432">
        <v>1219.18</v>
      </c>
      <c r="L432">
        <v>64</v>
      </c>
    </row>
    <row r="433" spans="1:12">
      <c r="A433">
        <v>921</v>
      </c>
      <c r="B433" s="63" t="s">
        <v>315</v>
      </c>
      <c r="C433" s="63" t="s">
        <v>316</v>
      </c>
      <c r="D433" s="63" t="s">
        <v>261</v>
      </c>
      <c r="E433" s="63" t="s">
        <v>362</v>
      </c>
      <c r="F433" s="63" t="s">
        <v>2474</v>
      </c>
      <c r="G433">
        <v>1</v>
      </c>
      <c r="H433">
        <v>20</v>
      </c>
      <c r="I433">
        <v>20</v>
      </c>
      <c r="J433">
        <v>20</v>
      </c>
      <c r="K433">
        <v>780.1</v>
      </c>
      <c r="L433">
        <v>52</v>
      </c>
    </row>
    <row r="434" spans="1:12">
      <c r="A434">
        <v>921</v>
      </c>
      <c r="B434" s="63" t="s">
        <v>315</v>
      </c>
      <c r="C434" s="63" t="s">
        <v>316</v>
      </c>
      <c r="D434" s="63" t="s">
        <v>261</v>
      </c>
      <c r="E434" s="63" t="s">
        <v>362</v>
      </c>
      <c r="F434" s="63" t="s">
        <v>2011</v>
      </c>
      <c r="G434">
        <v>1</v>
      </c>
      <c r="H434">
        <v>20</v>
      </c>
      <c r="I434">
        <v>20</v>
      </c>
      <c r="J434">
        <v>20</v>
      </c>
      <c r="K434">
        <v>785.33</v>
      </c>
      <c r="L434">
        <v>57</v>
      </c>
    </row>
    <row r="435" spans="1:12">
      <c r="A435">
        <v>921</v>
      </c>
      <c r="B435" s="63" t="s">
        <v>315</v>
      </c>
      <c r="C435" s="63" t="s">
        <v>316</v>
      </c>
      <c r="D435" s="63" t="s">
        <v>261</v>
      </c>
      <c r="E435" s="63" t="s">
        <v>362</v>
      </c>
      <c r="F435" s="63" t="s">
        <v>2012</v>
      </c>
      <c r="G435">
        <v>1</v>
      </c>
      <c r="H435">
        <v>20</v>
      </c>
      <c r="I435">
        <v>20</v>
      </c>
      <c r="J435">
        <v>20</v>
      </c>
      <c r="K435">
        <v>785.07</v>
      </c>
      <c r="L435">
        <v>57</v>
      </c>
    </row>
    <row r="436" spans="1:12">
      <c r="A436">
        <v>921</v>
      </c>
      <c r="B436" s="63" t="s">
        <v>315</v>
      </c>
      <c r="C436" s="63" t="s">
        <v>316</v>
      </c>
      <c r="D436" s="63" t="s">
        <v>261</v>
      </c>
      <c r="E436" s="63" t="s">
        <v>362</v>
      </c>
      <c r="F436" s="63" t="s">
        <v>1699</v>
      </c>
      <c r="G436">
        <v>1</v>
      </c>
      <c r="H436">
        <v>20</v>
      </c>
      <c r="I436">
        <v>20</v>
      </c>
      <c r="J436">
        <v>20</v>
      </c>
      <c r="K436">
        <v>1224.33</v>
      </c>
      <c r="L436">
        <v>68</v>
      </c>
    </row>
    <row r="437" spans="1:12">
      <c r="A437">
        <v>921</v>
      </c>
      <c r="B437" s="63" t="s">
        <v>315</v>
      </c>
      <c r="C437" s="63" t="s">
        <v>316</v>
      </c>
      <c r="D437" s="63" t="s">
        <v>261</v>
      </c>
      <c r="E437" s="63" t="s">
        <v>362</v>
      </c>
      <c r="F437" s="63" t="s">
        <v>2475</v>
      </c>
      <c r="G437">
        <v>1</v>
      </c>
      <c r="H437">
        <v>20</v>
      </c>
      <c r="I437">
        <v>20</v>
      </c>
      <c r="J437">
        <v>20</v>
      </c>
      <c r="K437">
        <v>761.78</v>
      </c>
      <c r="L437">
        <v>37</v>
      </c>
    </row>
    <row r="438" spans="1:12">
      <c r="A438">
        <v>921</v>
      </c>
      <c r="B438" s="63" t="s">
        <v>315</v>
      </c>
      <c r="C438" s="63" t="s">
        <v>316</v>
      </c>
      <c r="D438" s="63" t="s">
        <v>261</v>
      </c>
      <c r="E438" s="63" t="s">
        <v>362</v>
      </c>
      <c r="F438" s="63" t="s">
        <v>1682</v>
      </c>
      <c r="G438">
        <v>1</v>
      </c>
      <c r="H438">
        <v>20</v>
      </c>
      <c r="I438">
        <v>20</v>
      </c>
      <c r="J438">
        <v>20</v>
      </c>
      <c r="K438">
        <v>1217.18</v>
      </c>
      <c r="L438">
        <v>63</v>
      </c>
    </row>
    <row r="439" spans="1:12">
      <c r="A439">
        <v>921</v>
      </c>
      <c r="B439" s="63" t="s">
        <v>315</v>
      </c>
      <c r="C439" s="63" t="s">
        <v>316</v>
      </c>
      <c r="D439" s="63" t="s">
        <v>261</v>
      </c>
      <c r="E439" s="63" t="s">
        <v>362</v>
      </c>
      <c r="F439" s="63" t="s">
        <v>1683</v>
      </c>
      <c r="G439">
        <v>1</v>
      </c>
      <c r="H439">
        <v>20</v>
      </c>
      <c r="I439">
        <v>20</v>
      </c>
      <c r="J439">
        <v>20</v>
      </c>
      <c r="K439">
        <v>1217.73</v>
      </c>
      <c r="L439">
        <v>65</v>
      </c>
    </row>
    <row r="440" spans="1:12">
      <c r="A440">
        <v>921</v>
      </c>
      <c r="B440" s="63" t="s">
        <v>315</v>
      </c>
      <c r="C440" s="63" t="s">
        <v>316</v>
      </c>
      <c r="D440" s="63" t="s">
        <v>261</v>
      </c>
      <c r="E440" s="63" t="s">
        <v>362</v>
      </c>
      <c r="F440" s="63" t="s">
        <v>1684</v>
      </c>
      <c r="G440">
        <v>1</v>
      </c>
      <c r="H440">
        <v>20</v>
      </c>
      <c r="I440">
        <v>20</v>
      </c>
      <c r="J440">
        <v>20</v>
      </c>
      <c r="K440">
        <v>1218.9000000000001</v>
      </c>
      <c r="L440">
        <v>64</v>
      </c>
    </row>
    <row r="441" spans="1:12">
      <c r="A441">
        <v>921</v>
      </c>
      <c r="B441" s="63" t="s">
        <v>315</v>
      </c>
      <c r="C441" s="63" t="s">
        <v>316</v>
      </c>
      <c r="D441" s="63" t="s">
        <v>261</v>
      </c>
      <c r="E441" s="63" t="s">
        <v>362</v>
      </c>
      <c r="F441" s="63" t="s">
        <v>2013</v>
      </c>
      <c r="G441">
        <v>1</v>
      </c>
      <c r="H441">
        <v>20</v>
      </c>
      <c r="I441">
        <v>20</v>
      </c>
      <c r="J441">
        <v>20</v>
      </c>
      <c r="K441">
        <v>786.42</v>
      </c>
      <c r="L441">
        <v>55</v>
      </c>
    </row>
    <row r="442" spans="1:12">
      <c r="A442">
        <v>921</v>
      </c>
      <c r="B442" s="63" t="s">
        <v>315</v>
      </c>
      <c r="C442" s="63" t="s">
        <v>316</v>
      </c>
      <c r="D442" s="63" t="s">
        <v>261</v>
      </c>
      <c r="E442" s="63" t="s">
        <v>362</v>
      </c>
      <c r="F442" s="63" t="s">
        <v>2014</v>
      </c>
      <c r="G442">
        <v>1</v>
      </c>
      <c r="H442">
        <v>20</v>
      </c>
      <c r="I442">
        <v>20</v>
      </c>
      <c r="J442">
        <v>20</v>
      </c>
      <c r="K442">
        <v>786.15</v>
      </c>
      <c r="L442">
        <v>55</v>
      </c>
    </row>
    <row r="443" spans="1:12">
      <c r="A443">
        <v>921</v>
      </c>
      <c r="B443" s="63" t="s">
        <v>315</v>
      </c>
      <c r="C443" s="63" t="s">
        <v>316</v>
      </c>
      <c r="D443" s="63" t="s">
        <v>261</v>
      </c>
      <c r="E443" s="63" t="s">
        <v>362</v>
      </c>
      <c r="F443" s="63" t="s">
        <v>1685</v>
      </c>
      <c r="G443">
        <v>1</v>
      </c>
      <c r="H443">
        <v>20</v>
      </c>
      <c r="I443">
        <v>20</v>
      </c>
      <c r="J443">
        <v>20</v>
      </c>
      <c r="K443">
        <v>1218.6199999999999</v>
      </c>
      <c r="L443">
        <v>64</v>
      </c>
    </row>
    <row r="444" spans="1:12">
      <c r="A444">
        <v>921</v>
      </c>
      <c r="B444" s="63" t="s">
        <v>315</v>
      </c>
      <c r="C444" s="63" t="s">
        <v>316</v>
      </c>
      <c r="D444" s="63" t="s">
        <v>261</v>
      </c>
      <c r="E444" s="63" t="s">
        <v>362</v>
      </c>
      <c r="F444" s="63" t="s">
        <v>2085</v>
      </c>
      <c r="G444">
        <v>1</v>
      </c>
      <c r="H444">
        <v>20</v>
      </c>
      <c r="I444">
        <v>20</v>
      </c>
      <c r="J444">
        <v>20</v>
      </c>
      <c r="K444">
        <v>780.65</v>
      </c>
      <c r="L444">
        <v>53</v>
      </c>
    </row>
    <row r="445" spans="1:12">
      <c r="A445">
        <v>921</v>
      </c>
      <c r="B445" s="63" t="s">
        <v>315</v>
      </c>
      <c r="C445" s="63" t="s">
        <v>316</v>
      </c>
      <c r="D445" s="63" t="s">
        <v>261</v>
      </c>
      <c r="E445" s="63" t="s">
        <v>362</v>
      </c>
      <c r="F445" s="63" t="s">
        <v>2015</v>
      </c>
      <c r="G445">
        <v>1</v>
      </c>
      <c r="H445">
        <v>20</v>
      </c>
      <c r="I445">
        <v>20</v>
      </c>
      <c r="J445">
        <v>20</v>
      </c>
      <c r="K445">
        <v>785.87</v>
      </c>
      <c r="L445">
        <v>55</v>
      </c>
    </row>
    <row r="446" spans="1:12">
      <c r="A446">
        <v>921</v>
      </c>
      <c r="B446" s="63" t="s">
        <v>315</v>
      </c>
      <c r="C446" s="63" t="s">
        <v>316</v>
      </c>
      <c r="D446" s="63" t="s">
        <v>261</v>
      </c>
      <c r="E446" s="63" t="s">
        <v>362</v>
      </c>
      <c r="F446" s="63" t="s">
        <v>2016</v>
      </c>
      <c r="G446">
        <v>1</v>
      </c>
      <c r="H446">
        <v>20</v>
      </c>
      <c r="I446">
        <v>20</v>
      </c>
      <c r="J446">
        <v>20</v>
      </c>
      <c r="K446">
        <v>784.78</v>
      </c>
      <c r="L446">
        <v>57</v>
      </c>
    </row>
    <row r="447" spans="1:12">
      <c r="A447">
        <v>921</v>
      </c>
      <c r="B447" s="63" t="s">
        <v>315</v>
      </c>
      <c r="C447" s="63" t="s">
        <v>316</v>
      </c>
      <c r="D447" s="63" t="s">
        <v>261</v>
      </c>
      <c r="E447" s="63" t="s">
        <v>272</v>
      </c>
      <c r="F447" s="63" t="s">
        <v>1686</v>
      </c>
      <c r="G447">
        <v>1</v>
      </c>
      <c r="H447">
        <v>20</v>
      </c>
      <c r="I447">
        <v>20</v>
      </c>
      <c r="J447">
        <v>20</v>
      </c>
      <c r="K447">
        <v>915.72</v>
      </c>
      <c r="L447">
        <v>51</v>
      </c>
    </row>
    <row r="448" spans="1:12">
      <c r="A448">
        <v>921</v>
      </c>
      <c r="B448" s="63" t="s">
        <v>315</v>
      </c>
      <c r="C448" s="63" t="s">
        <v>316</v>
      </c>
      <c r="D448" s="63" t="s">
        <v>261</v>
      </c>
      <c r="E448" s="63" t="s">
        <v>272</v>
      </c>
      <c r="F448" s="63" t="s">
        <v>2476</v>
      </c>
      <c r="G448">
        <v>1</v>
      </c>
      <c r="H448">
        <v>20</v>
      </c>
      <c r="I448">
        <v>20</v>
      </c>
      <c r="J448">
        <v>20</v>
      </c>
      <c r="K448">
        <v>683.83</v>
      </c>
      <c r="L448">
        <v>30</v>
      </c>
    </row>
    <row r="449" spans="1:12">
      <c r="A449">
        <v>921</v>
      </c>
      <c r="B449" s="63" t="s">
        <v>315</v>
      </c>
      <c r="C449" s="63" t="s">
        <v>316</v>
      </c>
      <c r="D449" s="63" t="s">
        <v>261</v>
      </c>
      <c r="E449" s="63" t="s">
        <v>272</v>
      </c>
      <c r="F449" s="63" t="s">
        <v>329</v>
      </c>
      <c r="G449">
        <v>1</v>
      </c>
      <c r="H449">
        <v>20</v>
      </c>
      <c r="I449">
        <v>20</v>
      </c>
      <c r="J449">
        <v>20</v>
      </c>
      <c r="K449">
        <v>792.23</v>
      </c>
      <c r="L449">
        <v>44</v>
      </c>
    </row>
    <row r="450" spans="1:12">
      <c r="A450">
        <v>921</v>
      </c>
      <c r="B450" s="63" t="s">
        <v>315</v>
      </c>
      <c r="C450" s="63" t="s">
        <v>316</v>
      </c>
      <c r="D450" s="63" t="s">
        <v>261</v>
      </c>
      <c r="E450" s="63" t="s">
        <v>272</v>
      </c>
      <c r="F450" s="63" t="s">
        <v>1687</v>
      </c>
      <c r="G450">
        <v>1</v>
      </c>
      <c r="H450">
        <v>20</v>
      </c>
      <c r="I450">
        <v>20</v>
      </c>
      <c r="J450">
        <v>20</v>
      </c>
      <c r="K450">
        <v>791.4</v>
      </c>
      <c r="L450">
        <v>62</v>
      </c>
    </row>
    <row r="451" spans="1:12">
      <c r="A451">
        <v>921</v>
      </c>
      <c r="B451" s="63" t="s">
        <v>315</v>
      </c>
      <c r="C451" s="63" t="s">
        <v>316</v>
      </c>
      <c r="D451" s="63" t="s">
        <v>261</v>
      </c>
      <c r="E451" s="63" t="s">
        <v>272</v>
      </c>
      <c r="F451" s="63" t="s">
        <v>1688</v>
      </c>
      <c r="G451">
        <v>1</v>
      </c>
      <c r="H451">
        <v>20</v>
      </c>
      <c r="I451">
        <v>20</v>
      </c>
      <c r="J451">
        <v>20</v>
      </c>
      <c r="K451">
        <v>916.8</v>
      </c>
      <c r="L451">
        <v>55</v>
      </c>
    </row>
    <row r="452" spans="1:12">
      <c r="A452">
        <v>921</v>
      </c>
      <c r="B452" s="63" t="s">
        <v>315</v>
      </c>
      <c r="C452" s="63" t="s">
        <v>316</v>
      </c>
      <c r="D452" s="63" t="s">
        <v>261</v>
      </c>
      <c r="E452" s="63" t="s">
        <v>272</v>
      </c>
      <c r="F452" s="63" t="s">
        <v>1689</v>
      </c>
      <c r="G452">
        <v>1</v>
      </c>
      <c r="H452">
        <v>20</v>
      </c>
      <c r="I452">
        <v>20</v>
      </c>
      <c r="J452">
        <v>20</v>
      </c>
      <c r="K452">
        <v>916.92</v>
      </c>
      <c r="L452">
        <v>48</v>
      </c>
    </row>
    <row r="453" spans="1:12">
      <c r="A453">
        <v>921</v>
      </c>
      <c r="B453" s="63" t="s">
        <v>315</v>
      </c>
      <c r="C453" s="63" t="s">
        <v>316</v>
      </c>
      <c r="D453" s="63" t="s">
        <v>261</v>
      </c>
      <c r="E453" s="63" t="s">
        <v>272</v>
      </c>
      <c r="F453" s="63" t="s">
        <v>1690</v>
      </c>
      <c r="G453">
        <v>1</v>
      </c>
      <c r="H453">
        <v>20</v>
      </c>
      <c r="I453">
        <v>20</v>
      </c>
      <c r="J453">
        <v>20</v>
      </c>
      <c r="K453">
        <v>917.02</v>
      </c>
      <c r="L453">
        <v>55</v>
      </c>
    </row>
    <row r="454" spans="1:12">
      <c r="A454">
        <v>921</v>
      </c>
      <c r="B454" s="63" t="s">
        <v>315</v>
      </c>
      <c r="C454" s="63" t="s">
        <v>316</v>
      </c>
      <c r="D454" s="63" t="s">
        <v>261</v>
      </c>
      <c r="E454" s="63" t="s">
        <v>272</v>
      </c>
      <c r="F454" s="63" t="s">
        <v>1691</v>
      </c>
      <c r="G454">
        <v>1</v>
      </c>
      <c r="H454">
        <v>20</v>
      </c>
      <c r="I454">
        <v>20</v>
      </c>
      <c r="J454">
        <v>20</v>
      </c>
      <c r="K454">
        <v>916.38</v>
      </c>
      <c r="L454">
        <v>50</v>
      </c>
    </row>
    <row r="455" spans="1:12">
      <c r="A455">
        <v>921</v>
      </c>
      <c r="B455" s="63" t="s">
        <v>315</v>
      </c>
      <c r="C455" s="63" t="s">
        <v>316</v>
      </c>
      <c r="D455" s="63" t="s">
        <v>261</v>
      </c>
      <c r="E455" s="63" t="s">
        <v>272</v>
      </c>
      <c r="F455" s="63" t="s">
        <v>1692</v>
      </c>
      <c r="G455">
        <v>1</v>
      </c>
      <c r="H455">
        <v>20</v>
      </c>
      <c r="I455">
        <v>20</v>
      </c>
      <c r="J455">
        <v>20</v>
      </c>
      <c r="K455">
        <v>791.95</v>
      </c>
      <c r="L455">
        <v>44</v>
      </c>
    </row>
    <row r="456" spans="1:12">
      <c r="A456">
        <v>921</v>
      </c>
      <c r="B456" s="63" t="s">
        <v>315</v>
      </c>
      <c r="C456" s="63" t="s">
        <v>316</v>
      </c>
      <c r="D456" s="63" t="s">
        <v>261</v>
      </c>
      <c r="E456" s="63" t="s">
        <v>272</v>
      </c>
      <c r="F456" s="63" t="s">
        <v>2477</v>
      </c>
      <c r="G456">
        <v>1</v>
      </c>
      <c r="H456">
        <v>20</v>
      </c>
      <c r="I456">
        <v>20</v>
      </c>
      <c r="J456">
        <v>20</v>
      </c>
      <c r="K456">
        <v>756.8</v>
      </c>
      <c r="L456">
        <v>67</v>
      </c>
    </row>
    <row r="457" spans="1:12">
      <c r="A457">
        <v>921</v>
      </c>
      <c r="B457" s="63" t="s">
        <v>315</v>
      </c>
      <c r="C457" s="63" t="s">
        <v>316</v>
      </c>
      <c r="D457" s="63" t="s">
        <v>261</v>
      </c>
      <c r="E457" s="63" t="s">
        <v>272</v>
      </c>
      <c r="F457" s="63" t="s">
        <v>2478</v>
      </c>
      <c r="G457">
        <v>1</v>
      </c>
      <c r="H457">
        <v>20</v>
      </c>
      <c r="I457">
        <v>20</v>
      </c>
      <c r="J457">
        <v>20</v>
      </c>
      <c r="K457">
        <v>683.55</v>
      </c>
      <c r="L457">
        <v>30</v>
      </c>
    </row>
    <row r="458" spans="1:12">
      <c r="A458">
        <v>921</v>
      </c>
      <c r="B458" s="63" t="s">
        <v>315</v>
      </c>
      <c r="C458" s="63" t="s">
        <v>316</v>
      </c>
      <c r="D458" s="63" t="s">
        <v>261</v>
      </c>
      <c r="E458" s="63" t="s">
        <v>272</v>
      </c>
      <c r="F458" s="63" t="s">
        <v>781</v>
      </c>
      <c r="G458">
        <v>1</v>
      </c>
      <c r="H458">
        <v>20</v>
      </c>
      <c r="I458">
        <v>20</v>
      </c>
      <c r="J458">
        <v>20</v>
      </c>
      <c r="K458">
        <v>792.5</v>
      </c>
      <c r="L458">
        <v>43</v>
      </c>
    </row>
    <row r="459" spans="1:12">
      <c r="A459">
        <v>921</v>
      </c>
      <c r="B459" s="63" t="s">
        <v>315</v>
      </c>
      <c r="C459" s="63" t="s">
        <v>316</v>
      </c>
      <c r="D459" s="63" t="s">
        <v>261</v>
      </c>
      <c r="E459" s="63" t="s">
        <v>272</v>
      </c>
      <c r="F459" s="63" t="s">
        <v>1693</v>
      </c>
      <c r="G459">
        <v>1</v>
      </c>
      <c r="H459">
        <v>20</v>
      </c>
      <c r="I459">
        <v>20</v>
      </c>
      <c r="J459">
        <v>20</v>
      </c>
      <c r="K459">
        <v>916.65</v>
      </c>
      <c r="L459">
        <v>48</v>
      </c>
    </row>
    <row r="460" spans="1:12">
      <c r="A460">
        <v>921</v>
      </c>
      <c r="B460" s="63" t="s">
        <v>315</v>
      </c>
      <c r="C460" s="63" t="s">
        <v>316</v>
      </c>
      <c r="D460" s="63" t="s">
        <v>261</v>
      </c>
      <c r="E460" s="63" t="s">
        <v>272</v>
      </c>
      <c r="F460" s="63" t="s">
        <v>2479</v>
      </c>
      <c r="G460">
        <v>1</v>
      </c>
      <c r="H460">
        <v>20</v>
      </c>
      <c r="I460">
        <v>20</v>
      </c>
      <c r="J460">
        <v>20</v>
      </c>
      <c r="K460">
        <v>756.53</v>
      </c>
      <c r="L460">
        <v>67</v>
      </c>
    </row>
    <row r="461" spans="1:12">
      <c r="A461">
        <v>921</v>
      </c>
      <c r="B461" s="63" t="s">
        <v>315</v>
      </c>
      <c r="C461" s="63" t="s">
        <v>316</v>
      </c>
      <c r="D461" s="63" t="s">
        <v>261</v>
      </c>
      <c r="E461" s="63" t="s">
        <v>272</v>
      </c>
      <c r="F461" s="63" t="s">
        <v>2480</v>
      </c>
      <c r="G461">
        <v>1</v>
      </c>
      <c r="H461">
        <v>20</v>
      </c>
      <c r="I461">
        <v>20</v>
      </c>
      <c r="J461">
        <v>20</v>
      </c>
      <c r="K461">
        <v>684.1</v>
      </c>
      <c r="L461">
        <v>30</v>
      </c>
    </row>
    <row r="462" spans="1:12">
      <c r="A462">
        <v>921</v>
      </c>
      <c r="B462" s="63" t="s">
        <v>315</v>
      </c>
      <c r="C462" s="63" t="s">
        <v>316</v>
      </c>
      <c r="D462" s="63" t="s">
        <v>261</v>
      </c>
      <c r="E462" s="63" t="s">
        <v>272</v>
      </c>
      <c r="F462" s="63" t="s">
        <v>1694</v>
      </c>
      <c r="G462">
        <v>1</v>
      </c>
      <c r="H462">
        <v>20</v>
      </c>
      <c r="I462">
        <v>20</v>
      </c>
      <c r="J462">
        <v>20</v>
      </c>
      <c r="K462">
        <v>916.18</v>
      </c>
      <c r="L462">
        <v>51</v>
      </c>
    </row>
    <row r="463" spans="1:12">
      <c r="A463">
        <v>921</v>
      </c>
      <c r="B463" s="63" t="s">
        <v>315</v>
      </c>
      <c r="C463" s="63" t="s">
        <v>316</v>
      </c>
      <c r="D463" s="63" t="s">
        <v>261</v>
      </c>
      <c r="E463" s="63" t="s">
        <v>272</v>
      </c>
      <c r="F463" s="63" t="s">
        <v>618</v>
      </c>
      <c r="G463">
        <v>1</v>
      </c>
      <c r="H463">
        <v>20</v>
      </c>
      <c r="I463">
        <v>20</v>
      </c>
      <c r="J463">
        <v>20</v>
      </c>
      <c r="K463">
        <v>916.37</v>
      </c>
      <c r="L463">
        <v>48</v>
      </c>
    </row>
    <row r="464" spans="1:12">
      <c r="A464">
        <v>921</v>
      </c>
      <c r="B464" s="63" t="s">
        <v>315</v>
      </c>
      <c r="C464" s="63" t="s">
        <v>316</v>
      </c>
      <c r="D464" s="63" t="s">
        <v>261</v>
      </c>
      <c r="E464" s="63" t="s">
        <v>272</v>
      </c>
      <c r="F464" s="63" t="s">
        <v>1695</v>
      </c>
      <c r="G464">
        <v>1</v>
      </c>
      <c r="H464">
        <v>20</v>
      </c>
      <c r="I464">
        <v>20</v>
      </c>
      <c r="J464">
        <v>20</v>
      </c>
      <c r="K464">
        <v>916.6</v>
      </c>
      <c r="L464">
        <v>55</v>
      </c>
    </row>
    <row r="465" spans="1:12">
      <c r="A465">
        <v>921</v>
      </c>
      <c r="B465" s="63" t="s">
        <v>315</v>
      </c>
      <c r="C465" s="63" t="s">
        <v>316</v>
      </c>
      <c r="D465" s="63" t="s">
        <v>261</v>
      </c>
      <c r="E465" s="63" t="s">
        <v>272</v>
      </c>
      <c r="F465" s="63" t="s">
        <v>2481</v>
      </c>
      <c r="G465">
        <v>1</v>
      </c>
      <c r="H465">
        <v>20</v>
      </c>
      <c r="I465">
        <v>20</v>
      </c>
      <c r="J465">
        <v>20</v>
      </c>
      <c r="K465">
        <v>779.22</v>
      </c>
      <c r="L465">
        <v>52</v>
      </c>
    </row>
    <row r="466" spans="1:12">
      <c r="A466">
        <v>921</v>
      </c>
      <c r="B466" s="63" t="s">
        <v>315</v>
      </c>
      <c r="C466" s="63" t="s">
        <v>316</v>
      </c>
      <c r="D466" s="63" t="s">
        <v>261</v>
      </c>
      <c r="E466" s="63" t="s">
        <v>272</v>
      </c>
      <c r="F466" s="63" t="s">
        <v>569</v>
      </c>
      <c r="G466">
        <v>1</v>
      </c>
      <c r="H466">
        <v>20</v>
      </c>
      <c r="I466">
        <v>20</v>
      </c>
      <c r="J466">
        <v>20</v>
      </c>
      <c r="K466">
        <v>790.55</v>
      </c>
      <c r="L466">
        <v>60</v>
      </c>
    </row>
    <row r="467" spans="1:12">
      <c r="A467">
        <v>921</v>
      </c>
      <c r="B467" s="63" t="s">
        <v>315</v>
      </c>
      <c r="C467" s="63" t="s">
        <v>316</v>
      </c>
      <c r="D467" s="63" t="s">
        <v>261</v>
      </c>
      <c r="E467" s="63" t="s">
        <v>272</v>
      </c>
      <c r="F467" s="63" t="s">
        <v>1067</v>
      </c>
      <c r="G467">
        <v>1</v>
      </c>
      <c r="H467">
        <v>20</v>
      </c>
      <c r="I467">
        <v>20</v>
      </c>
      <c r="J467">
        <v>20</v>
      </c>
      <c r="K467">
        <v>791.67</v>
      </c>
      <c r="L467">
        <v>62</v>
      </c>
    </row>
    <row r="468" spans="1:12">
      <c r="A468">
        <v>921</v>
      </c>
      <c r="B468" s="63" t="s">
        <v>315</v>
      </c>
      <c r="C468" s="63" t="s">
        <v>316</v>
      </c>
      <c r="D468" s="63" t="s">
        <v>261</v>
      </c>
      <c r="E468" s="63" t="s">
        <v>1616</v>
      </c>
      <c r="F468" s="63" t="s">
        <v>1696</v>
      </c>
      <c r="G468">
        <v>1</v>
      </c>
      <c r="H468">
        <v>20</v>
      </c>
      <c r="I468">
        <v>20</v>
      </c>
      <c r="J468">
        <v>20</v>
      </c>
      <c r="K468">
        <v>1222.5999999999999</v>
      </c>
      <c r="L468">
        <v>148</v>
      </c>
    </row>
    <row r="469" spans="1:12">
      <c r="A469">
        <v>921</v>
      </c>
      <c r="B469" s="63" t="s">
        <v>315</v>
      </c>
      <c r="C469" s="63" t="s">
        <v>316</v>
      </c>
      <c r="D469" s="63" t="s">
        <v>261</v>
      </c>
      <c r="E469" s="63" t="s">
        <v>294</v>
      </c>
      <c r="F469" s="63" t="s">
        <v>620</v>
      </c>
      <c r="G469">
        <v>1</v>
      </c>
      <c r="H469">
        <v>20</v>
      </c>
      <c r="I469">
        <v>20</v>
      </c>
      <c r="J469">
        <v>20</v>
      </c>
      <c r="K469">
        <v>1223.43</v>
      </c>
      <c r="L469">
        <v>65</v>
      </c>
    </row>
    <row r="470" spans="1:12">
      <c r="A470">
        <v>921</v>
      </c>
      <c r="B470" s="63" t="s">
        <v>315</v>
      </c>
      <c r="C470" s="63" t="s">
        <v>316</v>
      </c>
      <c r="D470" s="63" t="s">
        <v>261</v>
      </c>
      <c r="E470" s="63" t="s">
        <v>294</v>
      </c>
      <c r="F470" s="63" t="s">
        <v>1697</v>
      </c>
      <c r="G470">
        <v>1</v>
      </c>
      <c r="H470">
        <v>20</v>
      </c>
      <c r="I470">
        <v>20</v>
      </c>
      <c r="J470">
        <v>20</v>
      </c>
      <c r="K470">
        <v>1223.72</v>
      </c>
      <c r="L470">
        <v>64</v>
      </c>
    </row>
    <row r="471" spans="1:12">
      <c r="A471">
        <v>921</v>
      </c>
      <c r="B471" s="63" t="s">
        <v>315</v>
      </c>
      <c r="C471" s="63" t="s">
        <v>316</v>
      </c>
      <c r="D471" s="63" t="s">
        <v>261</v>
      </c>
      <c r="E471" s="63" t="s">
        <v>294</v>
      </c>
      <c r="F471" s="63" t="s">
        <v>1698</v>
      </c>
      <c r="G471">
        <v>1</v>
      </c>
      <c r="H471">
        <v>20</v>
      </c>
      <c r="I471">
        <v>20</v>
      </c>
      <c r="J471">
        <v>20</v>
      </c>
      <c r="K471">
        <v>1224.07</v>
      </c>
      <c r="L471">
        <v>64</v>
      </c>
    </row>
    <row r="472" spans="1:12">
      <c r="A472">
        <v>921</v>
      </c>
      <c r="B472" s="63" t="s">
        <v>315</v>
      </c>
      <c r="C472" s="63" t="s">
        <v>316</v>
      </c>
      <c r="D472" s="63" t="s">
        <v>261</v>
      </c>
      <c r="E472" s="63" t="s">
        <v>294</v>
      </c>
      <c r="F472" s="63" t="s">
        <v>1700</v>
      </c>
      <c r="G472">
        <v>1</v>
      </c>
      <c r="H472">
        <v>20</v>
      </c>
      <c r="I472">
        <v>20</v>
      </c>
      <c r="J472">
        <v>20</v>
      </c>
      <c r="K472">
        <v>1221.55</v>
      </c>
      <c r="L472">
        <v>63</v>
      </c>
    </row>
    <row r="473" spans="1:12">
      <c r="A473">
        <v>921</v>
      </c>
      <c r="B473" s="63" t="s">
        <v>315</v>
      </c>
      <c r="C473" s="63" t="s">
        <v>316</v>
      </c>
      <c r="D473" s="63" t="s">
        <v>261</v>
      </c>
      <c r="E473" s="63" t="s">
        <v>294</v>
      </c>
      <c r="F473" s="63" t="s">
        <v>1701</v>
      </c>
      <c r="G473">
        <v>1</v>
      </c>
      <c r="H473">
        <v>20</v>
      </c>
      <c r="I473">
        <v>20</v>
      </c>
      <c r="J473">
        <v>20</v>
      </c>
      <c r="K473">
        <v>1224.6199999999999</v>
      </c>
      <c r="L473">
        <v>65</v>
      </c>
    </row>
    <row r="474" spans="1:12">
      <c r="A474">
        <v>921</v>
      </c>
      <c r="B474" s="63" t="s">
        <v>315</v>
      </c>
      <c r="C474" s="63" t="s">
        <v>316</v>
      </c>
      <c r="D474" s="63" t="s">
        <v>261</v>
      </c>
      <c r="E474" s="63" t="s">
        <v>276</v>
      </c>
      <c r="F474" s="63" t="s">
        <v>1702</v>
      </c>
      <c r="G474">
        <v>1</v>
      </c>
      <c r="H474">
        <v>20</v>
      </c>
      <c r="I474">
        <v>20</v>
      </c>
      <c r="J474">
        <v>20</v>
      </c>
      <c r="K474">
        <v>1221.83</v>
      </c>
      <c r="L474">
        <v>63</v>
      </c>
    </row>
    <row r="475" spans="1:12">
      <c r="A475">
        <v>921</v>
      </c>
      <c r="B475" s="63" t="s">
        <v>315</v>
      </c>
      <c r="C475" s="63" t="s">
        <v>316</v>
      </c>
      <c r="D475" s="63" t="s">
        <v>261</v>
      </c>
      <c r="E475" s="63" t="s">
        <v>276</v>
      </c>
      <c r="F475" s="63" t="s">
        <v>696</v>
      </c>
      <c r="G475">
        <v>1</v>
      </c>
      <c r="H475">
        <v>20</v>
      </c>
      <c r="I475">
        <v>20</v>
      </c>
      <c r="J475">
        <v>20</v>
      </c>
      <c r="K475">
        <v>1223.1500000000001</v>
      </c>
      <c r="L475">
        <v>67</v>
      </c>
    </row>
    <row r="476" spans="1:12">
      <c r="A476">
        <v>921</v>
      </c>
      <c r="B476" s="63" t="s">
        <v>315</v>
      </c>
      <c r="C476" s="63" t="s">
        <v>316</v>
      </c>
      <c r="D476" s="63" t="s">
        <v>261</v>
      </c>
      <c r="E476" s="63" t="s">
        <v>276</v>
      </c>
      <c r="F476" s="63" t="s">
        <v>1073</v>
      </c>
      <c r="G476">
        <v>1</v>
      </c>
      <c r="H476">
        <v>19</v>
      </c>
      <c r="I476">
        <v>19</v>
      </c>
      <c r="J476">
        <v>19</v>
      </c>
      <c r="K476">
        <v>1224.9000000000001</v>
      </c>
      <c r="L476">
        <v>67</v>
      </c>
    </row>
    <row r="477" spans="1:12">
      <c r="A477">
        <v>921</v>
      </c>
      <c r="B477" s="63" t="s">
        <v>315</v>
      </c>
      <c r="C477" s="63" t="s">
        <v>316</v>
      </c>
      <c r="D477" s="63" t="s">
        <v>261</v>
      </c>
      <c r="E477" s="63" t="s">
        <v>424</v>
      </c>
      <c r="F477" s="63" t="s">
        <v>1703</v>
      </c>
      <c r="G477">
        <v>1</v>
      </c>
      <c r="H477">
        <v>20</v>
      </c>
      <c r="I477">
        <v>20</v>
      </c>
      <c r="J477">
        <v>20</v>
      </c>
      <c r="K477">
        <v>1215.73</v>
      </c>
      <c r="L477">
        <v>84</v>
      </c>
    </row>
    <row r="478" spans="1:12">
      <c r="A478">
        <v>921</v>
      </c>
      <c r="B478" s="63" t="s">
        <v>315</v>
      </c>
      <c r="C478" s="63" t="s">
        <v>316</v>
      </c>
      <c r="D478" s="63" t="s">
        <v>261</v>
      </c>
      <c r="E478" s="63" t="s">
        <v>424</v>
      </c>
      <c r="F478" s="63" t="s">
        <v>1704</v>
      </c>
      <c r="G478">
        <v>1</v>
      </c>
      <c r="H478">
        <v>20</v>
      </c>
      <c r="I478">
        <v>20</v>
      </c>
      <c r="J478">
        <v>20</v>
      </c>
      <c r="K478">
        <v>1213.48</v>
      </c>
      <c r="L478">
        <v>83</v>
      </c>
    </row>
    <row r="479" spans="1:12">
      <c r="A479">
        <v>921</v>
      </c>
      <c r="B479" s="63" t="s">
        <v>315</v>
      </c>
      <c r="C479" s="63" t="s">
        <v>316</v>
      </c>
      <c r="D479" s="63" t="s">
        <v>261</v>
      </c>
      <c r="E479" s="63" t="s">
        <v>311</v>
      </c>
      <c r="F479" s="63" t="s">
        <v>1861</v>
      </c>
      <c r="G479">
        <v>1</v>
      </c>
      <c r="H479">
        <v>60</v>
      </c>
      <c r="I479">
        <v>60</v>
      </c>
      <c r="J479">
        <v>60</v>
      </c>
      <c r="K479">
        <v>635.79999999999995</v>
      </c>
      <c r="L479">
        <v>30</v>
      </c>
    </row>
    <row r="480" spans="1:12">
      <c r="A480">
        <v>921</v>
      </c>
      <c r="B480" s="63" t="s">
        <v>315</v>
      </c>
      <c r="C480" s="63" t="s">
        <v>316</v>
      </c>
      <c r="D480" s="63" t="s">
        <v>261</v>
      </c>
      <c r="E480" s="63" t="s">
        <v>311</v>
      </c>
      <c r="F480" s="63" t="s">
        <v>2482</v>
      </c>
      <c r="G480">
        <v>1</v>
      </c>
      <c r="H480">
        <v>60</v>
      </c>
      <c r="I480">
        <v>60</v>
      </c>
      <c r="J480">
        <v>60</v>
      </c>
      <c r="K480">
        <v>635.75</v>
      </c>
      <c r="L480">
        <v>30</v>
      </c>
    </row>
    <row r="481" spans="1:12">
      <c r="A481">
        <v>921</v>
      </c>
      <c r="B481" s="63" t="s">
        <v>315</v>
      </c>
      <c r="C481" s="63" t="s">
        <v>316</v>
      </c>
      <c r="D481" s="63" t="s">
        <v>261</v>
      </c>
      <c r="E481" s="63" t="s">
        <v>172</v>
      </c>
      <c r="F481" s="63" t="s">
        <v>1247</v>
      </c>
      <c r="G481">
        <v>1</v>
      </c>
      <c r="H481">
        <v>60</v>
      </c>
      <c r="I481">
        <v>60</v>
      </c>
      <c r="J481">
        <v>60</v>
      </c>
      <c r="K481">
        <v>1616.5</v>
      </c>
      <c r="L481">
        <v>67</v>
      </c>
    </row>
    <row r="482" spans="1:12">
      <c r="A482">
        <v>921</v>
      </c>
      <c r="B482" s="63" t="s">
        <v>315</v>
      </c>
      <c r="C482" s="63" t="s">
        <v>316</v>
      </c>
      <c r="D482" s="63" t="s">
        <v>261</v>
      </c>
      <c r="E482" s="63" t="s">
        <v>172</v>
      </c>
      <c r="F482" s="63" t="s">
        <v>1446</v>
      </c>
      <c r="G482">
        <v>1</v>
      </c>
      <c r="H482">
        <v>60</v>
      </c>
      <c r="I482">
        <v>60</v>
      </c>
      <c r="J482">
        <v>60</v>
      </c>
      <c r="K482">
        <v>550.53</v>
      </c>
      <c r="L482">
        <v>22</v>
      </c>
    </row>
    <row r="483" spans="1:12">
      <c r="A483">
        <v>921</v>
      </c>
      <c r="B483" s="63" t="s">
        <v>315</v>
      </c>
      <c r="C483" s="63" t="s">
        <v>316</v>
      </c>
      <c r="D483" s="63" t="s">
        <v>261</v>
      </c>
      <c r="E483" s="63" t="s">
        <v>172</v>
      </c>
      <c r="F483" s="63" t="s">
        <v>1955</v>
      </c>
      <c r="G483">
        <v>1</v>
      </c>
      <c r="H483">
        <v>60</v>
      </c>
      <c r="I483">
        <v>60</v>
      </c>
      <c r="J483">
        <v>60</v>
      </c>
      <c r="K483">
        <v>234.12</v>
      </c>
      <c r="L483">
        <v>132</v>
      </c>
    </row>
    <row r="484" spans="1:12">
      <c r="A484">
        <v>921</v>
      </c>
      <c r="B484" s="63" t="s">
        <v>315</v>
      </c>
      <c r="C484" s="63" t="s">
        <v>316</v>
      </c>
      <c r="D484" s="63" t="s">
        <v>261</v>
      </c>
      <c r="E484" s="63" t="s">
        <v>172</v>
      </c>
      <c r="F484" s="63" t="s">
        <v>1408</v>
      </c>
      <c r="G484">
        <v>1</v>
      </c>
      <c r="H484">
        <v>60</v>
      </c>
      <c r="I484">
        <v>60</v>
      </c>
      <c r="J484">
        <v>60</v>
      </c>
      <c r="K484">
        <v>367.47</v>
      </c>
      <c r="L484">
        <v>17</v>
      </c>
    </row>
    <row r="485" spans="1:12">
      <c r="A485">
        <v>921</v>
      </c>
      <c r="B485" s="63" t="s">
        <v>315</v>
      </c>
      <c r="C485" s="63" t="s">
        <v>316</v>
      </c>
      <c r="D485" s="63" t="s">
        <v>261</v>
      </c>
      <c r="E485" s="63" t="s">
        <v>172</v>
      </c>
      <c r="F485" s="63" t="s">
        <v>771</v>
      </c>
      <c r="G485">
        <v>1</v>
      </c>
      <c r="H485">
        <v>59</v>
      </c>
      <c r="I485">
        <v>59</v>
      </c>
      <c r="J485">
        <v>59</v>
      </c>
      <c r="K485">
        <v>482.03</v>
      </c>
      <c r="L485">
        <v>19</v>
      </c>
    </row>
    <row r="486" spans="1:12">
      <c r="A486">
        <v>921</v>
      </c>
      <c r="B486" s="63" t="s">
        <v>315</v>
      </c>
      <c r="C486" s="63" t="s">
        <v>316</v>
      </c>
      <c r="D486" s="63" t="s">
        <v>261</v>
      </c>
      <c r="E486" s="63" t="s">
        <v>172</v>
      </c>
      <c r="F486" s="63" t="s">
        <v>2483</v>
      </c>
      <c r="G486">
        <v>1</v>
      </c>
      <c r="H486">
        <v>60</v>
      </c>
      <c r="I486">
        <v>60</v>
      </c>
      <c r="J486">
        <v>60</v>
      </c>
      <c r="K486">
        <v>435.27</v>
      </c>
      <c r="L486">
        <v>17</v>
      </c>
    </row>
    <row r="487" spans="1:12">
      <c r="A487">
        <v>921</v>
      </c>
      <c r="B487" s="63" t="s">
        <v>315</v>
      </c>
      <c r="C487" s="63" t="s">
        <v>316</v>
      </c>
      <c r="D487" s="63" t="s">
        <v>261</v>
      </c>
      <c r="E487" s="63" t="s">
        <v>172</v>
      </c>
      <c r="F487" s="63" t="s">
        <v>1319</v>
      </c>
      <c r="G487">
        <v>1</v>
      </c>
      <c r="H487">
        <v>60</v>
      </c>
      <c r="I487">
        <v>60</v>
      </c>
      <c r="J487">
        <v>60</v>
      </c>
      <c r="K487">
        <v>731.77</v>
      </c>
      <c r="L487">
        <v>30</v>
      </c>
    </row>
    <row r="488" spans="1:12">
      <c r="A488">
        <v>921</v>
      </c>
      <c r="B488" s="63" t="s">
        <v>315</v>
      </c>
      <c r="C488" s="63" t="s">
        <v>316</v>
      </c>
      <c r="D488" s="63" t="s">
        <v>261</v>
      </c>
      <c r="E488" s="63" t="s">
        <v>172</v>
      </c>
      <c r="F488" s="63" t="s">
        <v>2484</v>
      </c>
      <c r="G488">
        <v>1</v>
      </c>
      <c r="H488">
        <v>60</v>
      </c>
      <c r="I488">
        <v>60</v>
      </c>
      <c r="J488">
        <v>60</v>
      </c>
      <c r="K488">
        <v>485.78</v>
      </c>
      <c r="L488">
        <v>22</v>
      </c>
    </row>
    <row r="489" spans="1:12">
      <c r="A489">
        <v>921</v>
      </c>
      <c r="B489" s="63" t="s">
        <v>315</v>
      </c>
      <c r="C489" s="63" t="s">
        <v>316</v>
      </c>
      <c r="D489" s="63" t="s">
        <v>261</v>
      </c>
      <c r="E489" s="63" t="s">
        <v>172</v>
      </c>
      <c r="F489" s="63" t="s">
        <v>388</v>
      </c>
      <c r="G489">
        <v>1</v>
      </c>
      <c r="H489">
        <v>59</v>
      </c>
      <c r="I489">
        <v>59</v>
      </c>
      <c r="J489">
        <v>59</v>
      </c>
      <c r="K489">
        <v>3697.55</v>
      </c>
      <c r="L489">
        <v>155</v>
      </c>
    </row>
    <row r="490" spans="1:12">
      <c r="A490">
        <v>921</v>
      </c>
      <c r="B490" s="63" t="s">
        <v>315</v>
      </c>
      <c r="C490" s="63" t="s">
        <v>316</v>
      </c>
      <c r="D490" s="63" t="s">
        <v>261</v>
      </c>
      <c r="E490" s="63" t="s">
        <v>172</v>
      </c>
      <c r="F490" s="63" t="s">
        <v>867</v>
      </c>
      <c r="G490">
        <v>1</v>
      </c>
      <c r="H490">
        <v>60</v>
      </c>
      <c r="I490">
        <v>60</v>
      </c>
      <c r="J490">
        <v>60</v>
      </c>
      <c r="K490">
        <v>2578.9499999999998</v>
      </c>
      <c r="L490">
        <v>107</v>
      </c>
    </row>
    <row r="491" spans="1:12">
      <c r="A491">
        <v>921</v>
      </c>
      <c r="B491" s="63" t="s">
        <v>315</v>
      </c>
      <c r="C491" s="63" t="s">
        <v>316</v>
      </c>
      <c r="D491" s="63" t="s">
        <v>261</v>
      </c>
      <c r="E491" s="63" t="s">
        <v>203</v>
      </c>
      <c r="F491" s="63" t="s">
        <v>887</v>
      </c>
      <c r="G491">
        <v>1</v>
      </c>
      <c r="H491">
        <v>60</v>
      </c>
      <c r="I491">
        <v>60</v>
      </c>
      <c r="J491">
        <v>60</v>
      </c>
      <c r="K491">
        <v>2371.65</v>
      </c>
      <c r="L491">
        <v>98</v>
      </c>
    </row>
    <row r="492" spans="1:12">
      <c r="A492">
        <v>921</v>
      </c>
      <c r="B492" s="63" t="s">
        <v>315</v>
      </c>
      <c r="C492" s="63" t="s">
        <v>316</v>
      </c>
      <c r="D492" s="63" t="s">
        <v>261</v>
      </c>
      <c r="E492" s="63" t="s">
        <v>203</v>
      </c>
      <c r="F492" s="63" t="s">
        <v>1964</v>
      </c>
      <c r="G492">
        <v>1</v>
      </c>
      <c r="H492">
        <v>60</v>
      </c>
      <c r="I492">
        <v>60</v>
      </c>
      <c r="J492">
        <v>60</v>
      </c>
      <c r="K492">
        <v>557.20000000000005</v>
      </c>
      <c r="L492">
        <v>23</v>
      </c>
    </row>
    <row r="493" spans="1:12">
      <c r="A493">
        <v>921</v>
      </c>
      <c r="B493" s="63" t="s">
        <v>315</v>
      </c>
      <c r="C493" s="63" t="s">
        <v>316</v>
      </c>
      <c r="D493" s="63" t="s">
        <v>261</v>
      </c>
      <c r="E493" s="63" t="s">
        <v>173</v>
      </c>
      <c r="F493" s="63" t="s">
        <v>912</v>
      </c>
      <c r="G493">
        <v>1</v>
      </c>
      <c r="H493">
        <v>60</v>
      </c>
      <c r="I493">
        <v>60</v>
      </c>
      <c r="J493">
        <v>60</v>
      </c>
      <c r="K493">
        <v>2281.12</v>
      </c>
      <c r="L493">
        <v>94</v>
      </c>
    </row>
    <row r="494" spans="1:12">
      <c r="A494">
        <v>921</v>
      </c>
      <c r="B494" s="63" t="s">
        <v>315</v>
      </c>
      <c r="C494" s="63" t="s">
        <v>316</v>
      </c>
      <c r="D494" s="63" t="s">
        <v>261</v>
      </c>
      <c r="E494" s="63" t="s">
        <v>173</v>
      </c>
      <c r="F494" s="63" t="s">
        <v>944</v>
      </c>
      <c r="G494">
        <v>1</v>
      </c>
      <c r="H494">
        <v>60</v>
      </c>
      <c r="I494">
        <v>60</v>
      </c>
      <c r="J494">
        <v>60</v>
      </c>
      <c r="K494">
        <v>2198.0500000000002</v>
      </c>
      <c r="L494">
        <v>92</v>
      </c>
    </row>
    <row r="495" spans="1:12">
      <c r="A495">
        <v>921</v>
      </c>
      <c r="B495" s="63" t="s">
        <v>315</v>
      </c>
      <c r="C495" s="63" t="s">
        <v>316</v>
      </c>
      <c r="D495" s="63" t="s">
        <v>261</v>
      </c>
      <c r="E495" s="63" t="s">
        <v>173</v>
      </c>
      <c r="F495" s="63" t="s">
        <v>1105</v>
      </c>
      <c r="G495">
        <v>1</v>
      </c>
      <c r="H495">
        <v>60</v>
      </c>
      <c r="I495">
        <v>60</v>
      </c>
      <c r="J495">
        <v>60</v>
      </c>
      <c r="K495">
        <v>1933.8</v>
      </c>
      <c r="L495">
        <v>80</v>
      </c>
    </row>
    <row r="496" spans="1:12">
      <c r="A496">
        <v>921</v>
      </c>
      <c r="B496" s="63" t="s">
        <v>315</v>
      </c>
      <c r="C496" s="63" t="s">
        <v>316</v>
      </c>
      <c r="D496" s="63" t="s">
        <v>261</v>
      </c>
      <c r="E496" s="63" t="s">
        <v>175</v>
      </c>
      <c r="F496" s="63" t="s">
        <v>1514</v>
      </c>
      <c r="G496">
        <v>1</v>
      </c>
      <c r="H496">
        <v>60</v>
      </c>
      <c r="I496">
        <v>60</v>
      </c>
      <c r="J496">
        <v>60</v>
      </c>
      <c r="K496">
        <v>422.63</v>
      </c>
      <c r="L496">
        <v>19</v>
      </c>
    </row>
    <row r="497" spans="1:12">
      <c r="A497">
        <v>921</v>
      </c>
      <c r="B497" s="63" t="s">
        <v>315</v>
      </c>
      <c r="C497" s="63" t="s">
        <v>316</v>
      </c>
      <c r="D497" s="63" t="s">
        <v>261</v>
      </c>
      <c r="E497" s="63" t="s">
        <v>175</v>
      </c>
      <c r="F497" s="63" t="s">
        <v>1175</v>
      </c>
      <c r="G497">
        <v>1</v>
      </c>
      <c r="H497">
        <v>60</v>
      </c>
      <c r="I497">
        <v>60</v>
      </c>
      <c r="J497">
        <v>60</v>
      </c>
      <c r="K497">
        <v>1709.78</v>
      </c>
      <c r="L497">
        <v>70</v>
      </c>
    </row>
    <row r="498" spans="1:12">
      <c r="A498">
        <v>921</v>
      </c>
      <c r="B498" s="63" t="s">
        <v>315</v>
      </c>
      <c r="C498" s="63" t="s">
        <v>316</v>
      </c>
      <c r="D498" s="63" t="s">
        <v>261</v>
      </c>
      <c r="E498" s="63" t="s">
        <v>175</v>
      </c>
      <c r="F498" s="63" t="s">
        <v>1190</v>
      </c>
      <c r="G498">
        <v>1</v>
      </c>
      <c r="H498">
        <v>60</v>
      </c>
      <c r="I498">
        <v>60</v>
      </c>
      <c r="J498">
        <v>60</v>
      </c>
      <c r="K498">
        <v>500.78</v>
      </c>
      <c r="L498">
        <v>20</v>
      </c>
    </row>
    <row r="499" spans="1:12">
      <c r="A499">
        <v>921</v>
      </c>
      <c r="B499" s="63" t="s">
        <v>315</v>
      </c>
      <c r="C499" s="63" t="s">
        <v>316</v>
      </c>
      <c r="D499" s="63" t="s">
        <v>261</v>
      </c>
      <c r="E499" s="63" t="s">
        <v>175</v>
      </c>
      <c r="F499" s="63" t="s">
        <v>2485</v>
      </c>
      <c r="G499">
        <v>1</v>
      </c>
      <c r="H499">
        <v>60</v>
      </c>
      <c r="I499">
        <v>60</v>
      </c>
      <c r="J499">
        <v>60</v>
      </c>
      <c r="K499">
        <v>234.45</v>
      </c>
      <c r="L499">
        <v>65</v>
      </c>
    </row>
    <row r="500" spans="1:12">
      <c r="A500">
        <v>921</v>
      </c>
      <c r="B500" s="63" t="s">
        <v>315</v>
      </c>
      <c r="C500" s="63" t="s">
        <v>316</v>
      </c>
      <c r="D500" s="63" t="s">
        <v>261</v>
      </c>
      <c r="E500" s="63" t="s">
        <v>175</v>
      </c>
      <c r="F500" s="63" t="s">
        <v>1846</v>
      </c>
      <c r="G500">
        <v>1</v>
      </c>
      <c r="H500">
        <v>60</v>
      </c>
      <c r="I500">
        <v>60</v>
      </c>
      <c r="J500">
        <v>60</v>
      </c>
      <c r="K500">
        <v>721.63</v>
      </c>
      <c r="L500">
        <v>30</v>
      </c>
    </row>
    <row r="501" spans="1:12">
      <c r="A501">
        <v>921</v>
      </c>
      <c r="B501" s="63" t="s">
        <v>315</v>
      </c>
      <c r="C501" s="63" t="s">
        <v>316</v>
      </c>
      <c r="D501" s="63" t="s">
        <v>261</v>
      </c>
      <c r="E501" s="63" t="s">
        <v>175</v>
      </c>
      <c r="F501" s="63" t="s">
        <v>1035</v>
      </c>
      <c r="G501">
        <v>1</v>
      </c>
      <c r="H501">
        <v>60</v>
      </c>
      <c r="I501">
        <v>60</v>
      </c>
      <c r="J501">
        <v>60</v>
      </c>
      <c r="K501">
        <v>2010.83</v>
      </c>
      <c r="L501">
        <v>83</v>
      </c>
    </row>
    <row r="502" spans="1:12">
      <c r="A502">
        <v>921</v>
      </c>
      <c r="B502" s="63" t="s">
        <v>315</v>
      </c>
      <c r="C502" s="63" t="s">
        <v>316</v>
      </c>
      <c r="D502" s="63" t="s">
        <v>261</v>
      </c>
      <c r="E502" s="63" t="s">
        <v>175</v>
      </c>
      <c r="F502" s="63" t="s">
        <v>614</v>
      </c>
      <c r="G502">
        <v>1</v>
      </c>
      <c r="H502">
        <v>60</v>
      </c>
      <c r="I502">
        <v>60</v>
      </c>
      <c r="J502">
        <v>60</v>
      </c>
      <c r="K502">
        <v>233.77</v>
      </c>
      <c r="L502">
        <v>64</v>
      </c>
    </row>
    <row r="503" spans="1:12">
      <c r="A503">
        <v>921</v>
      </c>
      <c r="B503" s="63" t="s">
        <v>315</v>
      </c>
      <c r="C503" s="63" t="s">
        <v>316</v>
      </c>
      <c r="D503" s="63" t="s">
        <v>261</v>
      </c>
      <c r="E503" s="63" t="s">
        <v>176</v>
      </c>
      <c r="F503" s="63" t="s">
        <v>2486</v>
      </c>
      <c r="G503">
        <v>1</v>
      </c>
      <c r="H503">
        <v>48</v>
      </c>
      <c r="I503">
        <v>48</v>
      </c>
      <c r="J503">
        <v>48</v>
      </c>
      <c r="K503">
        <v>632.66999999999996</v>
      </c>
      <c r="L503">
        <v>29</v>
      </c>
    </row>
    <row r="504" spans="1:12">
      <c r="A504">
        <v>921</v>
      </c>
      <c r="B504" s="63" t="s">
        <v>315</v>
      </c>
      <c r="C504" s="63" t="s">
        <v>316</v>
      </c>
      <c r="D504" s="63" t="s">
        <v>261</v>
      </c>
      <c r="E504" s="63" t="s">
        <v>254</v>
      </c>
      <c r="F504" s="63" t="s">
        <v>2053</v>
      </c>
      <c r="G504">
        <v>1</v>
      </c>
      <c r="H504">
        <v>60</v>
      </c>
      <c r="I504">
        <v>60</v>
      </c>
      <c r="J504">
        <v>60</v>
      </c>
      <c r="K504">
        <v>636.15</v>
      </c>
      <c r="L504">
        <v>33</v>
      </c>
    </row>
    <row r="505" spans="1:12">
      <c r="A505">
        <v>921</v>
      </c>
      <c r="B505" s="63" t="s">
        <v>315</v>
      </c>
      <c r="C505" s="63" t="s">
        <v>316</v>
      </c>
      <c r="D505" s="63" t="s">
        <v>261</v>
      </c>
      <c r="E505" s="63" t="s">
        <v>254</v>
      </c>
      <c r="F505" s="63" t="s">
        <v>2487</v>
      </c>
      <c r="G505">
        <v>1</v>
      </c>
      <c r="H505">
        <v>60</v>
      </c>
      <c r="I505">
        <v>60</v>
      </c>
      <c r="J505">
        <v>60</v>
      </c>
      <c r="K505">
        <v>589.29999999999995</v>
      </c>
      <c r="L505">
        <v>67</v>
      </c>
    </row>
    <row r="506" spans="1:12">
      <c r="A506">
        <v>921</v>
      </c>
      <c r="B506" s="63" t="s">
        <v>315</v>
      </c>
      <c r="C506" s="63" t="s">
        <v>316</v>
      </c>
      <c r="D506" s="63" t="s">
        <v>261</v>
      </c>
      <c r="E506" s="63" t="s">
        <v>254</v>
      </c>
      <c r="F506" s="63" t="s">
        <v>1984</v>
      </c>
      <c r="G506">
        <v>1</v>
      </c>
      <c r="H506">
        <v>60</v>
      </c>
      <c r="I506">
        <v>60</v>
      </c>
      <c r="J506">
        <v>60</v>
      </c>
      <c r="K506">
        <v>668.25</v>
      </c>
      <c r="L506">
        <v>33</v>
      </c>
    </row>
    <row r="507" spans="1:12">
      <c r="A507">
        <v>921</v>
      </c>
      <c r="B507" s="63" t="s">
        <v>315</v>
      </c>
      <c r="C507" s="63" t="s">
        <v>316</v>
      </c>
      <c r="D507" s="63" t="s">
        <v>261</v>
      </c>
      <c r="E507" s="63" t="s">
        <v>254</v>
      </c>
      <c r="F507" s="63" t="s">
        <v>2488</v>
      </c>
      <c r="G507">
        <v>1</v>
      </c>
      <c r="H507">
        <v>60</v>
      </c>
      <c r="I507">
        <v>60</v>
      </c>
      <c r="J507">
        <v>60</v>
      </c>
      <c r="K507">
        <v>585.92999999999995</v>
      </c>
      <c r="L507">
        <v>32</v>
      </c>
    </row>
    <row r="508" spans="1:12">
      <c r="A508">
        <v>921</v>
      </c>
      <c r="B508" s="63" t="s">
        <v>315</v>
      </c>
      <c r="C508" s="63" t="s">
        <v>316</v>
      </c>
      <c r="D508" s="63" t="s">
        <v>261</v>
      </c>
      <c r="E508" s="63" t="s">
        <v>254</v>
      </c>
      <c r="F508" s="63" t="s">
        <v>1116</v>
      </c>
      <c r="G508">
        <v>1</v>
      </c>
      <c r="H508">
        <v>60</v>
      </c>
      <c r="I508">
        <v>60</v>
      </c>
      <c r="J508">
        <v>60</v>
      </c>
      <c r="K508">
        <v>668.6</v>
      </c>
      <c r="L508">
        <v>66</v>
      </c>
    </row>
    <row r="509" spans="1:12">
      <c r="A509">
        <v>921</v>
      </c>
      <c r="B509" s="63" t="s">
        <v>315</v>
      </c>
      <c r="C509" s="63" t="s">
        <v>316</v>
      </c>
      <c r="D509" s="63" t="s">
        <v>261</v>
      </c>
      <c r="E509" s="63" t="s">
        <v>254</v>
      </c>
      <c r="F509" s="63" t="s">
        <v>2489</v>
      </c>
      <c r="G509">
        <v>1</v>
      </c>
      <c r="H509">
        <v>60</v>
      </c>
      <c r="I509">
        <v>60</v>
      </c>
      <c r="J509">
        <v>60</v>
      </c>
      <c r="K509">
        <v>673.1</v>
      </c>
      <c r="L509">
        <v>32</v>
      </c>
    </row>
    <row r="510" spans="1:12">
      <c r="A510">
        <v>921</v>
      </c>
      <c r="B510" s="63" t="s">
        <v>315</v>
      </c>
      <c r="C510" s="63" t="s">
        <v>316</v>
      </c>
      <c r="D510" s="63" t="s">
        <v>261</v>
      </c>
      <c r="E510" s="63" t="s">
        <v>254</v>
      </c>
      <c r="F510" s="63" t="s">
        <v>2047</v>
      </c>
      <c r="G510">
        <v>1</v>
      </c>
      <c r="H510">
        <v>60</v>
      </c>
      <c r="I510">
        <v>60</v>
      </c>
      <c r="J510">
        <v>60</v>
      </c>
      <c r="K510">
        <v>669.42</v>
      </c>
      <c r="L510">
        <v>32</v>
      </c>
    </row>
    <row r="511" spans="1:12">
      <c r="A511">
        <v>921</v>
      </c>
      <c r="B511" s="63" t="s">
        <v>315</v>
      </c>
      <c r="C511" s="63" t="s">
        <v>316</v>
      </c>
      <c r="D511" s="63" t="s">
        <v>261</v>
      </c>
      <c r="E511" s="63" t="s">
        <v>254</v>
      </c>
      <c r="F511" s="63" t="s">
        <v>2062</v>
      </c>
      <c r="G511">
        <v>1</v>
      </c>
      <c r="H511">
        <v>60</v>
      </c>
      <c r="I511">
        <v>60</v>
      </c>
      <c r="J511">
        <v>60</v>
      </c>
      <c r="K511">
        <v>670.93</v>
      </c>
      <c r="L511">
        <v>91</v>
      </c>
    </row>
    <row r="512" spans="1:12">
      <c r="A512">
        <v>921</v>
      </c>
      <c r="B512" s="63" t="s">
        <v>315</v>
      </c>
      <c r="C512" s="63" t="s">
        <v>316</v>
      </c>
      <c r="D512" s="63" t="s">
        <v>261</v>
      </c>
      <c r="E512" s="63" t="s">
        <v>254</v>
      </c>
      <c r="F512" s="63" t="s">
        <v>1860</v>
      </c>
      <c r="G512">
        <v>1</v>
      </c>
      <c r="H512">
        <v>60</v>
      </c>
      <c r="I512">
        <v>60</v>
      </c>
      <c r="J512">
        <v>60</v>
      </c>
      <c r="K512">
        <v>565.20000000000005</v>
      </c>
      <c r="L512">
        <v>32</v>
      </c>
    </row>
    <row r="513" spans="1:12">
      <c r="A513">
        <v>921</v>
      </c>
      <c r="B513" s="63" t="s">
        <v>315</v>
      </c>
      <c r="C513" s="63" t="s">
        <v>316</v>
      </c>
      <c r="D513" s="63" t="s">
        <v>261</v>
      </c>
      <c r="E513" s="63" t="s">
        <v>254</v>
      </c>
      <c r="F513" s="63" t="s">
        <v>2490</v>
      </c>
      <c r="G513">
        <v>1</v>
      </c>
      <c r="H513">
        <v>60</v>
      </c>
      <c r="I513">
        <v>60</v>
      </c>
      <c r="J513">
        <v>60</v>
      </c>
      <c r="K513">
        <v>670.07</v>
      </c>
      <c r="L513">
        <v>66</v>
      </c>
    </row>
    <row r="514" spans="1:12">
      <c r="A514">
        <v>921</v>
      </c>
      <c r="B514" s="63" t="s">
        <v>315</v>
      </c>
      <c r="C514" s="63" t="s">
        <v>316</v>
      </c>
      <c r="D514" s="63" t="s">
        <v>261</v>
      </c>
      <c r="E514" s="63" t="s">
        <v>504</v>
      </c>
      <c r="F514" s="63" t="s">
        <v>2058</v>
      </c>
      <c r="G514">
        <v>1</v>
      </c>
      <c r="H514">
        <v>60</v>
      </c>
      <c r="I514">
        <v>60</v>
      </c>
      <c r="J514">
        <v>60</v>
      </c>
      <c r="K514">
        <v>637.03</v>
      </c>
      <c r="L514">
        <v>64</v>
      </c>
    </row>
    <row r="515" spans="1:12">
      <c r="A515">
        <v>921</v>
      </c>
      <c r="B515" s="63" t="s">
        <v>315</v>
      </c>
      <c r="C515" s="63" t="s">
        <v>316</v>
      </c>
      <c r="D515" s="63" t="s">
        <v>261</v>
      </c>
      <c r="E515" s="63" t="s">
        <v>459</v>
      </c>
      <c r="F515" s="63" t="s">
        <v>1131</v>
      </c>
      <c r="G515">
        <v>1</v>
      </c>
      <c r="H515">
        <v>60</v>
      </c>
      <c r="I515">
        <v>60</v>
      </c>
      <c r="J515">
        <v>60</v>
      </c>
      <c r="K515">
        <v>567.72</v>
      </c>
      <c r="L515">
        <v>25</v>
      </c>
    </row>
    <row r="516" spans="1:12">
      <c r="A516">
        <v>921</v>
      </c>
      <c r="B516" s="63" t="s">
        <v>930</v>
      </c>
      <c r="C516" s="63" t="s">
        <v>931</v>
      </c>
      <c r="D516" s="63" t="s">
        <v>261</v>
      </c>
      <c r="E516" s="63" t="s">
        <v>299</v>
      </c>
      <c r="F516" s="63" t="s">
        <v>963</v>
      </c>
      <c r="G516">
        <v>1</v>
      </c>
      <c r="H516">
        <v>19</v>
      </c>
      <c r="I516">
        <v>19</v>
      </c>
      <c r="J516">
        <v>19</v>
      </c>
      <c r="K516">
        <v>2202.5300000000002</v>
      </c>
      <c r="L516">
        <v>96</v>
      </c>
    </row>
    <row r="517" spans="1:12">
      <c r="A517">
        <v>921</v>
      </c>
      <c r="B517" s="63" t="s">
        <v>930</v>
      </c>
      <c r="C517" s="63" t="s">
        <v>931</v>
      </c>
      <c r="D517" s="63" t="s">
        <v>261</v>
      </c>
      <c r="E517" s="63" t="s">
        <v>299</v>
      </c>
      <c r="F517" s="63" t="s">
        <v>955</v>
      </c>
      <c r="G517">
        <v>1</v>
      </c>
      <c r="H517">
        <v>20</v>
      </c>
      <c r="I517">
        <v>20</v>
      </c>
      <c r="J517">
        <v>20</v>
      </c>
      <c r="K517">
        <v>2200.8000000000002</v>
      </c>
      <c r="L517">
        <v>98</v>
      </c>
    </row>
    <row r="518" spans="1:12">
      <c r="A518">
        <v>921</v>
      </c>
      <c r="B518" s="63" t="s">
        <v>930</v>
      </c>
      <c r="C518" s="63" t="s">
        <v>931</v>
      </c>
      <c r="D518" s="63" t="s">
        <v>261</v>
      </c>
      <c r="E518" s="63" t="s">
        <v>299</v>
      </c>
      <c r="F518" s="63" t="s">
        <v>1489</v>
      </c>
      <c r="G518">
        <v>1</v>
      </c>
      <c r="H518">
        <v>20</v>
      </c>
      <c r="I518">
        <v>20</v>
      </c>
      <c r="J518">
        <v>20</v>
      </c>
      <c r="K518">
        <v>2201.0700000000002</v>
      </c>
      <c r="L518">
        <v>97</v>
      </c>
    </row>
    <row r="519" spans="1:12">
      <c r="A519">
        <v>921</v>
      </c>
      <c r="B519" s="63" t="s">
        <v>930</v>
      </c>
      <c r="C519" s="63" t="s">
        <v>931</v>
      </c>
      <c r="D519" s="63" t="s">
        <v>261</v>
      </c>
      <c r="E519" s="63" t="s">
        <v>299</v>
      </c>
      <c r="F519" s="63" t="s">
        <v>959</v>
      </c>
      <c r="G519">
        <v>1</v>
      </c>
      <c r="H519">
        <v>20</v>
      </c>
      <c r="I519">
        <v>20</v>
      </c>
      <c r="J519">
        <v>20</v>
      </c>
      <c r="K519">
        <v>2202.27</v>
      </c>
      <c r="L519">
        <v>96</v>
      </c>
    </row>
    <row r="520" spans="1:12">
      <c r="A520">
        <v>921</v>
      </c>
      <c r="B520" s="63" t="s">
        <v>930</v>
      </c>
      <c r="C520" s="63" t="s">
        <v>931</v>
      </c>
      <c r="D520" s="63" t="s">
        <v>261</v>
      </c>
      <c r="E520" s="63" t="s">
        <v>299</v>
      </c>
      <c r="F520" s="63" t="s">
        <v>1490</v>
      </c>
      <c r="G520">
        <v>1</v>
      </c>
      <c r="H520">
        <v>20</v>
      </c>
      <c r="I520">
        <v>20</v>
      </c>
      <c r="J520">
        <v>20</v>
      </c>
      <c r="K520">
        <v>2205.12</v>
      </c>
      <c r="L520">
        <v>97</v>
      </c>
    </row>
    <row r="521" spans="1:12">
      <c r="A521">
        <v>921</v>
      </c>
      <c r="B521" s="63" t="s">
        <v>930</v>
      </c>
      <c r="C521" s="63" t="s">
        <v>931</v>
      </c>
      <c r="D521" s="63" t="s">
        <v>261</v>
      </c>
      <c r="E521" s="63" t="s">
        <v>299</v>
      </c>
      <c r="F521" s="63" t="s">
        <v>1491</v>
      </c>
      <c r="G521">
        <v>1</v>
      </c>
      <c r="H521">
        <v>20</v>
      </c>
      <c r="I521">
        <v>20</v>
      </c>
      <c r="J521">
        <v>20</v>
      </c>
      <c r="K521">
        <v>2202.8200000000002</v>
      </c>
      <c r="L521">
        <v>96</v>
      </c>
    </row>
    <row r="522" spans="1:12">
      <c r="A522">
        <v>921</v>
      </c>
      <c r="B522" s="63" t="s">
        <v>930</v>
      </c>
      <c r="C522" s="63" t="s">
        <v>931</v>
      </c>
      <c r="D522" s="63" t="s">
        <v>261</v>
      </c>
      <c r="E522" s="63" t="s">
        <v>299</v>
      </c>
      <c r="F522" s="63" t="s">
        <v>1492</v>
      </c>
      <c r="G522">
        <v>1</v>
      </c>
      <c r="H522">
        <v>20</v>
      </c>
      <c r="I522">
        <v>20</v>
      </c>
      <c r="J522">
        <v>20</v>
      </c>
      <c r="K522">
        <v>2207.63</v>
      </c>
      <c r="L522">
        <v>97</v>
      </c>
    </row>
    <row r="523" spans="1:12">
      <c r="A523">
        <v>921</v>
      </c>
      <c r="B523" s="63" t="s">
        <v>930</v>
      </c>
      <c r="C523" s="63" t="s">
        <v>931</v>
      </c>
      <c r="D523" s="63" t="s">
        <v>261</v>
      </c>
      <c r="E523" s="63" t="s">
        <v>299</v>
      </c>
      <c r="F523" s="63" t="s">
        <v>1493</v>
      </c>
      <c r="G523">
        <v>1</v>
      </c>
      <c r="H523">
        <v>20</v>
      </c>
      <c r="I523">
        <v>20</v>
      </c>
      <c r="J523">
        <v>20</v>
      </c>
      <c r="K523">
        <v>2207.35</v>
      </c>
      <c r="L523">
        <v>97</v>
      </c>
    </row>
    <row r="524" spans="1:12">
      <c r="A524">
        <v>921</v>
      </c>
      <c r="B524" s="63" t="s">
        <v>558</v>
      </c>
      <c r="C524" s="63" t="s">
        <v>559</v>
      </c>
      <c r="D524" s="63" t="s">
        <v>261</v>
      </c>
      <c r="E524" s="63" t="s">
        <v>299</v>
      </c>
      <c r="F524" s="63" t="s">
        <v>836</v>
      </c>
      <c r="G524">
        <v>1</v>
      </c>
      <c r="H524">
        <v>20</v>
      </c>
      <c r="I524">
        <v>20</v>
      </c>
      <c r="J524">
        <v>20</v>
      </c>
      <c r="K524">
        <v>1751.5</v>
      </c>
      <c r="L524">
        <v>78</v>
      </c>
    </row>
    <row r="525" spans="1:12">
      <c r="A525">
        <v>921</v>
      </c>
      <c r="B525" s="63" t="s">
        <v>558</v>
      </c>
      <c r="C525" s="63" t="s">
        <v>559</v>
      </c>
      <c r="D525" s="63" t="s">
        <v>261</v>
      </c>
      <c r="E525" s="63" t="s">
        <v>299</v>
      </c>
      <c r="F525" s="63" t="s">
        <v>962</v>
      </c>
      <c r="G525">
        <v>1</v>
      </c>
      <c r="H525">
        <v>20</v>
      </c>
      <c r="I525">
        <v>20</v>
      </c>
      <c r="J525">
        <v>20</v>
      </c>
      <c r="K525">
        <v>1165.17</v>
      </c>
      <c r="L525">
        <v>52</v>
      </c>
    </row>
    <row r="526" spans="1:12">
      <c r="A526">
        <v>921</v>
      </c>
      <c r="B526" s="63" t="s">
        <v>558</v>
      </c>
      <c r="C526" s="63" t="s">
        <v>559</v>
      </c>
      <c r="D526" s="63" t="s">
        <v>261</v>
      </c>
      <c r="E526" s="63" t="s">
        <v>299</v>
      </c>
      <c r="F526" s="63" t="s">
        <v>1900</v>
      </c>
      <c r="G526">
        <v>1</v>
      </c>
      <c r="H526">
        <v>20</v>
      </c>
      <c r="I526">
        <v>20</v>
      </c>
      <c r="J526">
        <v>20</v>
      </c>
      <c r="K526">
        <v>1164.32</v>
      </c>
      <c r="L526">
        <v>52</v>
      </c>
    </row>
    <row r="527" spans="1:12">
      <c r="A527">
        <v>921</v>
      </c>
      <c r="B527" s="63" t="s">
        <v>558</v>
      </c>
      <c r="C527" s="63" t="s">
        <v>559</v>
      </c>
      <c r="D527" s="63" t="s">
        <v>261</v>
      </c>
      <c r="E527" s="63" t="s">
        <v>299</v>
      </c>
      <c r="F527" s="63" t="s">
        <v>1898</v>
      </c>
      <c r="G527">
        <v>1</v>
      </c>
      <c r="H527">
        <v>20</v>
      </c>
      <c r="I527">
        <v>20</v>
      </c>
      <c r="J527">
        <v>20</v>
      </c>
      <c r="K527">
        <v>1164.8800000000001</v>
      </c>
      <c r="L527">
        <v>51</v>
      </c>
    </row>
    <row r="528" spans="1:12">
      <c r="A528">
        <v>921</v>
      </c>
      <c r="B528" s="63" t="s">
        <v>558</v>
      </c>
      <c r="C528" s="63" t="s">
        <v>559</v>
      </c>
      <c r="D528" s="63" t="s">
        <v>261</v>
      </c>
      <c r="E528" s="63" t="s">
        <v>299</v>
      </c>
      <c r="F528" s="63" t="s">
        <v>1902</v>
      </c>
      <c r="G528">
        <v>1</v>
      </c>
      <c r="H528">
        <v>20</v>
      </c>
      <c r="I528">
        <v>20</v>
      </c>
      <c r="J528">
        <v>20</v>
      </c>
      <c r="K528">
        <v>1206.02</v>
      </c>
      <c r="L528">
        <v>64</v>
      </c>
    </row>
    <row r="529" spans="1:12">
      <c r="A529">
        <v>921</v>
      </c>
      <c r="B529" s="63" t="s">
        <v>558</v>
      </c>
      <c r="C529" s="63" t="s">
        <v>559</v>
      </c>
      <c r="D529" s="63" t="s">
        <v>261</v>
      </c>
      <c r="E529" s="63" t="s">
        <v>299</v>
      </c>
      <c r="F529" s="63" t="s">
        <v>821</v>
      </c>
      <c r="G529">
        <v>1</v>
      </c>
      <c r="H529">
        <v>20</v>
      </c>
      <c r="I529">
        <v>20</v>
      </c>
      <c r="J529">
        <v>20</v>
      </c>
      <c r="K529">
        <v>2938.95</v>
      </c>
      <c r="L529">
        <v>76</v>
      </c>
    </row>
    <row r="530" spans="1:12">
      <c r="A530">
        <v>921</v>
      </c>
      <c r="B530" s="63" t="s">
        <v>558</v>
      </c>
      <c r="C530" s="63" t="s">
        <v>559</v>
      </c>
      <c r="D530" s="63" t="s">
        <v>261</v>
      </c>
      <c r="E530" s="63" t="s">
        <v>299</v>
      </c>
      <c r="F530" s="63" t="s">
        <v>1643</v>
      </c>
      <c r="G530">
        <v>1</v>
      </c>
      <c r="H530">
        <v>20</v>
      </c>
      <c r="I530">
        <v>20</v>
      </c>
      <c r="J530">
        <v>20</v>
      </c>
      <c r="K530">
        <v>1394.35</v>
      </c>
      <c r="L530">
        <v>59</v>
      </c>
    </row>
    <row r="531" spans="1:12">
      <c r="A531">
        <v>921</v>
      </c>
      <c r="B531" s="63" t="s">
        <v>558</v>
      </c>
      <c r="C531" s="63" t="s">
        <v>559</v>
      </c>
      <c r="D531" s="63" t="s">
        <v>261</v>
      </c>
      <c r="E531" s="63" t="s">
        <v>299</v>
      </c>
      <c r="F531" s="63" t="s">
        <v>822</v>
      </c>
      <c r="G531">
        <v>1</v>
      </c>
      <c r="H531">
        <v>20</v>
      </c>
      <c r="I531">
        <v>20</v>
      </c>
      <c r="J531">
        <v>20</v>
      </c>
      <c r="K531">
        <v>1752.02</v>
      </c>
      <c r="L531">
        <v>78</v>
      </c>
    </row>
    <row r="532" spans="1:12">
      <c r="A532">
        <v>921</v>
      </c>
      <c r="B532" s="63" t="s">
        <v>558</v>
      </c>
      <c r="C532" s="63" t="s">
        <v>559</v>
      </c>
      <c r="D532" s="63" t="s">
        <v>261</v>
      </c>
      <c r="E532" s="63" t="s">
        <v>299</v>
      </c>
      <c r="F532" s="63" t="s">
        <v>1001</v>
      </c>
      <c r="G532">
        <v>1</v>
      </c>
      <c r="H532">
        <v>20</v>
      </c>
      <c r="I532">
        <v>20</v>
      </c>
      <c r="J532">
        <v>20</v>
      </c>
      <c r="K532">
        <v>1626.15</v>
      </c>
      <c r="L532">
        <v>70</v>
      </c>
    </row>
    <row r="533" spans="1:12">
      <c r="A533">
        <v>921</v>
      </c>
      <c r="B533" s="63" t="s">
        <v>558</v>
      </c>
      <c r="C533" s="63" t="s">
        <v>559</v>
      </c>
      <c r="D533" s="63" t="s">
        <v>261</v>
      </c>
      <c r="E533" s="63" t="s">
        <v>299</v>
      </c>
      <c r="F533" s="63" t="s">
        <v>1904</v>
      </c>
      <c r="G533">
        <v>1</v>
      </c>
      <c r="H533">
        <v>20</v>
      </c>
      <c r="I533">
        <v>20</v>
      </c>
      <c r="J533">
        <v>20</v>
      </c>
      <c r="K533">
        <v>1302.1300000000001</v>
      </c>
      <c r="L533">
        <v>56</v>
      </c>
    </row>
    <row r="534" spans="1:12">
      <c r="A534">
        <v>921</v>
      </c>
      <c r="B534" s="63" t="s">
        <v>558</v>
      </c>
      <c r="C534" s="63" t="s">
        <v>559</v>
      </c>
      <c r="D534" s="63" t="s">
        <v>261</v>
      </c>
      <c r="E534" s="63" t="s">
        <v>299</v>
      </c>
      <c r="F534" s="63" t="s">
        <v>1644</v>
      </c>
      <c r="G534">
        <v>1</v>
      </c>
      <c r="H534">
        <v>20</v>
      </c>
      <c r="I534">
        <v>20</v>
      </c>
      <c r="J534">
        <v>20</v>
      </c>
      <c r="K534">
        <v>1324.95</v>
      </c>
      <c r="L534">
        <v>63</v>
      </c>
    </row>
    <row r="535" spans="1:12">
      <c r="A535">
        <v>921</v>
      </c>
      <c r="B535" s="63" t="s">
        <v>558</v>
      </c>
      <c r="C535" s="63" t="s">
        <v>559</v>
      </c>
      <c r="D535" s="63" t="s">
        <v>261</v>
      </c>
      <c r="E535" s="63" t="s">
        <v>299</v>
      </c>
      <c r="F535" s="63" t="s">
        <v>561</v>
      </c>
      <c r="G535">
        <v>1</v>
      </c>
      <c r="H535">
        <v>20</v>
      </c>
      <c r="I535">
        <v>20</v>
      </c>
      <c r="J535">
        <v>20</v>
      </c>
      <c r="K535">
        <v>1163.77</v>
      </c>
      <c r="L535">
        <v>52</v>
      </c>
    </row>
    <row r="536" spans="1:12">
      <c r="A536">
        <v>921</v>
      </c>
      <c r="B536" s="63" t="s">
        <v>558</v>
      </c>
      <c r="C536" s="63" t="s">
        <v>559</v>
      </c>
      <c r="D536" s="63" t="s">
        <v>261</v>
      </c>
      <c r="E536" s="63" t="s">
        <v>299</v>
      </c>
      <c r="F536" s="63" t="s">
        <v>1485</v>
      </c>
      <c r="G536">
        <v>1</v>
      </c>
      <c r="H536">
        <v>20</v>
      </c>
      <c r="I536">
        <v>20</v>
      </c>
      <c r="J536">
        <v>20</v>
      </c>
      <c r="K536">
        <v>1516.37</v>
      </c>
      <c r="L536">
        <v>67</v>
      </c>
    </row>
    <row r="537" spans="1:12">
      <c r="A537">
        <v>921</v>
      </c>
      <c r="B537" s="63" t="s">
        <v>558</v>
      </c>
      <c r="C537" s="63" t="s">
        <v>559</v>
      </c>
      <c r="D537" s="63" t="s">
        <v>261</v>
      </c>
      <c r="E537" s="63" t="s">
        <v>299</v>
      </c>
      <c r="F537" s="63" t="s">
        <v>814</v>
      </c>
      <c r="G537">
        <v>1</v>
      </c>
      <c r="H537">
        <v>20</v>
      </c>
      <c r="I537">
        <v>20</v>
      </c>
      <c r="J537">
        <v>20</v>
      </c>
      <c r="K537">
        <v>1326</v>
      </c>
      <c r="L537">
        <v>62</v>
      </c>
    </row>
    <row r="538" spans="1:12">
      <c r="A538">
        <v>921</v>
      </c>
      <c r="B538" s="63" t="s">
        <v>558</v>
      </c>
      <c r="C538" s="63" t="s">
        <v>559</v>
      </c>
      <c r="D538" s="63" t="s">
        <v>261</v>
      </c>
      <c r="E538" s="63" t="s">
        <v>299</v>
      </c>
      <c r="F538" s="63" t="s">
        <v>1907</v>
      </c>
      <c r="G538">
        <v>1</v>
      </c>
      <c r="H538">
        <v>20</v>
      </c>
      <c r="I538">
        <v>20</v>
      </c>
      <c r="J538">
        <v>20</v>
      </c>
      <c r="K538">
        <v>1205.47</v>
      </c>
      <c r="L538">
        <v>55</v>
      </c>
    </row>
    <row r="539" spans="1:12">
      <c r="A539">
        <v>921</v>
      </c>
      <c r="B539" s="63" t="s">
        <v>558</v>
      </c>
      <c r="C539" s="63" t="s">
        <v>559</v>
      </c>
      <c r="D539" s="63" t="s">
        <v>261</v>
      </c>
      <c r="E539" s="63" t="s">
        <v>299</v>
      </c>
      <c r="F539" s="63" t="s">
        <v>288</v>
      </c>
      <c r="G539">
        <v>1</v>
      </c>
      <c r="H539">
        <v>20</v>
      </c>
      <c r="I539">
        <v>20</v>
      </c>
      <c r="J539">
        <v>20</v>
      </c>
      <c r="K539">
        <v>1325.23</v>
      </c>
      <c r="L539">
        <v>64</v>
      </c>
    </row>
    <row r="540" spans="1:12">
      <c r="A540">
        <v>921</v>
      </c>
      <c r="B540" s="63" t="s">
        <v>558</v>
      </c>
      <c r="C540" s="63" t="s">
        <v>559</v>
      </c>
      <c r="D540" s="63" t="s">
        <v>261</v>
      </c>
      <c r="E540" s="63" t="s">
        <v>299</v>
      </c>
      <c r="F540" s="63" t="s">
        <v>1645</v>
      </c>
      <c r="G540">
        <v>1</v>
      </c>
      <c r="H540">
        <v>20</v>
      </c>
      <c r="I540">
        <v>20</v>
      </c>
      <c r="J540">
        <v>20</v>
      </c>
      <c r="K540">
        <v>1394</v>
      </c>
      <c r="L540">
        <v>59</v>
      </c>
    </row>
    <row r="541" spans="1:12">
      <c r="A541">
        <v>921</v>
      </c>
      <c r="B541" s="63" t="s">
        <v>558</v>
      </c>
      <c r="C541" s="63" t="s">
        <v>559</v>
      </c>
      <c r="D541" s="63" t="s">
        <v>261</v>
      </c>
      <c r="E541" s="63" t="s">
        <v>299</v>
      </c>
      <c r="F541" s="63" t="s">
        <v>563</v>
      </c>
      <c r="G541">
        <v>1</v>
      </c>
      <c r="H541">
        <v>20</v>
      </c>
      <c r="I541">
        <v>20</v>
      </c>
      <c r="J541">
        <v>20</v>
      </c>
      <c r="K541">
        <v>1729.08</v>
      </c>
      <c r="L541">
        <v>78</v>
      </c>
    </row>
    <row r="542" spans="1:12">
      <c r="A542">
        <v>921</v>
      </c>
      <c r="B542" s="63" t="s">
        <v>558</v>
      </c>
      <c r="C542" s="63" t="s">
        <v>559</v>
      </c>
      <c r="D542" s="63" t="s">
        <v>261</v>
      </c>
      <c r="E542" s="63" t="s">
        <v>299</v>
      </c>
      <c r="F542" s="63" t="s">
        <v>1908</v>
      </c>
      <c r="G542">
        <v>1</v>
      </c>
      <c r="H542">
        <v>20</v>
      </c>
      <c r="I542">
        <v>20</v>
      </c>
      <c r="J542">
        <v>20</v>
      </c>
      <c r="K542">
        <v>1301.8499999999999</v>
      </c>
      <c r="L542">
        <v>56</v>
      </c>
    </row>
    <row r="543" spans="1:12">
      <c r="A543">
        <v>921</v>
      </c>
      <c r="B543" s="63" t="s">
        <v>558</v>
      </c>
      <c r="C543" s="63" t="s">
        <v>559</v>
      </c>
      <c r="D543" s="63" t="s">
        <v>261</v>
      </c>
      <c r="E543" s="63" t="s">
        <v>299</v>
      </c>
      <c r="F543" s="63" t="s">
        <v>1646</v>
      </c>
      <c r="G543">
        <v>1</v>
      </c>
      <c r="H543">
        <v>20</v>
      </c>
      <c r="I543">
        <v>20</v>
      </c>
      <c r="J543">
        <v>20</v>
      </c>
      <c r="K543">
        <v>1392.9</v>
      </c>
      <c r="L543">
        <v>59</v>
      </c>
    </row>
    <row r="544" spans="1:12">
      <c r="A544">
        <v>921</v>
      </c>
      <c r="B544" s="63" t="s">
        <v>558</v>
      </c>
      <c r="C544" s="63" t="s">
        <v>559</v>
      </c>
      <c r="D544" s="63" t="s">
        <v>261</v>
      </c>
      <c r="E544" s="63" t="s">
        <v>299</v>
      </c>
      <c r="F544" s="63" t="s">
        <v>1909</v>
      </c>
      <c r="G544">
        <v>1</v>
      </c>
      <c r="H544">
        <v>20</v>
      </c>
      <c r="I544">
        <v>20</v>
      </c>
      <c r="J544">
        <v>20</v>
      </c>
      <c r="K544">
        <v>1206.02</v>
      </c>
      <c r="L544">
        <v>54</v>
      </c>
    </row>
    <row r="545" spans="1:12">
      <c r="A545">
        <v>921</v>
      </c>
      <c r="B545" s="63" t="s">
        <v>558</v>
      </c>
      <c r="C545" s="63" t="s">
        <v>559</v>
      </c>
      <c r="D545" s="63" t="s">
        <v>261</v>
      </c>
      <c r="E545" s="63" t="s">
        <v>299</v>
      </c>
      <c r="F545" s="63" t="s">
        <v>840</v>
      </c>
      <c r="G545">
        <v>1</v>
      </c>
      <c r="H545">
        <v>20</v>
      </c>
      <c r="I545">
        <v>20</v>
      </c>
      <c r="J545">
        <v>20</v>
      </c>
      <c r="K545">
        <v>1752.22</v>
      </c>
      <c r="L545">
        <v>78</v>
      </c>
    </row>
    <row r="546" spans="1:12">
      <c r="A546">
        <v>921</v>
      </c>
      <c r="B546" s="63" t="s">
        <v>558</v>
      </c>
      <c r="C546" s="63" t="s">
        <v>559</v>
      </c>
      <c r="D546" s="63" t="s">
        <v>261</v>
      </c>
      <c r="E546" s="63" t="s">
        <v>299</v>
      </c>
      <c r="F546" s="63" t="s">
        <v>564</v>
      </c>
      <c r="G546">
        <v>1</v>
      </c>
      <c r="H546">
        <v>20</v>
      </c>
      <c r="I546">
        <v>20</v>
      </c>
      <c r="J546">
        <v>20</v>
      </c>
      <c r="K546">
        <v>1729.25</v>
      </c>
      <c r="L546">
        <v>78</v>
      </c>
    </row>
    <row r="547" spans="1:12">
      <c r="A547">
        <v>921</v>
      </c>
      <c r="B547" s="63" t="s">
        <v>558</v>
      </c>
      <c r="C547" s="63" t="s">
        <v>559</v>
      </c>
      <c r="D547" s="63" t="s">
        <v>261</v>
      </c>
      <c r="E547" s="63" t="s">
        <v>299</v>
      </c>
      <c r="F547" s="63" t="s">
        <v>1647</v>
      </c>
      <c r="G547">
        <v>1</v>
      </c>
      <c r="H547">
        <v>20</v>
      </c>
      <c r="I547">
        <v>20</v>
      </c>
      <c r="J547">
        <v>20</v>
      </c>
      <c r="K547">
        <v>1515.73</v>
      </c>
      <c r="L547">
        <v>68</v>
      </c>
    </row>
    <row r="548" spans="1:12">
      <c r="A548">
        <v>921</v>
      </c>
      <c r="B548" s="63" t="s">
        <v>558</v>
      </c>
      <c r="C548" s="63" t="s">
        <v>559</v>
      </c>
      <c r="D548" s="63" t="s">
        <v>261</v>
      </c>
      <c r="E548" s="63" t="s">
        <v>299</v>
      </c>
      <c r="F548" s="63" t="s">
        <v>1913</v>
      </c>
      <c r="G548">
        <v>1</v>
      </c>
      <c r="H548">
        <v>20</v>
      </c>
      <c r="I548">
        <v>20</v>
      </c>
      <c r="J548">
        <v>20</v>
      </c>
      <c r="K548">
        <v>1153.72</v>
      </c>
      <c r="L548">
        <v>51</v>
      </c>
    </row>
    <row r="549" spans="1:12">
      <c r="A549">
        <v>921</v>
      </c>
      <c r="B549" s="63" t="s">
        <v>558</v>
      </c>
      <c r="C549" s="63" t="s">
        <v>559</v>
      </c>
      <c r="D549" s="63" t="s">
        <v>261</v>
      </c>
      <c r="E549" s="63" t="s">
        <v>299</v>
      </c>
      <c r="F549" s="63" t="s">
        <v>837</v>
      </c>
      <c r="G549">
        <v>1</v>
      </c>
      <c r="H549">
        <v>20</v>
      </c>
      <c r="I549">
        <v>20</v>
      </c>
      <c r="J549">
        <v>20</v>
      </c>
      <c r="K549">
        <v>1751.05</v>
      </c>
      <c r="L549">
        <v>80</v>
      </c>
    </row>
    <row r="550" spans="1:12">
      <c r="A550">
        <v>921</v>
      </c>
      <c r="B550" s="63" t="s">
        <v>558</v>
      </c>
      <c r="C550" s="63" t="s">
        <v>559</v>
      </c>
      <c r="D550" s="63" t="s">
        <v>261</v>
      </c>
      <c r="E550" s="63" t="s">
        <v>299</v>
      </c>
      <c r="F550" s="63" t="s">
        <v>692</v>
      </c>
      <c r="G550">
        <v>1</v>
      </c>
      <c r="H550">
        <v>20</v>
      </c>
      <c r="I550">
        <v>20</v>
      </c>
      <c r="J550">
        <v>20</v>
      </c>
      <c r="K550">
        <v>1936.37</v>
      </c>
      <c r="L550">
        <v>82</v>
      </c>
    </row>
    <row r="551" spans="1:12">
      <c r="A551">
        <v>921</v>
      </c>
      <c r="B551" s="63" t="s">
        <v>558</v>
      </c>
      <c r="C551" s="63" t="s">
        <v>559</v>
      </c>
      <c r="D551" s="63" t="s">
        <v>261</v>
      </c>
      <c r="E551" s="63" t="s">
        <v>299</v>
      </c>
      <c r="F551" s="63" t="s">
        <v>597</v>
      </c>
      <c r="G551">
        <v>1</v>
      </c>
      <c r="H551">
        <v>20</v>
      </c>
      <c r="I551">
        <v>20</v>
      </c>
      <c r="J551">
        <v>20</v>
      </c>
      <c r="K551">
        <v>1728.8</v>
      </c>
      <c r="L551">
        <v>78</v>
      </c>
    </row>
    <row r="552" spans="1:12">
      <c r="A552">
        <v>921</v>
      </c>
      <c r="B552" s="63" t="s">
        <v>558</v>
      </c>
      <c r="C552" s="63" t="s">
        <v>559</v>
      </c>
      <c r="D552" s="63" t="s">
        <v>261</v>
      </c>
      <c r="E552" s="63" t="s">
        <v>299</v>
      </c>
      <c r="F552" s="63" t="s">
        <v>1916</v>
      </c>
      <c r="G552">
        <v>1</v>
      </c>
      <c r="H552">
        <v>20</v>
      </c>
      <c r="I552">
        <v>20</v>
      </c>
      <c r="J552">
        <v>20</v>
      </c>
      <c r="K552">
        <v>1301.8499999999999</v>
      </c>
      <c r="L552">
        <v>67</v>
      </c>
    </row>
    <row r="553" spans="1:12">
      <c r="A553">
        <v>921</v>
      </c>
      <c r="B553" s="63" t="s">
        <v>558</v>
      </c>
      <c r="C553" s="63" t="s">
        <v>559</v>
      </c>
      <c r="D553" s="63" t="s">
        <v>261</v>
      </c>
      <c r="E553" s="63" t="s">
        <v>299</v>
      </c>
      <c r="F553" s="63" t="s">
        <v>1648</v>
      </c>
      <c r="G553">
        <v>1</v>
      </c>
      <c r="H553">
        <v>20</v>
      </c>
      <c r="I553">
        <v>20</v>
      </c>
      <c r="J553">
        <v>20</v>
      </c>
      <c r="K553">
        <v>1392.63</v>
      </c>
      <c r="L553">
        <v>59</v>
      </c>
    </row>
    <row r="554" spans="1:12">
      <c r="A554">
        <v>921</v>
      </c>
      <c r="B554" s="63" t="s">
        <v>558</v>
      </c>
      <c r="C554" s="63" t="s">
        <v>559</v>
      </c>
      <c r="D554" s="63" t="s">
        <v>261</v>
      </c>
      <c r="E554" s="63" t="s">
        <v>299</v>
      </c>
      <c r="F554" s="63" t="s">
        <v>565</v>
      </c>
      <c r="G554">
        <v>1</v>
      </c>
      <c r="H554">
        <v>20</v>
      </c>
      <c r="I554">
        <v>20</v>
      </c>
      <c r="J554">
        <v>20</v>
      </c>
      <c r="K554">
        <v>1553.55</v>
      </c>
      <c r="L554">
        <v>68</v>
      </c>
    </row>
    <row r="555" spans="1:12">
      <c r="A555">
        <v>921</v>
      </c>
      <c r="B555" s="63" t="s">
        <v>558</v>
      </c>
      <c r="C555" s="63" t="s">
        <v>559</v>
      </c>
      <c r="D555" s="63" t="s">
        <v>261</v>
      </c>
      <c r="E555" s="63" t="s">
        <v>299</v>
      </c>
      <c r="F555" s="63" t="s">
        <v>566</v>
      </c>
      <c r="G555">
        <v>1</v>
      </c>
      <c r="H555">
        <v>20</v>
      </c>
      <c r="I555">
        <v>20</v>
      </c>
      <c r="J555">
        <v>20</v>
      </c>
      <c r="K555">
        <v>1728.63</v>
      </c>
      <c r="L555">
        <v>77</v>
      </c>
    </row>
    <row r="556" spans="1:12">
      <c r="A556">
        <v>921</v>
      </c>
      <c r="B556" s="63" t="s">
        <v>558</v>
      </c>
      <c r="C556" s="63" t="s">
        <v>559</v>
      </c>
      <c r="D556" s="63" t="s">
        <v>261</v>
      </c>
      <c r="E556" s="63" t="s">
        <v>299</v>
      </c>
      <c r="F556" s="63" t="s">
        <v>1015</v>
      </c>
      <c r="G556">
        <v>1</v>
      </c>
      <c r="H556">
        <v>20</v>
      </c>
      <c r="I556">
        <v>20</v>
      </c>
      <c r="J556">
        <v>20</v>
      </c>
      <c r="K556">
        <v>1391.67</v>
      </c>
      <c r="L556">
        <v>59</v>
      </c>
    </row>
    <row r="557" spans="1:12">
      <c r="A557">
        <v>921</v>
      </c>
      <c r="B557" s="63" t="s">
        <v>558</v>
      </c>
      <c r="C557" s="63" t="s">
        <v>559</v>
      </c>
      <c r="D557" s="63" t="s">
        <v>261</v>
      </c>
      <c r="E557" s="63" t="s">
        <v>299</v>
      </c>
      <c r="F557" s="63" t="s">
        <v>690</v>
      </c>
      <c r="G557">
        <v>1</v>
      </c>
      <c r="H557">
        <v>20</v>
      </c>
      <c r="I557">
        <v>20</v>
      </c>
      <c r="J557">
        <v>20</v>
      </c>
      <c r="K557">
        <v>1729.45</v>
      </c>
      <c r="L557">
        <v>81</v>
      </c>
    </row>
    <row r="558" spans="1:12">
      <c r="A558">
        <v>921</v>
      </c>
      <c r="B558" s="63" t="s">
        <v>558</v>
      </c>
      <c r="C558" s="63" t="s">
        <v>559</v>
      </c>
      <c r="D558" s="63" t="s">
        <v>261</v>
      </c>
      <c r="E558" s="63" t="s">
        <v>299</v>
      </c>
      <c r="F558" s="63" t="s">
        <v>1651</v>
      </c>
      <c r="G558">
        <v>1</v>
      </c>
      <c r="H558">
        <v>20</v>
      </c>
      <c r="I558">
        <v>20</v>
      </c>
      <c r="J558">
        <v>20</v>
      </c>
      <c r="K558">
        <v>1326.28</v>
      </c>
      <c r="L558">
        <v>65</v>
      </c>
    </row>
    <row r="559" spans="1:12">
      <c r="A559">
        <v>921</v>
      </c>
      <c r="B559" s="63" t="s">
        <v>558</v>
      </c>
      <c r="C559" s="63" t="s">
        <v>559</v>
      </c>
      <c r="D559" s="63" t="s">
        <v>261</v>
      </c>
      <c r="E559" s="63" t="s">
        <v>299</v>
      </c>
      <c r="F559" s="63" t="s">
        <v>1652</v>
      </c>
      <c r="G559">
        <v>1</v>
      </c>
      <c r="H559">
        <v>20</v>
      </c>
      <c r="I559">
        <v>20</v>
      </c>
      <c r="J559">
        <v>20</v>
      </c>
      <c r="K559">
        <v>1552.42</v>
      </c>
      <c r="L559">
        <v>71</v>
      </c>
    </row>
    <row r="560" spans="1:12">
      <c r="A560">
        <v>921</v>
      </c>
      <c r="B560" s="63" t="s">
        <v>558</v>
      </c>
      <c r="C560" s="63" t="s">
        <v>559</v>
      </c>
      <c r="D560" s="63" t="s">
        <v>261</v>
      </c>
      <c r="E560" s="63" t="s">
        <v>299</v>
      </c>
      <c r="F560" s="63" t="s">
        <v>1653</v>
      </c>
      <c r="G560">
        <v>1</v>
      </c>
      <c r="H560">
        <v>20</v>
      </c>
      <c r="I560">
        <v>20</v>
      </c>
      <c r="J560">
        <v>20</v>
      </c>
      <c r="K560">
        <v>1396.92</v>
      </c>
      <c r="L560">
        <v>59</v>
      </c>
    </row>
    <row r="561" spans="1:12">
      <c r="A561">
        <v>921</v>
      </c>
      <c r="B561" s="63" t="s">
        <v>558</v>
      </c>
      <c r="C561" s="63" t="s">
        <v>559</v>
      </c>
      <c r="D561" s="63" t="s">
        <v>261</v>
      </c>
      <c r="E561" s="63" t="s">
        <v>299</v>
      </c>
      <c r="F561" s="63" t="s">
        <v>1654</v>
      </c>
      <c r="G561">
        <v>1</v>
      </c>
      <c r="H561">
        <v>20</v>
      </c>
      <c r="I561">
        <v>20</v>
      </c>
      <c r="J561">
        <v>20</v>
      </c>
      <c r="K561">
        <v>1516.08</v>
      </c>
      <c r="L561">
        <v>68</v>
      </c>
    </row>
    <row r="562" spans="1:12">
      <c r="A562">
        <v>921</v>
      </c>
      <c r="B562" s="63" t="s">
        <v>558</v>
      </c>
      <c r="C562" s="63" t="s">
        <v>559</v>
      </c>
      <c r="D562" s="63" t="s">
        <v>261</v>
      </c>
      <c r="E562" s="63" t="s">
        <v>299</v>
      </c>
      <c r="F562" s="63" t="s">
        <v>1655</v>
      </c>
      <c r="G562">
        <v>1</v>
      </c>
      <c r="H562">
        <v>20</v>
      </c>
      <c r="I562">
        <v>20</v>
      </c>
      <c r="J562">
        <v>20</v>
      </c>
      <c r="K562">
        <v>1393.18</v>
      </c>
      <c r="L562">
        <v>59</v>
      </c>
    </row>
    <row r="563" spans="1:12">
      <c r="A563">
        <v>921</v>
      </c>
      <c r="B563" s="63" t="s">
        <v>558</v>
      </c>
      <c r="C563" s="63" t="s">
        <v>559</v>
      </c>
      <c r="D563" s="63" t="s">
        <v>261</v>
      </c>
      <c r="E563" s="63" t="s">
        <v>299</v>
      </c>
      <c r="F563" s="63" t="s">
        <v>1163</v>
      </c>
      <c r="G563">
        <v>1</v>
      </c>
      <c r="H563">
        <v>20</v>
      </c>
      <c r="I563">
        <v>20</v>
      </c>
      <c r="J563">
        <v>20</v>
      </c>
      <c r="K563">
        <v>1555.82</v>
      </c>
      <c r="L563">
        <v>68</v>
      </c>
    </row>
    <row r="564" spans="1:12">
      <c r="A564">
        <v>921</v>
      </c>
      <c r="B564" s="63" t="s">
        <v>558</v>
      </c>
      <c r="C564" s="63" t="s">
        <v>559</v>
      </c>
      <c r="D564" s="63" t="s">
        <v>261</v>
      </c>
      <c r="E564" s="63" t="s">
        <v>299</v>
      </c>
      <c r="F564" s="63" t="s">
        <v>838</v>
      </c>
      <c r="G564">
        <v>1</v>
      </c>
      <c r="H564">
        <v>20</v>
      </c>
      <c r="I564">
        <v>20</v>
      </c>
      <c r="J564">
        <v>20</v>
      </c>
      <c r="K564">
        <v>1751.67</v>
      </c>
      <c r="L564">
        <v>77</v>
      </c>
    </row>
    <row r="565" spans="1:12">
      <c r="A565">
        <v>921</v>
      </c>
      <c r="B565" s="63" t="s">
        <v>558</v>
      </c>
      <c r="C565" s="63" t="s">
        <v>559</v>
      </c>
      <c r="D565" s="63" t="s">
        <v>261</v>
      </c>
      <c r="E565" s="63" t="s">
        <v>299</v>
      </c>
      <c r="F565" s="63" t="s">
        <v>1656</v>
      </c>
      <c r="G565">
        <v>1</v>
      </c>
      <c r="H565">
        <v>20</v>
      </c>
      <c r="I565">
        <v>20</v>
      </c>
      <c r="J565">
        <v>20</v>
      </c>
      <c r="K565">
        <v>1324.68</v>
      </c>
      <c r="L565">
        <v>58</v>
      </c>
    </row>
    <row r="566" spans="1:12">
      <c r="A566">
        <v>921</v>
      </c>
      <c r="B566" s="63" t="s">
        <v>558</v>
      </c>
      <c r="C566" s="63" t="s">
        <v>559</v>
      </c>
      <c r="D566" s="63" t="s">
        <v>261</v>
      </c>
      <c r="E566" s="63" t="s">
        <v>1022</v>
      </c>
      <c r="F566" s="63" t="s">
        <v>907</v>
      </c>
      <c r="G566">
        <v>1</v>
      </c>
      <c r="H566">
        <v>20</v>
      </c>
      <c r="I566">
        <v>20</v>
      </c>
      <c r="J566">
        <v>20</v>
      </c>
      <c r="K566">
        <v>2441.13</v>
      </c>
      <c r="L566">
        <v>206</v>
      </c>
    </row>
    <row r="567" spans="1:12">
      <c r="A567">
        <v>921</v>
      </c>
      <c r="B567" s="63" t="s">
        <v>558</v>
      </c>
      <c r="C567" s="63" t="s">
        <v>559</v>
      </c>
      <c r="D567" s="63" t="s">
        <v>261</v>
      </c>
      <c r="E567" s="63" t="s">
        <v>1022</v>
      </c>
      <c r="F567" s="63" t="s">
        <v>908</v>
      </c>
      <c r="G567">
        <v>1</v>
      </c>
      <c r="H567">
        <v>20</v>
      </c>
      <c r="I567">
        <v>20</v>
      </c>
      <c r="J567">
        <v>20</v>
      </c>
      <c r="K567">
        <v>2441.42</v>
      </c>
      <c r="L567">
        <v>206</v>
      </c>
    </row>
    <row r="568" spans="1:12">
      <c r="A568">
        <v>921</v>
      </c>
      <c r="B568" s="63" t="s">
        <v>558</v>
      </c>
      <c r="C568" s="63" t="s">
        <v>559</v>
      </c>
      <c r="D568" s="63" t="s">
        <v>261</v>
      </c>
      <c r="E568" s="63" t="s">
        <v>1022</v>
      </c>
      <c r="F568" s="63" t="s">
        <v>906</v>
      </c>
      <c r="G568">
        <v>1</v>
      </c>
      <c r="H568">
        <v>20</v>
      </c>
      <c r="I568">
        <v>20</v>
      </c>
      <c r="J568">
        <v>20</v>
      </c>
      <c r="K568">
        <v>2322.1799999999998</v>
      </c>
      <c r="L568">
        <v>97</v>
      </c>
    </row>
    <row r="569" spans="1:12">
      <c r="A569">
        <v>921</v>
      </c>
      <c r="B569" s="63" t="s">
        <v>558</v>
      </c>
      <c r="C569" s="63" t="s">
        <v>559</v>
      </c>
      <c r="D569" s="63" t="s">
        <v>261</v>
      </c>
      <c r="E569" s="63" t="s">
        <v>1151</v>
      </c>
      <c r="F569" s="63" t="s">
        <v>1109</v>
      </c>
      <c r="G569">
        <v>1</v>
      </c>
      <c r="H569">
        <v>20</v>
      </c>
      <c r="I569">
        <v>20</v>
      </c>
      <c r="J569">
        <v>20</v>
      </c>
      <c r="K569">
        <v>1631.4</v>
      </c>
      <c r="L569">
        <v>75</v>
      </c>
    </row>
    <row r="570" spans="1:12">
      <c r="A570">
        <v>921</v>
      </c>
      <c r="B570" s="63" t="s">
        <v>558</v>
      </c>
      <c r="C570" s="63" t="s">
        <v>559</v>
      </c>
      <c r="D570" s="63" t="s">
        <v>261</v>
      </c>
      <c r="E570" s="63" t="s">
        <v>1185</v>
      </c>
      <c r="F570" s="63" t="s">
        <v>1128</v>
      </c>
      <c r="G570">
        <v>1</v>
      </c>
      <c r="H570">
        <v>20</v>
      </c>
      <c r="I570">
        <v>20</v>
      </c>
      <c r="J570">
        <v>20</v>
      </c>
      <c r="K570">
        <v>1936.37</v>
      </c>
      <c r="L570">
        <v>82</v>
      </c>
    </row>
    <row r="571" spans="1:12">
      <c r="A571">
        <v>921</v>
      </c>
      <c r="B571" s="63" t="s">
        <v>558</v>
      </c>
      <c r="C571" s="63" t="s">
        <v>559</v>
      </c>
      <c r="D571" s="63" t="s">
        <v>261</v>
      </c>
      <c r="E571" s="63" t="s">
        <v>1185</v>
      </c>
      <c r="F571" s="63" t="s">
        <v>1649</v>
      </c>
      <c r="G571">
        <v>1</v>
      </c>
      <c r="H571">
        <v>20</v>
      </c>
      <c r="I571">
        <v>20</v>
      </c>
      <c r="J571">
        <v>20</v>
      </c>
      <c r="K571">
        <v>1553.27</v>
      </c>
      <c r="L571">
        <v>66</v>
      </c>
    </row>
    <row r="572" spans="1:12">
      <c r="A572">
        <v>921</v>
      </c>
      <c r="B572" s="63" t="s">
        <v>558</v>
      </c>
      <c r="C572" s="63" t="s">
        <v>559</v>
      </c>
      <c r="D572" s="63" t="s">
        <v>261</v>
      </c>
      <c r="E572" s="63" t="s">
        <v>1185</v>
      </c>
      <c r="F572" s="63" t="s">
        <v>1650</v>
      </c>
      <c r="G572">
        <v>1</v>
      </c>
      <c r="H572">
        <v>20</v>
      </c>
      <c r="I572">
        <v>20</v>
      </c>
      <c r="J572">
        <v>20</v>
      </c>
      <c r="K572">
        <v>1552.97</v>
      </c>
      <c r="L572">
        <v>67</v>
      </c>
    </row>
    <row r="573" spans="1:12">
      <c r="A573">
        <v>921</v>
      </c>
      <c r="B573" s="63" t="s">
        <v>274</v>
      </c>
      <c r="C573" s="63" t="s">
        <v>332</v>
      </c>
      <c r="D573" s="63" t="s">
        <v>261</v>
      </c>
      <c r="E573" s="63" t="s">
        <v>302</v>
      </c>
      <c r="F573" s="63" t="s">
        <v>333</v>
      </c>
      <c r="G573">
        <v>1</v>
      </c>
      <c r="H573">
        <v>20</v>
      </c>
      <c r="I573">
        <v>20</v>
      </c>
      <c r="J573">
        <v>20</v>
      </c>
      <c r="K573">
        <v>1081.25</v>
      </c>
      <c r="L573">
        <v>28</v>
      </c>
    </row>
    <row r="574" spans="1:12">
      <c r="A574">
        <v>921</v>
      </c>
      <c r="B574" s="63" t="s">
        <v>274</v>
      </c>
      <c r="C574" s="63" t="s">
        <v>332</v>
      </c>
      <c r="D574" s="63" t="s">
        <v>261</v>
      </c>
      <c r="E574" s="63" t="s">
        <v>302</v>
      </c>
      <c r="F574" s="63" t="s">
        <v>571</v>
      </c>
      <c r="G574">
        <v>1</v>
      </c>
      <c r="H574">
        <v>20</v>
      </c>
      <c r="I574">
        <v>20</v>
      </c>
      <c r="J574">
        <v>20</v>
      </c>
      <c r="K574">
        <v>1081.53</v>
      </c>
      <c r="L574">
        <v>28</v>
      </c>
    </row>
    <row r="575" spans="1:12">
      <c r="A575">
        <v>921</v>
      </c>
      <c r="B575" s="63" t="s">
        <v>274</v>
      </c>
      <c r="C575" s="63" t="s">
        <v>332</v>
      </c>
      <c r="D575" s="63" t="s">
        <v>261</v>
      </c>
      <c r="E575" s="63" t="s">
        <v>302</v>
      </c>
      <c r="F575" s="63" t="s">
        <v>2491</v>
      </c>
      <c r="G575">
        <v>1</v>
      </c>
      <c r="H575">
        <v>20</v>
      </c>
      <c r="I575">
        <v>20</v>
      </c>
      <c r="J575">
        <v>20</v>
      </c>
      <c r="K575">
        <v>747.58</v>
      </c>
      <c r="L575">
        <v>25</v>
      </c>
    </row>
    <row r="576" spans="1:12">
      <c r="A576">
        <v>921</v>
      </c>
      <c r="B576" s="63" t="s">
        <v>274</v>
      </c>
      <c r="C576" s="63" t="s">
        <v>332</v>
      </c>
      <c r="D576" s="63" t="s">
        <v>261</v>
      </c>
      <c r="E576" s="63" t="s">
        <v>302</v>
      </c>
      <c r="F576" s="63" t="s">
        <v>1751</v>
      </c>
      <c r="G576">
        <v>1</v>
      </c>
      <c r="H576">
        <v>20</v>
      </c>
      <c r="I576">
        <v>20</v>
      </c>
      <c r="J576">
        <v>20</v>
      </c>
      <c r="K576">
        <v>748.2</v>
      </c>
      <c r="L576">
        <v>25</v>
      </c>
    </row>
    <row r="577" spans="1:12">
      <c r="A577">
        <v>921</v>
      </c>
      <c r="B577" s="63" t="s">
        <v>274</v>
      </c>
      <c r="C577" s="63" t="s">
        <v>332</v>
      </c>
      <c r="D577" s="63" t="s">
        <v>261</v>
      </c>
      <c r="E577" s="63" t="s">
        <v>302</v>
      </c>
      <c r="F577" s="63" t="s">
        <v>1595</v>
      </c>
      <c r="G577">
        <v>1</v>
      </c>
      <c r="H577">
        <v>20</v>
      </c>
      <c r="I577">
        <v>20</v>
      </c>
      <c r="J577">
        <v>20</v>
      </c>
      <c r="K577">
        <v>818</v>
      </c>
      <c r="L577">
        <v>28</v>
      </c>
    </row>
    <row r="578" spans="1:12">
      <c r="A578">
        <v>921</v>
      </c>
      <c r="B578" s="63" t="s">
        <v>274</v>
      </c>
      <c r="C578" s="63" t="s">
        <v>332</v>
      </c>
      <c r="D578" s="63" t="s">
        <v>261</v>
      </c>
      <c r="E578" s="63" t="s">
        <v>302</v>
      </c>
      <c r="F578" s="63" t="s">
        <v>1757</v>
      </c>
      <c r="G578">
        <v>1</v>
      </c>
      <c r="H578">
        <v>20</v>
      </c>
      <c r="I578">
        <v>20</v>
      </c>
      <c r="J578">
        <v>20</v>
      </c>
      <c r="K578">
        <v>747.85</v>
      </c>
      <c r="L578">
        <v>25</v>
      </c>
    </row>
    <row r="579" spans="1:12">
      <c r="A579">
        <v>1000</v>
      </c>
      <c r="B579" s="63" t="s">
        <v>278</v>
      </c>
      <c r="C579" s="63" t="s">
        <v>279</v>
      </c>
      <c r="D579" s="63" t="s">
        <v>269</v>
      </c>
      <c r="E579" s="63" t="s">
        <v>299</v>
      </c>
      <c r="F579" s="63" t="s">
        <v>341</v>
      </c>
      <c r="G579">
        <v>1</v>
      </c>
      <c r="H579">
        <v>15</v>
      </c>
      <c r="I579">
        <v>15</v>
      </c>
      <c r="J579">
        <v>15</v>
      </c>
      <c r="K579">
        <v>10297.129999999999</v>
      </c>
      <c r="L579">
        <v>522</v>
      </c>
    </row>
    <row r="580" spans="1:12">
      <c r="A580">
        <v>1000</v>
      </c>
      <c r="B580" s="63" t="s">
        <v>342</v>
      </c>
      <c r="C580" s="63" t="s">
        <v>343</v>
      </c>
      <c r="D580" s="63" t="s">
        <v>269</v>
      </c>
      <c r="E580" s="63" t="s">
        <v>344</v>
      </c>
      <c r="F580" s="63" t="s">
        <v>345</v>
      </c>
      <c r="G580">
        <v>1</v>
      </c>
      <c r="H580">
        <v>2</v>
      </c>
      <c r="I580">
        <v>2</v>
      </c>
      <c r="J580">
        <v>2</v>
      </c>
      <c r="K580">
        <v>10944.37</v>
      </c>
      <c r="L580">
        <v>477</v>
      </c>
    </row>
    <row r="581" spans="1:12">
      <c r="A581">
        <v>1000</v>
      </c>
      <c r="B581" s="63" t="s">
        <v>312</v>
      </c>
      <c r="C581" s="63" t="s">
        <v>346</v>
      </c>
      <c r="D581" s="63" t="s">
        <v>269</v>
      </c>
      <c r="G581">
        <v>1</v>
      </c>
      <c r="H581">
        <v>3</v>
      </c>
      <c r="I581">
        <v>3</v>
      </c>
      <c r="J581">
        <v>3</v>
      </c>
      <c r="K581">
        <v>9.9499999999999993</v>
      </c>
      <c r="L581">
        <v>175</v>
      </c>
    </row>
    <row r="582" spans="1:12">
      <c r="A582">
        <v>1000</v>
      </c>
      <c r="B582" s="63" t="s">
        <v>312</v>
      </c>
      <c r="C582" s="63" t="s">
        <v>346</v>
      </c>
      <c r="D582" s="63" t="s">
        <v>269</v>
      </c>
      <c r="E582" s="63" t="s">
        <v>311</v>
      </c>
      <c r="F582" s="63" t="s">
        <v>969</v>
      </c>
      <c r="G582">
        <v>1</v>
      </c>
      <c r="H582">
        <v>1</v>
      </c>
      <c r="I582">
        <v>1</v>
      </c>
      <c r="J582">
        <v>1</v>
      </c>
      <c r="K582">
        <v>170.02</v>
      </c>
      <c r="L582">
        <v>175</v>
      </c>
    </row>
    <row r="583" spans="1:12">
      <c r="A583">
        <v>1000</v>
      </c>
      <c r="B583" s="63" t="s">
        <v>312</v>
      </c>
      <c r="C583" s="63" t="s">
        <v>346</v>
      </c>
      <c r="D583" s="63" t="s">
        <v>269</v>
      </c>
      <c r="E583" s="63" t="s">
        <v>175</v>
      </c>
      <c r="F583" s="63" t="s">
        <v>1242</v>
      </c>
      <c r="G583">
        <v>1</v>
      </c>
      <c r="H583">
        <v>56</v>
      </c>
      <c r="I583">
        <v>56</v>
      </c>
      <c r="J583">
        <v>56</v>
      </c>
      <c r="K583">
        <v>64.650000000000006</v>
      </c>
      <c r="L583">
        <v>236</v>
      </c>
    </row>
    <row r="584" spans="1:12">
      <c r="A584">
        <v>1000</v>
      </c>
      <c r="B584" s="63" t="s">
        <v>312</v>
      </c>
      <c r="C584" s="63" t="s">
        <v>346</v>
      </c>
      <c r="D584" s="63" t="s">
        <v>269</v>
      </c>
      <c r="E584" s="63" t="s">
        <v>184</v>
      </c>
      <c r="F584" s="63" t="s">
        <v>1421</v>
      </c>
      <c r="G584">
        <v>1</v>
      </c>
      <c r="H584">
        <v>60</v>
      </c>
      <c r="I584">
        <v>60</v>
      </c>
      <c r="J584">
        <v>60</v>
      </c>
      <c r="K584">
        <v>62.4</v>
      </c>
      <c r="L584">
        <v>162</v>
      </c>
    </row>
    <row r="585" spans="1:12">
      <c r="A585">
        <v>1000</v>
      </c>
      <c r="B585" s="63" t="s">
        <v>312</v>
      </c>
      <c r="C585" s="63" t="s">
        <v>346</v>
      </c>
      <c r="D585" s="63" t="s">
        <v>269</v>
      </c>
      <c r="E585" s="63" t="s">
        <v>176</v>
      </c>
      <c r="F585" s="63" t="s">
        <v>2492</v>
      </c>
      <c r="G585">
        <v>1</v>
      </c>
      <c r="H585">
        <v>54</v>
      </c>
      <c r="I585">
        <v>54</v>
      </c>
      <c r="J585">
        <v>54</v>
      </c>
      <c r="K585">
        <v>77.37</v>
      </c>
      <c r="L585">
        <v>236</v>
      </c>
    </row>
    <row r="586" spans="1:12">
      <c r="A586">
        <v>1000</v>
      </c>
      <c r="B586" s="63" t="s">
        <v>312</v>
      </c>
      <c r="C586" s="63" t="s">
        <v>2493</v>
      </c>
      <c r="D586" s="63" t="s">
        <v>269</v>
      </c>
      <c r="G586">
        <v>1</v>
      </c>
      <c r="H586">
        <v>60</v>
      </c>
      <c r="I586">
        <v>60</v>
      </c>
      <c r="J586">
        <v>60</v>
      </c>
      <c r="K586">
        <v>1.8</v>
      </c>
      <c r="L586">
        <v>0</v>
      </c>
    </row>
    <row r="587" spans="1:12">
      <c r="A587">
        <v>1000</v>
      </c>
      <c r="B587" s="63" t="s">
        <v>312</v>
      </c>
      <c r="C587" s="63" t="s">
        <v>1095</v>
      </c>
      <c r="D587" s="63" t="s">
        <v>269</v>
      </c>
      <c r="G587">
        <v>1</v>
      </c>
      <c r="H587">
        <v>60</v>
      </c>
      <c r="I587">
        <v>60</v>
      </c>
      <c r="J587">
        <v>60</v>
      </c>
      <c r="K587">
        <v>0.77</v>
      </c>
      <c r="L587">
        <v>0</v>
      </c>
    </row>
    <row r="588" spans="1:12">
      <c r="A588" s="63" t="s">
        <v>348</v>
      </c>
      <c r="B588" s="63" t="s">
        <v>312</v>
      </c>
      <c r="C588" s="63" t="s">
        <v>346</v>
      </c>
      <c r="D588" s="63" t="s">
        <v>269</v>
      </c>
      <c r="E588" s="63" t="s">
        <v>362</v>
      </c>
      <c r="F588" s="63" t="s">
        <v>816</v>
      </c>
      <c r="G588">
        <v>1</v>
      </c>
      <c r="H588">
        <v>20</v>
      </c>
      <c r="I588">
        <v>20</v>
      </c>
      <c r="J588">
        <v>20</v>
      </c>
      <c r="K588">
        <v>2752.4</v>
      </c>
      <c r="L588">
        <v>175</v>
      </c>
    </row>
    <row r="589" spans="1:12">
      <c r="A589" s="63" t="s">
        <v>348</v>
      </c>
      <c r="B589" s="63" t="s">
        <v>312</v>
      </c>
      <c r="C589" s="63" t="s">
        <v>346</v>
      </c>
      <c r="D589" s="63" t="s">
        <v>269</v>
      </c>
      <c r="E589" s="63" t="s">
        <v>362</v>
      </c>
      <c r="F589" s="63" t="s">
        <v>817</v>
      </c>
      <c r="G589">
        <v>1</v>
      </c>
      <c r="H589">
        <v>20</v>
      </c>
      <c r="I589">
        <v>20</v>
      </c>
      <c r="J589">
        <v>20</v>
      </c>
      <c r="K589">
        <v>2752.23</v>
      </c>
      <c r="L589">
        <v>175</v>
      </c>
    </row>
    <row r="590" spans="1:12">
      <c r="A590" s="63" t="s">
        <v>348</v>
      </c>
      <c r="B590" s="63" t="s">
        <v>312</v>
      </c>
      <c r="C590" s="63" t="s">
        <v>346</v>
      </c>
      <c r="D590" s="63" t="s">
        <v>269</v>
      </c>
      <c r="E590" s="63" t="s">
        <v>362</v>
      </c>
      <c r="F590" s="63" t="s">
        <v>818</v>
      </c>
      <c r="G590">
        <v>1</v>
      </c>
      <c r="H590">
        <v>20</v>
      </c>
      <c r="I590">
        <v>20</v>
      </c>
      <c r="J590">
        <v>20</v>
      </c>
      <c r="K590">
        <v>2752.62</v>
      </c>
      <c r="L590">
        <v>199</v>
      </c>
    </row>
    <row r="591" spans="1:12">
      <c r="A591" s="63" t="s">
        <v>348</v>
      </c>
      <c r="B591" s="63" t="s">
        <v>312</v>
      </c>
      <c r="C591" s="63" t="s">
        <v>346</v>
      </c>
      <c r="D591" s="63" t="s">
        <v>269</v>
      </c>
      <c r="E591" s="63" t="s">
        <v>362</v>
      </c>
      <c r="F591" s="63" t="s">
        <v>819</v>
      </c>
      <c r="G591">
        <v>1</v>
      </c>
      <c r="H591">
        <v>20</v>
      </c>
      <c r="I591">
        <v>20</v>
      </c>
      <c r="J591">
        <v>20</v>
      </c>
      <c r="K591">
        <v>2752.77</v>
      </c>
      <c r="L591">
        <v>199</v>
      </c>
    </row>
    <row r="592" spans="1:12">
      <c r="A592" s="63" t="s">
        <v>348</v>
      </c>
      <c r="B592" s="63" t="s">
        <v>312</v>
      </c>
      <c r="C592" s="63" t="s">
        <v>346</v>
      </c>
      <c r="D592" s="63" t="s">
        <v>269</v>
      </c>
      <c r="E592" s="63" t="s">
        <v>362</v>
      </c>
      <c r="F592" s="63" t="s">
        <v>820</v>
      </c>
      <c r="G592">
        <v>1</v>
      </c>
      <c r="H592">
        <v>20</v>
      </c>
      <c r="I592">
        <v>20</v>
      </c>
      <c r="J592">
        <v>20</v>
      </c>
      <c r="K592">
        <v>2752.92</v>
      </c>
      <c r="L592">
        <v>199</v>
      </c>
    </row>
    <row r="593" spans="1:12">
      <c r="A593" s="63" t="s">
        <v>348</v>
      </c>
      <c r="B593" s="63" t="s">
        <v>312</v>
      </c>
      <c r="C593" s="63" t="s">
        <v>346</v>
      </c>
      <c r="D593" s="63" t="s">
        <v>269</v>
      </c>
      <c r="E593" s="63" t="s">
        <v>311</v>
      </c>
      <c r="F593" s="63" t="s">
        <v>1258</v>
      </c>
      <c r="G593">
        <v>1</v>
      </c>
      <c r="H593">
        <v>60</v>
      </c>
      <c r="I593">
        <v>60</v>
      </c>
      <c r="J593">
        <v>60</v>
      </c>
      <c r="K593">
        <v>132.12</v>
      </c>
      <c r="L593">
        <v>199</v>
      </c>
    </row>
    <row r="594" spans="1:12">
      <c r="A594" s="63" t="s">
        <v>348</v>
      </c>
      <c r="B594" s="63" t="s">
        <v>312</v>
      </c>
      <c r="C594" s="63" t="s">
        <v>346</v>
      </c>
      <c r="D594" s="63" t="s">
        <v>269</v>
      </c>
      <c r="E594" s="63" t="s">
        <v>185</v>
      </c>
      <c r="F594" s="63" t="s">
        <v>1169</v>
      </c>
      <c r="G594">
        <v>1</v>
      </c>
      <c r="H594">
        <v>50</v>
      </c>
      <c r="I594">
        <v>50</v>
      </c>
      <c r="J594">
        <v>50</v>
      </c>
      <c r="K594">
        <v>308.17</v>
      </c>
      <c r="L594">
        <v>162</v>
      </c>
    </row>
    <row r="595" spans="1:12">
      <c r="A595" s="63" t="s">
        <v>348</v>
      </c>
      <c r="B595" s="63" t="s">
        <v>312</v>
      </c>
      <c r="C595" s="63" t="s">
        <v>346</v>
      </c>
      <c r="D595" s="63" t="s">
        <v>269</v>
      </c>
      <c r="E595" s="63" t="s">
        <v>175</v>
      </c>
      <c r="F595" s="63" t="s">
        <v>1739</v>
      </c>
      <c r="G595">
        <v>1</v>
      </c>
      <c r="H595">
        <v>59</v>
      </c>
      <c r="I595">
        <v>59</v>
      </c>
      <c r="J595">
        <v>59</v>
      </c>
      <c r="K595">
        <v>70.2</v>
      </c>
      <c r="L595">
        <v>199</v>
      </c>
    </row>
    <row r="596" spans="1:12">
      <c r="A596" s="63" t="s">
        <v>348</v>
      </c>
      <c r="B596" s="63" t="s">
        <v>312</v>
      </c>
      <c r="C596" s="63" t="s">
        <v>346</v>
      </c>
      <c r="D596" s="63" t="s">
        <v>269</v>
      </c>
      <c r="E596" s="63" t="s">
        <v>175</v>
      </c>
      <c r="F596" s="63" t="s">
        <v>427</v>
      </c>
      <c r="G596">
        <v>1</v>
      </c>
      <c r="H596">
        <v>46</v>
      </c>
      <c r="I596">
        <v>46</v>
      </c>
      <c r="J596">
        <v>46</v>
      </c>
      <c r="K596">
        <v>136.47</v>
      </c>
      <c r="L596">
        <v>185</v>
      </c>
    </row>
    <row r="597" spans="1:12">
      <c r="A597" s="63" t="s">
        <v>348</v>
      </c>
      <c r="B597" s="63" t="s">
        <v>312</v>
      </c>
      <c r="C597" s="63" t="s">
        <v>346</v>
      </c>
      <c r="D597" s="63" t="s">
        <v>269</v>
      </c>
      <c r="E597" s="63" t="s">
        <v>184</v>
      </c>
      <c r="F597" s="63" t="s">
        <v>1275</v>
      </c>
      <c r="G597">
        <v>1</v>
      </c>
      <c r="H597">
        <v>60</v>
      </c>
      <c r="I597">
        <v>60</v>
      </c>
      <c r="J597">
        <v>60</v>
      </c>
      <c r="K597">
        <v>98.92</v>
      </c>
      <c r="L597">
        <v>185</v>
      </c>
    </row>
    <row r="598" spans="1:12">
      <c r="A598" s="63" t="s">
        <v>348</v>
      </c>
      <c r="B598" s="63" t="s">
        <v>312</v>
      </c>
      <c r="C598" s="63" t="s">
        <v>1660</v>
      </c>
      <c r="D598" s="63" t="s">
        <v>269</v>
      </c>
      <c r="E598" s="63" t="s">
        <v>173</v>
      </c>
      <c r="F598" s="63" t="s">
        <v>889</v>
      </c>
      <c r="G598">
        <v>1</v>
      </c>
      <c r="H598">
        <v>58</v>
      </c>
      <c r="I598">
        <v>58</v>
      </c>
      <c r="J598">
        <v>58</v>
      </c>
      <c r="K598">
        <v>19.079999999999998</v>
      </c>
      <c r="L598">
        <v>1</v>
      </c>
    </row>
    <row r="599" spans="1:12">
      <c r="A599" s="63" t="s">
        <v>348</v>
      </c>
      <c r="B599" s="63" t="s">
        <v>312</v>
      </c>
      <c r="C599" s="63" t="s">
        <v>1095</v>
      </c>
      <c r="D599" s="63" t="s">
        <v>269</v>
      </c>
      <c r="E599" s="63" t="s">
        <v>172</v>
      </c>
      <c r="F599" s="63" t="s">
        <v>934</v>
      </c>
      <c r="G599">
        <v>1</v>
      </c>
      <c r="H599">
        <v>60</v>
      </c>
      <c r="I599">
        <v>60</v>
      </c>
      <c r="J599">
        <v>60</v>
      </c>
      <c r="K599">
        <v>5.35</v>
      </c>
      <c r="L599">
        <v>0</v>
      </c>
    </row>
    <row r="600" spans="1:12">
      <c r="A600" s="63" t="s">
        <v>348</v>
      </c>
      <c r="B600" s="63" t="s">
        <v>312</v>
      </c>
      <c r="C600" s="63" t="s">
        <v>1095</v>
      </c>
      <c r="D600" s="63" t="s">
        <v>269</v>
      </c>
      <c r="E600" s="63" t="s">
        <v>175</v>
      </c>
      <c r="F600" s="63" t="s">
        <v>1254</v>
      </c>
      <c r="G600">
        <v>1</v>
      </c>
      <c r="H600">
        <v>60</v>
      </c>
      <c r="I600">
        <v>60</v>
      </c>
      <c r="J600">
        <v>60</v>
      </c>
      <c r="K600">
        <v>4.8499999999999996</v>
      </c>
      <c r="L600">
        <v>0</v>
      </c>
    </row>
    <row r="601" spans="1:12">
      <c r="A601">
        <v>1190</v>
      </c>
      <c r="B601" s="63" t="s">
        <v>1196</v>
      </c>
      <c r="C601" s="63" t="s">
        <v>1197</v>
      </c>
      <c r="D601" s="63" t="s">
        <v>1767</v>
      </c>
      <c r="E601" s="63" t="s">
        <v>254</v>
      </c>
      <c r="F601" s="63" t="s">
        <v>2494</v>
      </c>
      <c r="G601">
        <v>1</v>
      </c>
      <c r="H601">
        <v>2</v>
      </c>
      <c r="I601">
        <v>80</v>
      </c>
      <c r="J601">
        <v>80</v>
      </c>
      <c r="K601">
        <v>552.04999999999995</v>
      </c>
      <c r="L601">
        <v>35</v>
      </c>
    </row>
    <row r="602" spans="1:12">
      <c r="A602">
        <v>1190</v>
      </c>
      <c r="B602" s="63" t="s">
        <v>1196</v>
      </c>
      <c r="C602" s="63" t="s">
        <v>1197</v>
      </c>
      <c r="D602" s="63" t="s">
        <v>2495</v>
      </c>
      <c r="E602" s="63" t="s">
        <v>254</v>
      </c>
      <c r="F602" s="63" t="s">
        <v>2496</v>
      </c>
      <c r="G602">
        <v>1</v>
      </c>
      <c r="H602">
        <v>1</v>
      </c>
      <c r="I602">
        <v>38</v>
      </c>
      <c r="J602">
        <v>38</v>
      </c>
      <c r="K602">
        <v>552.1</v>
      </c>
      <c r="L602">
        <v>25</v>
      </c>
    </row>
    <row r="603" spans="1:12">
      <c r="A603">
        <v>1190</v>
      </c>
      <c r="B603" s="63" t="s">
        <v>2336</v>
      </c>
      <c r="C603" s="63" t="s">
        <v>2337</v>
      </c>
      <c r="D603" s="63" t="s">
        <v>205</v>
      </c>
      <c r="G603">
        <v>1</v>
      </c>
      <c r="H603">
        <v>60</v>
      </c>
      <c r="I603">
        <v>1028</v>
      </c>
      <c r="J603">
        <v>1028</v>
      </c>
      <c r="K603">
        <v>0.68</v>
      </c>
      <c r="L603">
        <v>1</v>
      </c>
    </row>
    <row r="604" spans="1:12">
      <c r="A604">
        <v>1190</v>
      </c>
      <c r="B604" s="63" t="s">
        <v>2336</v>
      </c>
      <c r="C604" s="63" t="s">
        <v>2337</v>
      </c>
      <c r="D604" s="63" t="s">
        <v>205</v>
      </c>
      <c r="E604" s="63" t="s">
        <v>2115</v>
      </c>
      <c r="F604" s="63" t="s">
        <v>2497</v>
      </c>
      <c r="G604">
        <v>1</v>
      </c>
      <c r="H604">
        <v>60</v>
      </c>
      <c r="I604">
        <v>1025</v>
      </c>
      <c r="J604">
        <v>1025</v>
      </c>
      <c r="K604">
        <v>3.28</v>
      </c>
      <c r="L604">
        <v>1</v>
      </c>
    </row>
    <row r="605" spans="1:12">
      <c r="A605">
        <v>1300</v>
      </c>
      <c r="B605" s="63" t="s">
        <v>519</v>
      </c>
      <c r="C605" s="63" t="s">
        <v>873</v>
      </c>
      <c r="D605" s="63" t="s">
        <v>59</v>
      </c>
      <c r="G605">
        <v>1</v>
      </c>
      <c r="H605">
        <v>60</v>
      </c>
      <c r="I605">
        <v>360</v>
      </c>
      <c r="J605">
        <v>7200</v>
      </c>
      <c r="K605">
        <v>0.38</v>
      </c>
      <c r="L605">
        <v>0</v>
      </c>
    </row>
    <row r="606" spans="1:12">
      <c r="A606">
        <v>1300</v>
      </c>
      <c r="B606" s="63" t="s">
        <v>519</v>
      </c>
      <c r="C606" s="63" t="s">
        <v>873</v>
      </c>
      <c r="D606" s="63" t="s">
        <v>59</v>
      </c>
      <c r="E606" s="63" t="s">
        <v>172</v>
      </c>
      <c r="F606" s="63" t="s">
        <v>493</v>
      </c>
      <c r="G606">
        <v>1</v>
      </c>
      <c r="H606">
        <v>60</v>
      </c>
      <c r="I606">
        <v>360</v>
      </c>
      <c r="J606">
        <v>7200</v>
      </c>
      <c r="K606">
        <v>0.95</v>
      </c>
      <c r="L606">
        <v>0</v>
      </c>
    </row>
    <row r="607" spans="1:12">
      <c r="A607">
        <v>1300</v>
      </c>
      <c r="B607" s="63" t="s">
        <v>519</v>
      </c>
      <c r="C607" s="63" t="s">
        <v>873</v>
      </c>
      <c r="D607" s="63" t="s">
        <v>59</v>
      </c>
      <c r="E607" s="63" t="s">
        <v>172</v>
      </c>
      <c r="F607" s="63" t="s">
        <v>2005</v>
      </c>
      <c r="G607">
        <v>1</v>
      </c>
      <c r="H607">
        <v>60</v>
      </c>
      <c r="I607">
        <v>360</v>
      </c>
      <c r="J607">
        <v>7200</v>
      </c>
      <c r="K607">
        <v>0.95</v>
      </c>
      <c r="L607">
        <v>0</v>
      </c>
    </row>
    <row r="608" spans="1:12">
      <c r="A608">
        <v>1300</v>
      </c>
      <c r="B608" s="63" t="s">
        <v>519</v>
      </c>
      <c r="C608" s="63" t="s">
        <v>873</v>
      </c>
      <c r="D608" s="63" t="s">
        <v>59</v>
      </c>
      <c r="E608" s="63" t="s">
        <v>172</v>
      </c>
      <c r="F608" s="63" t="s">
        <v>1838</v>
      </c>
      <c r="G608">
        <v>1</v>
      </c>
      <c r="H608">
        <v>60</v>
      </c>
      <c r="I608">
        <v>360</v>
      </c>
      <c r="J608">
        <v>7200</v>
      </c>
      <c r="K608">
        <v>0.95</v>
      </c>
      <c r="L608">
        <v>0</v>
      </c>
    </row>
    <row r="609" spans="1:12">
      <c r="A609">
        <v>1300</v>
      </c>
      <c r="B609" s="63" t="s">
        <v>519</v>
      </c>
      <c r="C609" s="63" t="s">
        <v>873</v>
      </c>
      <c r="D609" s="63" t="s">
        <v>59</v>
      </c>
      <c r="E609" s="63" t="s">
        <v>203</v>
      </c>
      <c r="F609" s="63" t="s">
        <v>2498</v>
      </c>
      <c r="G609">
        <v>1</v>
      </c>
      <c r="H609">
        <v>60</v>
      </c>
      <c r="I609">
        <v>360</v>
      </c>
      <c r="J609">
        <v>7200</v>
      </c>
      <c r="K609">
        <v>0.95</v>
      </c>
      <c r="L609">
        <v>0</v>
      </c>
    </row>
    <row r="610" spans="1:12">
      <c r="A610">
        <v>1300</v>
      </c>
      <c r="B610" s="63" t="s">
        <v>519</v>
      </c>
      <c r="C610" s="63" t="s">
        <v>873</v>
      </c>
      <c r="D610" s="63" t="s">
        <v>59</v>
      </c>
      <c r="E610" s="63" t="s">
        <v>203</v>
      </c>
      <c r="F610" s="63" t="s">
        <v>1179</v>
      </c>
      <c r="G610">
        <v>1</v>
      </c>
      <c r="H610">
        <v>60</v>
      </c>
      <c r="I610">
        <v>360</v>
      </c>
      <c r="J610">
        <v>7200</v>
      </c>
      <c r="K610">
        <v>0.95</v>
      </c>
      <c r="L610">
        <v>0</v>
      </c>
    </row>
    <row r="611" spans="1:12">
      <c r="A611">
        <v>1300</v>
      </c>
      <c r="B611" s="63" t="s">
        <v>519</v>
      </c>
      <c r="C611" s="63" t="s">
        <v>873</v>
      </c>
      <c r="D611" s="63" t="s">
        <v>374</v>
      </c>
      <c r="E611" s="63" t="s">
        <v>172</v>
      </c>
      <c r="F611" s="63" t="s">
        <v>1430</v>
      </c>
      <c r="G611">
        <v>1</v>
      </c>
      <c r="H611">
        <v>60</v>
      </c>
      <c r="I611">
        <v>360</v>
      </c>
      <c r="J611">
        <v>7200</v>
      </c>
      <c r="K611">
        <v>17.57</v>
      </c>
      <c r="L611">
        <v>0</v>
      </c>
    </row>
    <row r="612" spans="1:12">
      <c r="A612">
        <v>1300</v>
      </c>
      <c r="B612" s="63" t="s">
        <v>519</v>
      </c>
      <c r="C612" s="63" t="s">
        <v>874</v>
      </c>
      <c r="D612" s="63" t="s">
        <v>59</v>
      </c>
      <c r="G612">
        <v>1</v>
      </c>
      <c r="H612">
        <v>60</v>
      </c>
      <c r="I612">
        <v>360</v>
      </c>
      <c r="J612">
        <v>7200</v>
      </c>
      <c r="K612">
        <v>0.57999999999999996</v>
      </c>
      <c r="L612">
        <v>0</v>
      </c>
    </row>
    <row r="613" spans="1:12">
      <c r="A613">
        <v>1300</v>
      </c>
      <c r="B613" s="63" t="s">
        <v>519</v>
      </c>
      <c r="C613" s="63" t="s">
        <v>874</v>
      </c>
      <c r="D613" s="63" t="s">
        <v>59</v>
      </c>
      <c r="E613" s="63" t="s">
        <v>172</v>
      </c>
      <c r="F613" s="63" t="s">
        <v>1034</v>
      </c>
      <c r="G613">
        <v>1</v>
      </c>
      <c r="H613">
        <v>60</v>
      </c>
      <c r="I613">
        <v>360</v>
      </c>
      <c r="J613">
        <v>7200</v>
      </c>
      <c r="K613">
        <v>0.95</v>
      </c>
      <c r="L613">
        <v>0</v>
      </c>
    </row>
    <row r="614" spans="1:12">
      <c r="A614">
        <v>1300</v>
      </c>
      <c r="B614" s="63" t="s">
        <v>519</v>
      </c>
      <c r="C614" s="63" t="s">
        <v>874</v>
      </c>
      <c r="D614" s="63" t="s">
        <v>59</v>
      </c>
      <c r="E614" s="63" t="s">
        <v>172</v>
      </c>
      <c r="F614" s="63" t="s">
        <v>1942</v>
      </c>
      <c r="G614">
        <v>1</v>
      </c>
      <c r="H614">
        <v>60</v>
      </c>
      <c r="I614">
        <v>360</v>
      </c>
      <c r="J614">
        <v>7200</v>
      </c>
      <c r="K614">
        <v>0.95</v>
      </c>
      <c r="L614">
        <v>0</v>
      </c>
    </row>
    <row r="615" spans="1:12">
      <c r="A615">
        <v>1300</v>
      </c>
      <c r="B615" s="63" t="s">
        <v>519</v>
      </c>
      <c r="C615" s="63" t="s">
        <v>874</v>
      </c>
      <c r="D615" s="63" t="s">
        <v>59</v>
      </c>
      <c r="E615" s="63" t="s">
        <v>172</v>
      </c>
      <c r="F615" s="63" t="s">
        <v>1986</v>
      </c>
      <c r="G615">
        <v>1</v>
      </c>
      <c r="H615">
        <v>60</v>
      </c>
      <c r="I615">
        <v>360</v>
      </c>
      <c r="J615">
        <v>7200</v>
      </c>
      <c r="K615">
        <v>0.95</v>
      </c>
      <c r="L615">
        <v>0</v>
      </c>
    </row>
    <row r="616" spans="1:12">
      <c r="A616">
        <v>1300</v>
      </c>
      <c r="B616" s="63" t="s">
        <v>519</v>
      </c>
      <c r="C616" s="63" t="s">
        <v>874</v>
      </c>
      <c r="D616" s="63" t="s">
        <v>59</v>
      </c>
      <c r="E616" s="63" t="s">
        <v>172</v>
      </c>
      <c r="F616" s="63" t="s">
        <v>2499</v>
      </c>
      <c r="G616">
        <v>1</v>
      </c>
      <c r="H616">
        <v>60</v>
      </c>
      <c r="I616">
        <v>360</v>
      </c>
      <c r="J616">
        <v>7200</v>
      </c>
      <c r="K616">
        <v>0.95</v>
      </c>
      <c r="L616">
        <v>0</v>
      </c>
    </row>
    <row r="617" spans="1:12">
      <c r="A617">
        <v>1300</v>
      </c>
      <c r="B617" s="63" t="s">
        <v>519</v>
      </c>
      <c r="C617" s="63" t="s">
        <v>874</v>
      </c>
      <c r="D617" s="63" t="s">
        <v>59</v>
      </c>
      <c r="E617" s="63" t="s">
        <v>172</v>
      </c>
      <c r="F617" s="63" t="s">
        <v>936</v>
      </c>
      <c r="G617">
        <v>1</v>
      </c>
      <c r="H617">
        <v>60</v>
      </c>
      <c r="I617">
        <v>360</v>
      </c>
      <c r="J617">
        <v>7200</v>
      </c>
      <c r="K617">
        <v>0.95</v>
      </c>
      <c r="L617">
        <v>0</v>
      </c>
    </row>
    <row r="618" spans="1:12">
      <c r="A618">
        <v>1300</v>
      </c>
      <c r="B618" s="63" t="s">
        <v>519</v>
      </c>
      <c r="C618" s="63" t="s">
        <v>874</v>
      </c>
      <c r="D618" s="63" t="s">
        <v>374</v>
      </c>
      <c r="G618">
        <v>1</v>
      </c>
      <c r="H618">
        <v>8</v>
      </c>
      <c r="I618">
        <v>48</v>
      </c>
      <c r="J618">
        <v>960</v>
      </c>
      <c r="K618">
        <v>4.68</v>
      </c>
      <c r="L618">
        <v>0</v>
      </c>
    </row>
    <row r="619" spans="1:12">
      <c r="A619">
        <v>1300</v>
      </c>
      <c r="B619" s="63" t="s">
        <v>519</v>
      </c>
      <c r="C619" s="63" t="s">
        <v>874</v>
      </c>
      <c r="D619" s="63" t="s">
        <v>374</v>
      </c>
      <c r="E619" s="63" t="s">
        <v>172</v>
      </c>
      <c r="F619" s="63" t="s">
        <v>1356</v>
      </c>
      <c r="G619">
        <v>1</v>
      </c>
      <c r="H619">
        <v>50</v>
      </c>
      <c r="I619">
        <v>300</v>
      </c>
      <c r="J619">
        <v>6000</v>
      </c>
      <c r="K619">
        <v>17.55</v>
      </c>
      <c r="L619">
        <v>0</v>
      </c>
    </row>
    <row r="620" spans="1:12">
      <c r="A620">
        <v>1300</v>
      </c>
      <c r="B620" s="63" t="s">
        <v>844</v>
      </c>
      <c r="C620" s="63" t="s">
        <v>2500</v>
      </c>
      <c r="D620" s="63" t="s">
        <v>59</v>
      </c>
      <c r="G620">
        <v>1</v>
      </c>
      <c r="H620">
        <v>137</v>
      </c>
      <c r="I620">
        <v>2466</v>
      </c>
      <c r="J620">
        <v>2466</v>
      </c>
      <c r="K620">
        <v>4.07</v>
      </c>
      <c r="L620">
        <v>0</v>
      </c>
    </row>
    <row r="621" spans="1:12">
      <c r="A621">
        <v>1300</v>
      </c>
      <c r="B621" s="63" t="s">
        <v>844</v>
      </c>
      <c r="C621" s="63" t="s">
        <v>2500</v>
      </c>
      <c r="D621" s="63" t="s">
        <v>59</v>
      </c>
      <c r="E621" s="63" t="s">
        <v>1233</v>
      </c>
      <c r="F621" s="63" t="s">
        <v>1144</v>
      </c>
      <c r="G621">
        <v>1</v>
      </c>
      <c r="H621">
        <v>60</v>
      </c>
      <c r="I621">
        <v>1080</v>
      </c>
      <c r="J621">
        <v>1080</v>
      </c>
      <c r="K621">
        <v>7.4</v>
      </c>
      <c r="L621">
        <v>0</v>
      </c>
    </row>
    <row r="622" spans="1:12">
      <c r="A622">
        <v>1300</v>
      </c>
      <c r="B622" s="63" t="s">
        <v>844</v>
      </c>
      <c r="C622" s="63" t="s">
        <v>2500</v>
      </c>
      <c r="D622" s="63" t="s">
        <v>59</v>
      </c>
      <c r="E622" s="63" t="s">
        <v>1233</v>
      </c>
      <c r="F622" s="63" t="s">
        <v>1293</v>
      </c>
      <c r="G622">
        <v>1</v>
      </c>
      <c r="H622">
        <v>60</v>
      </c>
      <c r="I622">
        <v>1080</v>
      </c>
      <c r="J622">
        <v>1080</v>
      </c>
      <c r="K622">
        <v>18.2</v>
      </c>
      <c r="L622">
        <v>0</v>
      </c>
    </row>
    <row r="623" spans="1:12">
      <c r="A623">
        <v>1300</v>
      </c>
      <c r="B623" s="63" t="s">
        <v>844</v>
      </c>
      <c r="C623" s="63" t="s">
        <v>2500</v>
      </c>
      <c r="D623" s="63" t="s">
        <v>59</v>
      </c>
      <c r="E623" s="63" t="s">
        <v>173</v>
      </c>
      <c r="F623" s="63" t="s">
        <v>848</v>
      </c>
      <c r="G623">
        <v>1</v>
      </c>
      <c r="H623">
        <v>60</v>
      </c>
      <c r="I623">
        <v>1080</v>
      </c>
      <c r="J623">
        <v>1080</v>
      </c>
      <c r="K623">
        <v>7.4</v>
      </c>
      <c r="L623">
        <v>0</v>
      </c>
    </row>
    <row r="624" spans="1:12">
      <c r="A624">
        <v>1300</v>
      </c>
      <c r="B624" s="63" t="s">
        <v>2501</v>
      </c>
      <c r="C624" s="63" t="s">
        <v>2502</v>
      </c>
      <c r="D624" s="63" t="s">
        <v>285</v>
      </c>
      <c r="E624" s="63" t="s">
        <v>185</v>
      </c>
      <c r="F624" s="63" t="s">
        <v>1378</v>
      </c>
      <c r="G624">
        <v>1</v>
      </c>
      <c r="H624">
        <v>30</v>
      </c>
      <c r="I624">
        <v>360</v>
      </c>
      <c r="J624">
        <v>360</v>
      </c>
      <c r="K624">
        <v>5.72</v>
      </c>
      <c r="L624">
        <v>0</v>
      </c>
    </row>
    <row r="625" spans="1:12">
      <c r="A625">
        <v>1300</v>
      </c>
      <c r="B625" s="63" t="s">
        <v>2501</v>
      </c>
      <c r="C625" s="63" t="s">
        <v>2502</v>
      </c>
      <c r="D625" s="63" t="s">
        <v>285</v>
      </c>
      <c r="E625" s="63" t="s">
        <v>172</v>
      </c>
      <c r="F625" s="63" t="s">
        <v>1450</v>
      </c>
      <c r="G625">
        <v>1</v>
      </c>
      <c r="H625">
        <v>60</v>
      </c>
      <c r="I625">
        <v>720</v>
      </c>
      <c r="J625">
        <v>720</v>
      </c>
      <c r="K625">
        <v>5.72</v>
      </c>
      <c r="L625">
        <v>0</v>
      </c>
    </row>
    <row r="626" spans="1:12">
      <c r="A626">
        <v>1300</v>
      </c>
      <c r="B626" s="63" t="s">
        <v>2501</v>
      </c>
      <c r="C626" s="63" t="s">
        <v>2502</v>
      </c>
      <c r="D626" s="63" t="s">
        <v>285</v>
      </c>
      <c r="E626" s="63" t="s">
        <v>172</v>
      </c>
      <c r="F626" s="63" t="s">
        <v>1268</v>
      </c>
      <c r="G626">
        <v>1</v>
      </c>
      <c r="H626">
        <v>60</v>
      </c>
      <c r="I626">
        <v>720</v>
      </c>
      <c r="J626">
        <v>720</v>
      </c>
      <c r="K626">
        <v>5.72</v>
      </c>
      <c r="L626">
        <v>0</v>
      </c>
    </row>
    <row r="627" spans="1:12">
      <c r="A627">
        <v>1300</v>
      </c>
      <c r="B627" s="63" t="s">
        <v>258</v>
      </c>
      <c r="C627" s="63" t="s">
        <v>2503</v>
      </c>
      <c r="D627" s="63" t="s">
        <v>374</v>
      </c>
      <c r="G627">
        <v>1</v>
      </c>
      <c r="H627">
        <v>7</v>
      </c>
      <c r="I627">
        <v>42</v>
      </c>
      <c r="J627">
        <v>42</v>
      </c>
      <c r="K627">
        <v>0.75</v>
      </c>
      <c r="L627">
        <v>0</v>
      </c>
    </row>
    <row r="628" spans="1:12">
      <c r="A628">
        <v>1300</v>
      </c>
      <c r="B628" s="63" t="s">
        <v>258</v>
      </c>
      <c r="C628" s="63" t="s">
        <v>2503</v>
      </c>
      <c r="D628" s="63" t="s">
        <v>374</v>
      </c>
      <c r="E628" s="63" t="s">
        <v>2067</v>
      </c>
      <c r="F628" s="63" t="s">
        <v>1192</v>
      </c>
      <c r="G628">
        <v>1</v>
      </c>
      <c r="H628">
        <v>53</v>
      </c>
      <c r="I628">
        <v>318</v>
      </c>
      <c r="J628">
        <v>318</v>
      </c>
      <c r="K628">
        <v>12.15</v>
      </c>
      <c r="L628">
        <v>0</v>
      </c>
    </row>
    <row r="629" spans="1:12">
      <c r="A629">
        <v>1300</v>
      </c>
      <c r="B629" s="63" t="s">
        <v>258</v>
      </c>
      <c r="C629" s="63" t="s">
        <v>2504</v>
      </c>
      <c r="D629" s="63" t="s">
        <v>374</v>
      </c>
      <c r="G629">
        <v>1</v>
      </c>
      <c r="H629">
        <v>58</v>
      </c>
      <c r="I629">
        <v>348</v>
      </c>
      <c r="J629">
        <v>348</v>
      </c>
      <c r="K629">
        <v>1.85</v>
      </c>
      <c r="L629">
        <v>0</v>
      </c>
    </row>
    <row r="630" spans="1:12">
      <c r="A630">
        <v>1300</v>
      </c>
      <c r="B630" s="63" t="s">
        <v>315</v>
      </c>
      <c r="C630" s="63" t="s">
        <v>316</v>
      </c>
      <c r="D630" s="63" t="s">
        <v>261</v>
      </c>
      <c r="E630" s="63" t="s">
        <v>175</v>
      </c>
      <c r="F630" s="63" t="s">
        <v>2091</v>
      </c>
      <c r="G630">
        <v>1</v>
      </c>
      <c r="H630">
        <v>60</v>
      </c>
      <c r="I630">
        <v>60</v>
      </c>
      <c r="J630">
        <v>60</v>
      </c>
      <c r="K630">
        <v>136.77000000000001</v>
      </c>
      <c r="L630">
        <v>64</v>
      </c>
    </row>
    <row r="631" spans="1:12">
      <c r="A631">
        <v>1300</v>
      </c>
      <c r="B631" s="63" t="s">
        <v>315</v>
      </c>
      <c r="C631" s="63" t="s">
        <v>316</v>
      </c>
      <c r="D631" s="63" t="s">
        <v>261</v>
      </c>
      <c r="E631" s="63" t="s">
        <v>175</v>
      </c>
      <c r="F631" s="63" t="s">
        <v>884</v>
      </c>
      <c r="G631">
        <v>1</v>
      </c>
      <c r="H631">
        <v>60</v>
      </c>
      <c r="I631">
        <v>60</v>
      </c>
      <c r="J631">
        <v>60</v>
      </c>
      <c r="K631">
        <v>601.6</v>
      </c>
      <c r="L631">
        <v>25</v>
      </c>
    </row>
    <row r="632" spans="1:12">
      <c r="A632">
        <v>1300</v>
      </c>
      <c r="B632" s="63" t="s">
        <v>558</v>
      </c>
      <c r="C632" s="63" t="s">
        <v>559</v>
      </c>
      <c r="D632" s="63" t="s">
        <v>261</v>
      </c>
      <c r="E632" s="63" t="s">
        <v>172</v>
      </c>
      <c r="F632" s="63" t="s">
        <v>1266</v>
      </c>
      <c r="G632">
        <v>1</v>
      </c>
      <c r="H632">
        <v>59</v>
      </c>
      <c r="I632">
        <v>59</v>
      </c>
      <c r="J632">
        <v>59</v>
      </c>
      <c r="K632">
        <v>138.6</v>
      </c>
      <c r="L632">
        <v>52</v>
      </c>
    </row>
    <row r="633" spans="1:12">
      <c r="A633">
        <v>1320</v>
      </c>
      <c r="B633" s="63" t="s">
        <v>844</v>
      </c>
      <c r="C633" s="63" t="s">
        <v>2500</v>
      </c>
      <c r="D633" s="63" t="s">
        <v>59</v>
      </c>
      <c r="G633">
        <v>1</v>
      </c>
      <c r="H633">
        <v>60</v>
      </c>
      <c r="I633">
        <v>1080</v>
      </c>
      <c r="J633">
        <v>1080</v>
      </c>
      <c r="K633">
        <v>0.18</v>
      </c>
      <c r="L633">
        <v>0</v>
      </c>
    </row>
    <row r="634" spans="1:12">
      <c r="A634">
        <v>1320</v>
      </c>
      <c r="B634" s="63" t="s">
        <v>258</v>
      </c>
      <c r="C634" s="63" t="s">
        <v>2504</v>
      </c>
      <c r="D634" s="63" t="s">
        <v>374</v>
      </c>
      <c r="E634" s="63" t="s">
        <v>172</v>
      </c>
      <c r="F634" s="63" t="s">
        <v>687</v>
      </c>
      <c r="G634">
        <v>1</v>
      </c>
      <c r="H634">
        <v>2</v>
      </c>
      <c r="I634">
        <v>12</v>
      </c>
      <c r="J634">
        <v>12</v>
      </c>
      <c r="K634">
        <v>0.48</v>
      </c>
      <c r="L634">
        <v>0</v>
      </c>
    </row>
    <row r="635" spans="1:12">
      <c r="A635">
        <v>1571</v>
      </c>
      <c r="B635" s="63" t="s">
        <v>844</v>
      </c>
      <c r="C635" s="63" t="s">
        <v>2500</v>
      </c>
      <c r="D635" s="63" t="s">
        <v>59</v>
      </c>
      <c r="E635" s="63" t="s">
        <v>203</v>
      </c>
      <c r="F635" s="63" t="s">
        <v>2505</v>
      </c>
      <c r="G635">
        <v>1</v>
      </c>
      <c r="H635">
        <v>60</v>
      </c>
      <c r="I635">
        <v>1080</v>
      </c>
      <c r="J635">
        <v>1080</v>
      </c>
      <c r="K635">
        <v>0.45</v>
      </c>
      <c r="L635">
        <v>0</v>
      </c>
    </row>
    <row r="636" spans="1:12">
      <c r="A636">
        <v>1603</v>
      </c>
      <c r="B636" s="63" t="s">
        <v>363</v>
      </c>
      <c r="C636" s="63" t="s">
        <v>364</v>
      </c>
      <c r="D636" s="63" t="s">
        <v>365</v>
      </c>
      <c r="E636" s="63" t="s">
        <v>326</v>
      </c>
      <c r="F636" s="63" t="s">
        <v>366</v>
      </c>
      <c r="G636">
        <v>1</v>
      </c>
      <c r="H636">
        <v>2</v>
      </c>
      <c r="I636">
        <v>36</v>
      </c>
      <c r="J636">
        <v>36</v>
      </c>
      <c r="K636">
        <v>21414.92</v>
      </c>
      <c r="L636">
        <v>1500</v>
      </c>
    </row>
    <row r="637" spans="1:12">
      <c r="A637">
        <v>2300</v>
      </c>
      <c r="B637" s="63" t="s">
        <v>519</v>
      </c>
      <c r="C637" s="63" t="s">
        <v>2506</v>
      </c>
      <c r="D637" s="63" t="s">
        <v>59</v>
      </c>
      <c r="E637" s="63" t="s">
        <v>1185</v>
      </c>
      <c r="F637" s="63" t="s">
        <v>1586</v>
      </c>
      <c r="G637">
        <v>1</v>
      </c>
      <c r="H637">
        <v>5</v>
      </c>
      <c r="I637">
        <v>30</v>
      </c>
      <c r="J637">
        <v>590</v>
      </c>
      <c r="K637">
        <v>456.65</v>
      </c>
      <c r="L637">
        <v>21</v>
      </c>
    </row>
    <row r="638" spans="1:12">
      <c r="A638">
        <v>2300</v>
      </c>
      <c r="B638" s="63" t="s">
        <v>519</v>
      </c>
      <c r="C638" s="63" t="s">
        <v>874</v>
      </c>
      <c r="D638" s="63" t="s">
        <v>374</v>
      </c>
      <c r="E638" s="63" t="s">
        <v>173</v>
      </c>
      <c r="F638" s="63" t="s">
        <v>496</v>
      </c>
      <c r="G638">
        <v>1</v>
      </c>
      <c r="H638">
        <v>2</v>
      </c>
      <c r="I638">
        <v>12</v>
      </c>
      <c r="J638">
        <v>240</v>
      </c>
      <c r="K638">
        <v>1.77</v>
      </c>
      <c r="L638">
        <v>0</v>
      </c>
    </row>
    <row r="639" spans="1:12">
      <c r="A639">
        <v>2300</v>
      </c>
      <c r="B639" s="63" t="s">
        <v>356</v>
      </c>
      <c r="C639" s="63" t="s">
        <v>358</v>
      </c>
      <c r="D639" s="63" t="s">
        <v>59</v>
      </c>
      <c r="G639">
        <v>1</v>
      </c>
      <c r="H639">
        <v>179</v>
      </c>
      <c r="I639">
        <v>3222</v>
      </c>
      <c r="J639">
        <v>3222</v>
      </c>
      <c r="K639">
        <v>2.13</v>
      </c>
      <c r="L639">
        <v>1</v>
      </c>
    </row>
    <row r="640" spans="1:12">
      <c r="A640">
        <v>2300</v>
      </c>
      <c r="B640" s="63" t="s">
        <v>356</v>
      </c>
      <c r="C640" s="63" t="s">
        <v>358</v>
      </c>
      <c r="D640" s="63" t="s">
        <v>59</v>
      </c>
      <c r="E640" s="63" t="s">
        <v>2074</v>
      </c>
      <c r="F640" s="63" t="s">
        <v>2507</v>
      </c>
      <c r="G640">
        <v>1</v>
      </c>
      <c r="H640">
        <v>51</v>
      </c>
      <c r="I640">
        <v>918</v>
      </c>
      <c r="J640">
        <v>918</v>
      </c>
      <c r="K640">
        <v>3.97</v>
      </c>
      <c r="L640">
        <v>0</v>
      </c>
    </row>
    <row r="641" spans="1:12">
      <c r="A641">
        <v>2300</v>
      </c>
      <c r="B641" s="63" t="s">
        <v>356</v>
      </c>
      <c r="C641" s="63" t="s">
        <v>358</v>
      </c>
      <c r="D641" s="63" t="s">
        <v>59</v>
      </c>
      <c r="E641" s="63" t="s">
        <v>2074</v>
      </c>
      <c r="F641" s="63" t="s">
        <v>1852</v>
      </c>
      <c r="G641">
        <v>1</v>
      </c>
      <c r="H641">
        <v>60</v>
      </c>
      <c r="I641">
        <v>1079</v>
      </c>
      <c r="J641">
        <v>1079</v>
      </c>
      <c r="K641">
        <v>11.97</v>
      </c>
      <c r="L641">
        <v>0</v>
      </c>
    </row>
    <row r="642" spans="1:12">
      <c r="A642">
        <v>2300</v>
      </c>
      <c r="B642" s="63" t="s">
        <v>356</v>
      </c>
      <c r="C642" s="63" t="s">
        <v>358</v>
      </c>
      <c r="D642" s="63" t="s">
        <v>59</v>
      </c>
      <c r="E642" s="63" t="s">
        <v>172</v>
      </c>
      <c r="F642" s="63" t="s">
        <v>1216</v>
      </c>
      <c r="G642">
        <v>1</v>
      </c>
      <c r="H642">
        <v>58</v>
      </c>
      <c r="I642">
        <v>1044</v>
      </c>
      <c r="J642">
        <v>1044</v>
      </c>
      <c r="K642">
        <v>1.4</v>
      </c>
      <c r="L642">
        <v>0</v>
      </c>
    </row>
    <row r="643" spans="1:12">
      <c r="A643">
        <v>2300</v>
      </c>
      <c r="B643" s="63" t="s">
        <v>844</v>
      </c>
      <c r="C643" s="63" t="s">
        <v>2500</v>
      </c>
      <c r="D643" s="63" t="s">
        <v>374</v>
      </c>
      <c r="E643" s="63" t="s">
        <v>184</v>
      </c>
      <c r="F643" s="63" t="s">
        <v>2508</v>
      </c>
      <c r="G643">
        <v>1</v>
      </c>
      <c r="H643">
        <v>3</v>
      </c>
      <c r="I643">
        <v>54</v>
      </c>
      <c r="J643">
        <v>54</v>
      </c>
      <c r="K643">
        <v>0.97</v>
      </c>
      <c r="L643">
        <v>1</v>
      </c>
    </row>
    <row r="644" spans="1:12">
      <c r="A644">
        <v>2310</v>
      </c>
      <c r="B644" s="63" t="s">
        <v>1796</v>
      </c>
      <c r="C644" s="63" t="s">
        <v>2509</v>
      </c>
      <c r="D644" s="63" t="s">
        <v>285</v>
      </c>
      <c r="G644">
        <v>1</v>
      </c>
      <c r="H644">
        <v>34</v>
      </c>
      <c r="I644">
        <v>102</v>
      </c>
      <c r="J644">
        <v>102</v>
      </c>
      <c r="K644">
        <v>0.77</v>
      </c>
      <c r="L644">
        <v>0</v>
      </c>
    </row>
    <row r="645" spans="1:12">
      <c r="A645">
        <v>2330</v>
      </c>
      <c r="B645" s="63" t="s">
        <v>844</v>
      </c>
      <c r="C645" s="63" t="s">
        <v>2500</v>
      </c>
      <c r="D645" s="63" t="s">
        <v>59</v>
      </c>
      <c r="G645">
        <v>1</v>
      </c>
      <c r="H645">
        <v>45</v>
      </c>
      <c r="I645">
        <v>810</v>
      </c>
      <c r="J645">
        <v>810</v>
      </c>
      <c r="K645">
        <v>0.25</v>
      </c>
      <c r="L645">
        <v>0</v>
      </c>
    </row>
    <row r="646" spans="1:12">
      <c r="A646">
        <v>2350</v>
      </c>
      <c r="B646" s="63" t="s">
        <v>356</v>
      </c>
      <c r="C646" s="63" t="s">
        <v>357</v>
      </c>
      <c r="D646" s="63" t="s">
        <v>59</v>
      </c>
      <c r="E646" s="63" t="s">
        <v>2510</v>
      </c>
      <c r="F646" s="63" t="s">
        <v>1831</v>
      </c>
      <c r="G646">
        <v>1</v>
      </c>
      <c r="H646">
        <v>60</v>
      </c>
      <c r="I646">
        <v>1080</v>
      </c>
      <c r="J646">
        <v>1080</v>
      </c>
      <c r="K646">
        <v>2.48</v>
      </c>
      <c r="L646">
        <v>0</v>
      </c>
    </row>
    <row r="647" spans="1:12">
      <c r="A647">
        <v>2350</v>
      </c>
      <c r="B647" s="63" t="s">
        <v>356</v>
      </c>
      <c r="C647" s="63" t="s">
        <v>358</v>
      </c>
      <c r="D647" s="63" t="s">
        <v>365</v>
      </c>
      <c r="G647">
        <v>1</v>
      </c>
      <c r="H647">
        <v>1</v>
      </c>
      <c r="I647">
        <v>18</v>
      </c>
      <c r="J647">
        <v>18</v>
      </c>
      <c r="K647">
        <v>158.22</v>
      </c>
      <c r="L647">
        <v>15</v>
      </c>
    </row>
    <row r="648" spans="1:12">
      <c r="A648">
        <v>2350</v>
      </c>
      <c r="B648" s="63" t="s">
        <v>832</v>
      </c>
      <c r="C648" s="63" t="s">
        <v>1369</v>
      </c>
      <c r="D648" s="63" t="s">
        <v>59</v>
      </c>
      <c r="E648" s="63" t="s">
        <v>174</v>
      </c>
      <c r="F648" s="63" t="s">
        <v>1377</v>
      </c>
      <c r="G648">
        <v>1</v>
      </c>
      <c r="H648">
        <v>60</v>
      </c>
      <c r="I648">
        <v>1080</v>
      </c>
      <c r="J648">
        <v>1080</v>
      </c>
      <c r="K648">
        <v>16.350000000000001</v>
      </c>
      <c r="L648">
        <v>2</v>
      </c>
    </row>
    <row r="649" spans="1:12">
      <c r="A649">
        <v>2350</v>
      </c>
      <c r="B649" s="63" t="s">
        <v>844</v>
      </c>
      <c r="C649" s="63" t="s">
        <v>2500</v>
      </c>
      <c r="D649" s="63" t="s">
        <v>59</v>
      </c>
      <c r="G649">
        <v>1</v>
      </c>
      <c r="H649">
        <v>60</v>
      </c>
      <c r="I649">
        <v>1080</v>
      </c>
      <c r="J649">
        <v>1080</v>
      </c>
      <c r="K649">
        <v>0.2</v>
      </c>
      <c r="L649">
        <v>0</v>
      </c>
    </row>
    <row r="650" spans="1:12">
      <c r="A650">
        <v>2350</v>
      </c>
      <c r="B650" s="63" t="s">
        <v>844</v>
      </c>
      <c r="C650" s="63" t="s">
        <v>2500</v>
      </c>
      <c r="D650" s="63" t="s">
        <v>59</v>
      </c>
      <c r="E650" s="63" t="s">
        <v>174</v>
      </c>
      <c r="F650" s="63" t="s">
        <v>461</v>
      </c>
      <c r="G650">
        <v>1</v>
      </c>
      <c r="H650">
        <v>49</v>
      </c>
      <c r="I650">
        <v>882</v>
      </c>
      <c r="J650">
        <v>882</v>
      </c>
      <c r="K650">
        <v>11.05</v>
      </c>
      <c r="L650">
        <v>1</v>
      </c>
    </row>
    <row r="651" spans="1:12">
      <c r="A651">
        <v>2350</v>
      </c>
      <c r="B651" s="63" t="s">
        <v>844</v>
      </c>
      <c r="C651" s="63" t="s">
        <v>2500</v>
      </c>
      <c r="D651" s="63" t="s">
        <v>59</v>
      </c>
      <c r="E651" s="63" t="s">
        <v>174</v>
      </c>
      <c r="F651" s="63" t="s">
        <v>1417</v>
      </c>
      <c r="G651">
        <v>1</v>
      </c>
      <c r="H651">
        <v>60</v>
      </c>
      <c r="I651">
        <v>1062</v>
      </c>
      <c r="J651">
        <v>1062</v>
      </c>
      <c r="K651">
        <v>7.8</v>
      </c>
      <c r="L651">
        <v>0</v>
      </c>
    </row>
    <row r="652" spans="1:12">
      <c r="A652" s="63" t="s">
        <v>2511</v>
      </c>
      <c r="B652" s="63" t="s">
        <v>259</v>
      </c>
      <c r="C652" s="63" t="s">
        <v>406</v>
      </c>
      <c r="D652" s="63" t="s">
        <v>59</v>
      </c>
      <c r="E652" s="63" t="s">
        <v>174</v>
      </c>
      <c r="F652" s="63" t="s">
        <v>2139</v>
      </c>
      <c r="G652">
        <v>1</v>
      </c>
      <c r="H652">
        <v>43</v>
      </c>
      <c r="I652">
        <v>838</v>
      </c>
      <c r="J652">
        <v>838</v>
      </c>
      <c r="K652">
        <v>1.47</v>
      </c>
      <c r="L652">
        <v>0</v>
      </c>
    </row>
    <row r="653" spans="1:12">
      <c r="A653">
        <v>2900</v>
      </c>
      <c r="B653" s="63" t="s">
        <v>2512</v>
      </c>
      <c r="C653" s="63" t="s">
        <v>2513</v>
      </c>
      <c r="D653" s="63" t="s">
        <v>261</v>
      </c>
      <c r="E653" s="63" t="s">
        <v>176</v>
      </c>
      <c r="F653" s="63" t="s">
        <v>2514</v>
      </c>
      <c r="G653">
        <v>1</v>
      </c>
      <c r="H653">
        <v>26</v>
      </c>
      <c r="I653">
        <v>26</v>
      </c>
      <c r="J653">
        <v>26</v>
      </c>
      <c r="K653">
        <v>532.97</v>
      </c>
      <c r="L653">
        <v>61</v>
      </c>
    </row>
    <row r="654" spans="1:12">
      <c r="A654">
        <v>2900</v>
      </c>
      <c r="B654" s="63" t="s">
        <v>400</v>
      </c>
      <c r="C654" s="63" t="s">
        <v>401</v>
      </c>
      <c r="D654" s="63" t="s">
        <v>309</v>
      </c>
      <c r="E654" s="63" t="s">
        <v>311</v>
      </c>
      <c r="F654" s="63" t="s">
        <v>2196</v>
      </c>
      <c r="G654">
        <v>1</v>
      </c>
      <c r="H654">
        <v>17</v>
      </c>
      <c r="I654">
        <v>281</v>
      </c>
      <c r="J654">
        <v>281</v>
      </c>
      <c r="K654">
        <v>0.2</v>
      </c>
      <c r="L654">
        <v>8</v>
      </c>
    </row>
    <row r="655" spans="1:12">
      <c r="A655">
        <v>2900</v>
      </c>
      <c r="B655" s="63" t="s">
        <v>204</v>
      </c>
      <c r="C655" s="63" t="s">
        <v>310</v>
      </c>
      <c r="D655" s="63" t="s">
        <v>59</v>
      </c>
      <c r="G655">
        <v>1</v>
      </c>
      <c r="H655">
        <v>80</v>
      </c>
      <c r="I655">
        <v>456</v>
      </c>
      <c r="J655">
        <v>456</v>
      </c>
      <c r="K655">
        <v>0.78</v>
      </c>
      <c r="L655">
        <v>1</v>
      </c>
    </row>
    <row r="656" spans="1:12">
      <c r="A656">
        <v>2900</v>
      </c>
      <c r="B656" s="63" t="s">
        <v>204</v>
      </c>
      <c r="C656" s="63" t="s">
        <v>310</v>
      </c>
      <c r="D656" s="63" t="s">
        <v>59</v>
      </c>
      <c r="E656" s="63" t="s">
        <v>2515</v>
      </c>
      <c r="F656" s="63" t="s">
        <v>2516</v>
      </c>
      <c r="G656">
        <v>1</v>
      </c>
      <c r="H656">
        <v>48</v>
      </c>
      <c r="I656">
        <v>266</v>
      </c>
      <c r="J656">
        <v>266</v>
      </c>
      <c r="K656">
        <v>4.57</v>
      </c>
      <c r="L656">
        <v>0</v>
      </c>
    </row>
    <row r="657" spans="1:12">
      <c r="A657">
        <v>2900</v>
      </c>
      <c r="B657" s="63" t="s">
        <v>204</v>
      </c>
      <c r="C657" s="63" t="s">
        <v>310</v>
      </c>
      <c r="D657" s="63" t="s">
        <v>59</v>
      </c>
      <c r="E657" s="63" t="s">
        <v>253</v>
      </c>
      <c r="F657" s="63" t="s">
        <v>2517</v>
      </c>
      <c r="G657">
        <v>1</v>
      </c>
      <c r="H657">
        <v>48</v>
      </c>
      <c r="I657">
        <v>284</v>
      </c>
      <c r="J657">
        <v>284</v>
      </c>
      <c r="K657">
        <v>4.57</v>
      </c>
      <c r="L657">
        <v>0</v>
      </c>
    </row>
    <row r="658" spans="1:12">
      <c r="A658">
        <v>2901</v>
      </c>
      <c r="B658" s="63" t="s">
        <v>978</v>
      </c>
      <c r="C658" s="63" t="s">
        <v>979</v>
      </c>
      <c r="D658" s="63" t="s">
        <v>261</v>
      </c>
      <c r="E658" s="63" t="s">
        <v>311</v>
      </c>
      <c r="F658" s="63" t="s">
        <v>2518</v>
      </c>
      <c r="G658">
        <v>1</v>
      </c>
      <c r="H658">
        <v>29</v>
      </c>
      <c r="I658">
        <v>29</v>
      </c>
      <c r="J658">
        <v>29</v>
      </c>
      <c r="K658">
        <v>97.65</v>
      </c>
      <c r="L658">
        <v>12</v>
      </c>
    </row>
    <row r="659" spans="1:12">
      <c r="A659">
        <v>2901</v>
      </c>
      <c r="B659" s="63" t="s">
        <v>808</v>
      </c>
      <c r="C659" s="63" t="s">
        <v>809</v>
      </c>
      <c r="D659" s="63" t="s">
        <v>261</v>
      </c>
      <c r="E659" s="63" t="s">
        <v>311</v>
      </c>
      <c r="F659" s="63" t="s">
        <v>1398</v>
      </c>
      <c r="G659">
        <v>1</v>
      </c>
      <c r="H659">
        <v>4</v>
      </c>
      <c r="I659">
        <v>4</v>
      </c>
      <c r="J659">
        <v>4</v>
      </c>
      <c r="K659">
        <v>48.78</v>
      </c>
      <c r="L659">
        <v>4</v>
      </c>
    </row>
    <row r="660" spans="1:12">
      <c r="A660">
        <v>2902</v>
      </c>
      <c r="B660" s="63" t="s">
        <v>361</v>
      </c>
      <c r="C660" s="63" t="s">
        <v>1614</v>
      </c>
      <c r="D660" s="63" t="s">
        <v>261</v>
      </c>
      <c r="E660" s="63" t="s">
        <v>311</v>
      </c>
      <c r="F660" s="63" t="s">
        <v>1548</v>
      </c>
      <c r="G660">
        <v>1</v>
      </c>
      <c r="H660">
        <v>60</v>
      </c>
      <c r="I660">
        <v>60</v>
      </c>
      <c r="J660">
        <v>60</v>
      </c>
      <c r="K660">
        <v>63.05</v>
      </c>
      <c r="L660">
        <v>22</v>
      </c>
    </row>
    <row r="661" spans="1:12">
      <c r="A661">
        <v>2902</v>
      </c>
      <c r="B661" s="63" t="s">
        <v>361</v>
      </c>
      <c r="C661" s="63" t="s">
        <v>1614</v>
      </c>
      <c r="D661" s="63" t="s">
        <v>261</v>
      </c>
      <c r="E661" s="63" t="s">
        <v>311</v>
      </c>
      <c r="F661" s="63" t="s">
        <v>2519</v>
      </c>
      <c r="G661">
        <v>1</v>
      </c>
      <c r="H661">
        <v>60</v>
      </c>
      <c r="I661">
        <v>60</v>
      </c>
      <c r="J661">
        <v>60</v>
      </c>
      <c r="K661">
        <v>6.93</v>
      </c>
      <c r="L661">
        <v>13</v>
      </c>
    </row>
    <row r="662" spans="1:12">
      <c r="A662">
        <v>2902</v>
      </c>
      <c r="B662" s="63" t="s">
        <v>361</v>
      </c>
      <c r="C662" s="63" t="s">
        <v>1614</v>
      </c>
      <c r="D662" s="63" t="s">
        <v>261</v>
      </c>
      <c r="E662" s="63" t="s">
        <v>311</v>
      </c>
      <c r="F662" s="63" t="s">
        <v>2520</v>
      </c>
      <c r="G662">
        <v>1</v>
      </c>
      <c r="H662">
        <v>60</v>
      </c>
      <c r="I662">
        <v>60</v>
      </c>
      <c r="J662">
        <v>60</v>
      </c>
      <c r="K662">
        <v>60.88</v>
      </c>
      <c r="L662">
        <v>22</v>
      </c>
    </row>
    <row r="663" spans="1:12">
      <c r="A663">
        <v>2902</v>
      </c>
      <c r="B663" s="63" t="s">
        <v>361</v>
      </c>
      <c r="C663" s="63" t="s">
        <v>1614</v>
      </c>
      <c r="D663" s="63" t="s">
        <v>261</v>
      </c>
      <c r="E663" s="63" t="s">
        <v>311</v>
      </c>
      <c r="F663" s="63" t="s">
        <v>2521</v>
      </c>
      <c r="G663">
        <v>1</v>
      </c>
      <c r="H663">
        <v>60</v>
      </c>
      <c r="I663">
        <v>60</v>
      </c>
      <c r="J663">
        <v>60</v>
      </c>
      <c r="K663">
        <v>299.83</v>
      </c>
      <c r="L663">
        <v>20</v>
      </c>
    </row>
    <row r="664" spans="1:12">
      <c r="A664">
        <v>2902</v>
      </c>
      <c r="B664" s="63" t="s">
        <v>361</v>
      </c>
      <c r="C664" s="63" t="s">
        <v>1614</v>
      </c>
      <c r="D664" s="63" t="s">
        <v>261</v>
      </c>
      <c r="E664" s="63" t="s">
        <v>311</v>
      </c>
      <c r="F664" s="63" t="s">
        <v>2522</v>
      </c>
      <c r="G664">
        <v>1</v>
      </c>
      <c r="H664">
        <v>60</v>
      </c>
      <c r="I664">
        <v>60</v>
      </c>
      <c r="J664">
        <v>60</v>
      </c>
      <c r="K664">
        <v>52.17</v>
      </c>
      <c r="L664">
        <v>27</v>
      </c>
    </row>
    <row r="665" spans="1:12">
      <c r="A665">
        <v>2902</v>
      </c>
      <c r="B665" s="63" t="s">
        <v>361</v>
      </c>
      <c r="C665" s="63" t="s">
        <v>1614</v>
      </c>
      <c r="D665" s="63" t="s">
        <v>261</v>
      </c>
      <c r="E665" s="63" t="s">
        <v>311</v>
      </c>
      <c r="F665" s="63" t="s">
        <v>2523</v>
      </c>
      <c r="G665">
        <v>1</v>
      </c>
      <c r="H665">
        <v>60</v>
      </c>
      <c r="I665">
        <v>60</v>
      </c>
      <c r="J665">
        <v>60</v>
      </c>
      <c r="K665">
        <v>17.05</v>
      </c>
      <c r="L665">
        <v>19</v>
      </c>
    </row>
    <row r="666" spans="1:12">
      <c r="A666">
        <v>2902</v>
      </c>
      <c r="B666" s="63" t="s">
        <v>361</v>
      </c>
      <c r="C666" s="63" t="s">
        <v>1614</v>
      </c>
      <c r="D666" s="63" t="s">
        <v>261</v>
      </c>
      <c r="E666" s="63" t="s">
        <v>311</v>
      </c>
      <c r="F666" s="63" t="s">
        <v>871</v>
      </c>
      <c r="G666">
        <v>1</v>
      </c>
      <c r="H666">
        <v>60</v>
      </c>
      <c r="I666">
        <v>60</v>
      </c>
      <c r="J666">
        <v>60</v>
      </c>
      <c r="K666">
        <v>14.85</v>
      </c>
      <c r="L666">
        <v>8</v>
      </c>
    </row>
    <row r="667" spans="1:12">
      <c r="A667">
        <v>2902</v>
      </c>
      <c r="B667" s="63" t="s">
        <v>361</v>
      </c>
      <c r="C667" s="63" t="s">
        <v>1614</v>
      </c>
      <c r="D667" s="63" t="s">
        <v>261</v>
      </c>
      <c r="E667" s="63" t="s">
        <v>311</v>
      </c>
      <c r="F667" s="63" t="s">
        <v>587</v>
      </c>
      <c r="G667">
        <v>1</v>
      </c>
      <c r="H667">
        <v>60</v>
      </c>
      <c r="I667">
        <v>60</v>
      </c>
      <c r="J667">
        <v>60</v>
      </c>
      <c r="K667">
        <v>58.7</v>
      </c>
      <c r="L667">
        <v>24</v>
      </c>
    </row>
    <row r="668" spans="1:12">
      <c r="A668">
        <v>2902</v>
      </c>
      <c r="B668" s="63" t="s">
        <v>361</v>
      </c>
      <c r="C668" s="63" t="s">
        <v>1614</v>
      </c>
      <c r="D668" s="63" t="s">
        <v>261</v>
      </c>
      <c r="E668" s="63" t="s">
        <v>311</v>
      </c>
      <c r="F668" s="63" t="s">
        <v>2524</v>
      </c>
      <c r="G668">
        <v>1</v>
      </c>
      <c r="H668">
        <v>60</v>
      </c>
      <c r="I668">
        <v>60</v>
      </c>
      <c r="J668">
        <v>60</v>
      </c>
      <c r="K668">
        <v>67.400000000000006</v>
      </c>
      <c r="L668">
        <v>23</v>
      </c>
    </row>
    <row r="669" spans="1:12">
      <c r="A669">
        <v>2902</v>
      </c>
      <c r="B669" s="63" t="s">
        <v>361</v>
      </c>
      <c r="C669" s="63" t="s">
        <v>1614</v>
      </c>
      <c r="D669" s="63" t="s">
        <v>261</v>
      </c>
      <c r="E669" s="63" t="s">
        <v>176</v>
      </c>
      <c r="F669" s="63" t="s">
        <v>2525</v>
      </c>
      <c r="G669">
        <v>1</v>
      </c>
      <c r="H669">
        <v>60</v>
      </c>
      <c r="I669">
        <v>60</v>
      </c>
      <c r="J669">
        <v>60</v>
      </c>
      <c r="K669">
        <v>11.97</v>
      </c>
      <c r="L669">
        <v>9</v>
      </c>
    </row>
    <row r="670" spans="1:12">
      <c r="A670">
        <v>2902</v>
      </c>
      <c r="B670" s="63" t="s">
        <v>361</v>
      </c>
      <c r="C670" s="63" t="s">
        <v>1614</v>
      </c>
      <c r="D670" s="63" t="s">
        <v>261</v>
      </c>
      <c r="E670" s="63" t="s">
        <v>176</v>
      </c>
      <c r="F670" s="63" t="s">
        <v>1183</v>
      </c>
      <c r="G670">
        <v>1</v>
      </c>
      <c r="H670">
        <v>60</v>
      </c>
      <c r="I670">
        <v>60</v>
      </c>
      <c r="J670">
        <v>60</v>
      </c>
      <c r="K670">
        <v>9.52</v>
      </c>
      <c r="L670">
        <v>22</v>
      </c>
    </row>
    <row r="671" spans="1:12">
      <c r="A671">
        <v>2902</v>
      </c>
      <c r="B671" s="63" t="s">
        <v>361</v>
      </c>
      <c r="C671" s="63" t="s">
        <v>1614</v>
      </c>
      <c r="D671" s="63" t="s">
        <v>261</v>
      </c>
      <c r="E671" s="63" t="s">
        <v>176</v>
      </c>
      <c r="F671" s="63" t="s">
        <v>2526</v>
      </c>
      <c r="G671">
        <v>1</v>
      </c>
      <c r="H671">
        <v>60</v>
      </c>
      <c r="I671">
        <v>60</v>
      </c>
      <c r="J671">
        <v>60</v>
      </c>
      <c r="K671">
        <v>54.33</v>
      </c>
      <c r="L671">
        <v>25</v>
      </c>
    </row>
    <row r="672" spans="1:12">
      <c r="A672">
        <v>2902</v>
      </c>
      <c r="B672" s="63" t="s">
        <v>361</v>
      </c>
      <c r="C672" s="63" t="s">
        <v>1614</v>
      </c>
      <c r="D672" s="63" t="s">
        <v>261</v>
      </c>
      <c r="E672" s="63" t="s">
        <v>176</v>
      </c>
      <c r="F672" s="63" t="s">
        <v>1335</v>
      </c>
      <c r="G672">
        <v>1</v>
      </c>
      <c r="H672">
        <v>60</v>
      </c>
      <c r="I672">
        <v>60</v>
      </c>
      <c r="J672">
        <v>60</v>
      </c>
      <c r="K672">
        <v>297.08</v>
      </c>
      <c r="L672">
        <v>28</v>
      </c>
    </row>
    <row r="673" spans="1:12">
      <c r="A673">
        <v>2902</v>
      </c>
      <c r="B673" s="63" t="s">
        <v>361</v>
      </c>
      <c r="C673" s="63" t="s">
        <v>1614</v>
      </c>
      <c r="D673" s="63" t="s">
        <v>261</v>
      </c>
      <c r="E673" s="63" t="s">
        <v>254</v>
      </c>
      <c r="F673" s="63" t="s">
        <v>1114</v>
      </c>
      <c r="G673">
        <v>1</v>
      </c>
      <c r="H673">
        <v>60</v>
      </c>
      <c r="I673">
        <v>60</v>
      </c>
      <c r="J673">
        <v>60</v>
      </c>
      <c r="K673">
        <v>65.25</v>
      </c>
      <c r="L673">
        <v>23</v>
      </c>
    </row>
    <row r="674" spans="1:12">
      <c r="A674">
        <v>2902</v>
      </c>
      <c r="B674" s="63" t="s">
        <v>361</v>
      </c>
      <c r="C674" s="63" t="s">
        <v>1614</v>
      </c>
      <c r="D674" s="63" t="s">
        <v>261</v>
      </c>
      <c r="E674" s="63" t="s">
        <v>254</v>
      </c>
      <c r="F674" s="63" t="s">
        <v>651</v>
      </c>
      <c r="G674">
        <v>1</v>
      </c>
      <c r="H674">
        <v>59</v>
      </c>
      <c r="I674">
        <v>59</v>
      </c>
      <c r="J674">
        <v>59</v>
      </c>
      <c r="K674">
        <v>50.02</v>
      </c>
      <c r="L674">
        <v>23</v>
      </c>
    </row>
    <row r="675" spans="1:12">
      <c r="A675">
        <v>2902</v>
      </c>
      <c r="B675" s="63" t="s">
        <v>361</v>
      </c>
      <c r="C675" s="63" t="s">
        <v>1614</v>
      </c>
      <c r="D675" s="63" t="s">
        <v>261</v>
      </c>
      <c r="E675" s="63" t="s">
        <v>254</v>
      </c>
      <c r="F675" s="63" t="s">
        <v>505</v>
      </c>
      <c r="G675">
        <v>1</v>
      </c>
      <c r="H675">
        <v>60</v>
      </c>
      <c r="I675">
        <v>60</v>
      </c>
      <c r="J675">
        <v>60</v>
      </c>
      <c r="K675">
        <v>294.55</v>
      </c>
      <c r="L675">
        <v>25</v>
      </c>
    </row>
    <row r="676" spans="1:12">
      <c r="A676">
        <v>2902</v>
      </c>
      <c r="B676" s="63" t="s">
        <v>361</v>
      </c>
      <c r="C676" s="63" t="s">
        <v>1614</v>
      </c>
      <c r="D676" s="63" t="s">
        <v>261</v>
      </c>
      <c r="E676" s="63" t="s">
        <v>254</v>
      </c>
      <c r="F676" s="63" t="s">
        <v>2527</v>
      </c>
      <c r="G676">
        <v>1</v>
      </c>
      <c r="H676">
        <v>60</v>
      </c>
      <c r="I676">
        <v>60</v>
      </c>
      <c r="J676">
        <v>60</v>
      </c>
      <c r="K676">
        <v>302.45</v>
      </c>
      <c r="L676">
        <v>22</v>
      </c>
    </row>
    <row r="677" spans="1:12">
      <c r="A677">
        <v>2902</v>
      </c>
      <c r="B677" s="63" t="s">
        <v>361</v>
      </c>
      <c r="C677" s="63" t="s">
        <v>1614</v>
      </c>
      <c r="D677" s="63" t="s">
        <v>261</v>
      </c>
      <c r="E677" s="63" t="s">
        <v>254</v>
      </c>
      <c r="F677" s="63" t="s">
        <v>2528</v>
      </c>
      <c r="G677">
        <v>1</v>
      </c>
      <c r="H677">
        <v>60</v>
      </c>
      <c r="I677">
        <v>60</v>
      </c>
      <c r="J677">
        <v>60</v>
      </c>
      <c r="K677">
        <v>56.52</v>
      </c>
      <c r="L677">
        <v>24</v>
      </c>
    </row>
    <row r="678" spans="1:12">
      <c r="A678">
        <v>2902</v>
      </c>
      <c r="B678" s="63" t="s">
        <v>361</v>
      </c>
      <c r="C678" s="63" t="s">
        <v>1614</v>
      </c>
      <c r="D678" s="63" t="s">
        <v>261</v>
      </c>
      <c r="E678" s="63" t="s">
        <v>254</v>
      </c>
      <c r="F678" s="63" t="s">
        <v>1606</v>
      </c>
      <c r="G678">
        <v>1</v>
      </c>
      <c r="H678">
        <v>26</v>
      </c>
      <c r="I678">
        <v>26</v>
      </c>
      <c r="J678">
        <v>26</v>
      </c>
      <c r="K678">
        <v>621.91999999999996</v>
      </c>
      <c r="L678">
        <v>26</v>
      </c>
    </row>
    <row r="679" spans="1:12">
      <c r="A679">
        <v>2902</v>
      </c>
      <c r="B679" s="63" t="s">
        <v>361</v>
      </c>
      <c r="C679" s="63" t="s">
        <v>1317</v>
      </c>
      <c r="D679" s="63" t="s">
        <v>261</v>
      </c>
      <c r="E679" s="63" t="s">
        <v>176</v>
      </c>
      <c r="F679" s="63" t="s">
        <v>1564</v>
      </c>
      <c r="G679">
        <v>1</v>
      </c>
      <c r="H679">
        <v>48</v>
      </c>
      <c r="I679">
        <v>48</v>
      </c>
      <c r="J679">
        <v>48</v>
      </c>
      <c r="K679">
        <v>508.57</v>
      </c>
      <c r="L679">
        <v>42</v>
      </c>
    </row>
    <row r="680" spans="1:12">
      <c r="A680">
        <v>2902</v>
      </c>
      <c r="B680" s="63" t="s">
        <v>330</v>
      </c>
      <c r="C680" s="63" t="s">
        <v>1706</v>
      </c>
      <c r="D680" s="63" t="s">
        <v>261</v>
      </c>
      <c r="E680" s="63" t="s">
        <v>254</v>
      </c>
      <c r="F680" s="63" t="s">
        <v>1005</v>
      </c>
      <c r="G680">
        <v>1</v>
      </c>
      <c r="H680">
        <v>30</v>
      </c>
      <c r="I680">
        <v>30</v>
      </c>
      <c r="J680">
        <v>30</v>
      </c>
      <c r="K680">
        <v>671.18</v>
      </c>
      <c r="L680">
        <v>63</v>
      </c>
    </row>
    <row r="681" spans="1:12">
      <c r="A681">
        <v>2902</v>
      </c>
      <c r="B681" s="63" t="s">
        <v>330</v>
      </c>
      <c r="C681" s="63" t="s">
        <v>331</v>
      </c>
      <c r="D681" s="63" t="s">
        <v>261</v>
      </c>
      <c r="G681">
        <v>1</v>
      </c>
      <c r="H681">
        <v>59</v>
      </c>
      <c r="I681">
        <v>59</v>
      </c>
      <c r="J681">
        <v>59</v>
      </c>
      <c r="K681">
        <v>1.2</v>
      </c>
      <c r="L681">
        <v>6</v>
      </c>
    </row>
    <row r="682" spans="1:12">
      <c r="A682">
        <v>2902</v>
      </c>
      <c r="B682" s="63" t="s">
        <v>330</v>
      </c>
      <c r="C682" s="63" t="s">
        <v>331</v>
      </c>
      <c r="D682" s="63" t="s">
        <v>261</v>
      </c>
      <c r="E682" s="63" t="s">
        <v>2529</v>
      </c>
      <c r="F682" s="63" t="s">
        <v>2170</v>
      </c>
      <c r="G682">
        <v>1</v>
      </c>
      <c r="H682">
        <v>60</v>
      </c>
      <c r="I682">
        <v>60</v>
      </c>
      <c r="J682">
        <v>60</v>
      </c>
      <c r="K682">
        <v>6.65</v>
      </c>
      <c r="L682">
        <v>6</v>
      </c>
    </row>
    <row r="683" spans="1:12">
      <c r="A683">
        <v>2902</v>
      </c>
      <c r="B683" s="63" t="s">
        <v>330</v>
      </c>
      <c r="C683" s="63" t="s">
        <v>331</v>
      </c>
      <c r="D683" s="63" t="s">
        <v>261</v>
      </c>
      <c r="E683" s="63" t="s">
        <v>311</v>
      </c>
      <c r="F683" s="63" t="s">
        <v>2057</v>
      </c>
      <c r="G683">
        <v>1</v>
      </c>
      <c r="H683">
        <v>60</v>
      </c>
      <c r="I683">
        <v>60</v>
      </c>
      <c r="J683">
        <v>60</v>
      </c>
      <c r="K683">
        <v>0.65</v>
      </c>
      <c r="L683">
        <v>19</v>
      </c>
    </row>
    <row r="684" spans="1:12">
      <c r="A684">
        <v>2902</v>
      </c>
      <c r="B684" s="63" t="s">
        <v>330</v>
      </c>
      <c r="C684" s="63" t="s">
        <v>331</v>
      </c>
      <c r="D684" s="63" t="s">
        <v>261</v>
      </c>
      <c r="E684" s="63" t="s">
        <v>311</v>
      </c>
      <c r="F684" s="63" t="s">
        <v>2178</v>
      </c>
      <c r="G684">
        <v>1</v>
      </c>
      <c r="H684">
        <v>60</v>
      </c>
      <c r="I684">
        <v>60</v>
      </c>
      <c r="J684">
        <v>60</v>
      </c>
      <c r="K684">
        <v>1.05</v>
      </c>
      <c r="L684">
        <v>19</v>
      </c>
    </row>
    <row r="685" spans="1:12">
      <c r="A685">
        <v>2902</v>
      </c>
      <c r="B685" s="63" t="s">
        <v>330</v>
      </c>
      <c r="C685" s="63" t="s">
        <v>331</v>
      </c>
      <c r="D685" s="63" t="s">
        <v>261</v>
      </c>
      <c r="E685" s="63" t="s">
        <v>176</v>
      </c>
      <c r="F685" s="63" t="s">
        <v>2173</v>
      </c>
      <c r="G685">
        <v>1</v>
      </c>
      <c r="H685">
        <v>60</v>
      </c>
      <c r="I685">
        <v>60</v>
      </c>
      <c r="J685">
        <v>60</v>
      </c>
      <c r="K685">
        <v>6.25</v>
      </c>
      <c r="L685">
        <v>6</v>
      </c>
    </row>
    <row r="686" spans="1:12">
      <c r="A686">
        <v>2902</v>
      </c>
      <c r="B686" s="63" t="s">
        <v>330</v>
      </c>
      <c r="C686" s="63" t="s">
        <v>331</v>
      </c>
      <c r="D686" s="63" t="s">
        <v>261</v>
      </c>
      <c r="E686" s="63" t="s">
        <v>176</v>
      </c>
      <c r="F686" s="63" t="s">
        <v>1153</v>
      </c>
      <c r="G686">
        <v>1</v>
      </c>
      <c r="H686">
        <v>60</v>
      </c>
      <c r="I686">
        <v>60</v>
      </c>
      <c r="J686">
        <v>60</v>
      </c>
      <c r="K686">
        <v>1.47</v>
      </c>
      <c r="L686">
        <v>19</v>
      </c>
    </row>
    <row r="687" spans="1:12">
      <c r="A687">
        <v>2902</v>
      </c>
      <c r="B687" s="63" t="s">
        <v>330</v>
      </c>
      <c r="C687" s="63" t="s">
        <v>331</v>
      </c>
      <c r="D687" s="63" t="s">
        <v>261</v>
      </c>
      <c r="E687" s="63" t="s">
        <v>176</v>
      </c>
      <c r="F687" s="63" t="s">
        <v>2176</v>
      </c>
      <c r="G687">
        <v>1</v>
      </c>
      <c r="H687">
        <v>59</v>
      </c>
      <c r="I687">
        <v>59</v>
      </c>
      <c r="J687">
        <v>59</v>
      </c>
      <c r="K687">
        <v>5.08</v>
      </c>
      <c r="L687">
        <v>19</v>
      </c>
    </row>
    <row r="688" spans="1:12">
      <c r="A688">
        <v>2903</v>
      </c>
      <c r="B688" s="63" t="s">
        <v>330</v>
      </c>
      <c r="C688" s="63" t="s">
        <v>331</v>
      </c>
      <c r="D688" s="63" t="s">
        <v>261</v>
      </c>
      <c r="E688" s="63" t="s">
        <v>174</v>
      </c>
      <c r="F688" s="63" t="s">
        <v>910</v>
      </c>
      <c r="G688">
        <v>1</v>
      </c>
      <c r="H688">
        <v>60</v>
      </c>
      <c r="I688">
        <v>60</v>
      </c>
      <c r="J688">
        <v>60</v>
      </c>
      <c r="K688">
        <v>2.65</v>
      </c>
      <c r="L688">
        <v>6</v>
      </c>
    </row>
    <row r="689" spans="1:12">
      <c r="A689">
        <v>2903</v>
      </c>
      <c r="B689" s="63" t="s">
        <v>330</v>
      </c>
      <c r="C689" s="63" t="s">
        <v>331</v>
      </c>
      <c r="D689" s="63" t="s">
        <v>261</v>
      </c>
      <c r="E689" s="63" t="s">
        <v>174</v>
      </c>
      <c r="F689" s="63" t="s">
        <v>2530</v>
      </c>
      <c r="G689">
        <v>1</v>
      </c>
      <c r="H689">
        <v>60</v>
      </c>
      <c r="I689">
        <v>60</v>
      </c>
      <c r="J689">
        <v>60</v>
      </c>
      <c r="K689">
        <v>4.53</v>
      </c>
      <c r="L689">
        <v>6</v>
      </c>
    </row>
    <row r="690" spans="1:12">
      <c r="A690">
        <v>2965</v>
      </c>
      <c r="B690" s="63" t="s">
        <v>204</v>
      </c>
      <c r="C690" s="63" t="s">
        <v>310</v>
      </c>
      <c r="D690" s="63" t="s">
        <v>59</v>
      </c>
      <c r="E690" s="63" t="s">
        <v>459</v>
      </c>
      <c r="F690" s="63" t="s">
        <v>2531</v>
      </c>
      <c r="G690">
        <v>1</v>
      </c>
      <c r="H690">
        <v>48</v>
      </c>
      <c r="I690">
        <v>274</v>
      </c>
      <c r="J690">
        <v>274</v>
      </c>
      <c r="K690">
        <v>2.25</v>
      </c>
      <c r="L690">
        <v>1</v>
      </c>
    </row>
    <row r="691" spans="1:12">
      <c r="A691">
        <v>2965</v>
      </c>
      <c r="B691" s="63" t="s">
        <v>204</v>
      </c>
      <c r="C691" s="63" t="s">
        <v>310</v>
      </c>
      <c r="D691" s="63" t="s">
        <v>59</v>
      </c>
      <c r="E691" s="63" t="s">
        <v>459</v>
      </c>
      <c r="F691" s="63" t="s">
        <v>2532</v>
      </c>
      <c r="G691">
        <v>1</v>
      </c>
      <c r="H691">
        <v>48</v>
      </c>
      <c r="I691">
        <v>282</v>
      </c>
      <c r="J691">
        <v>282</v>
      </c>
      <c r="K691">
        <v>1</v>
      </c>
      <c r="L691">
        <v>1</v>
      </c>
    </row>
    <row r="692" spans="1:12">
      <c r="A692">
        <v>2970</v>
      </c>
      <c r="B692" s="63" t="s">
        <v>315</v>
      </c>
      <c r="C692" s="63" t="s">
        <v>316</v>
      </c>
      <c r="D692" s="63" t="s">
        <v>261</v>
      </c>
      <c r="E692" s="63" t="s">
        <v>172</v>
      </c>
      <c r="F692" s="63" t="s">
        <v>909</v>
      </c>
      <c r="G692">
        <v>1</v>
      </c>
      <c r="H692">
        <v>60</v>
      </c>
      <c r="I692">
        <v>60</v>
      </c>
      <c r="J692">
        <v>60</v>
      </c>
      <c r="K692">
        <v>307.95</v>
      </c>
      <c r="L692">
        <v>35</v>
      </c>
    </row>
    <row r="693" spans="1:12">
      <c r="A693">
        <v>2970</v>
      </c>
      <c r="B693" s="63" t="s">
        <v>315</v>
      </c>
      <c r="C693" s="63" t="s">
        <v>316</v>
      </c>
      <c r="D693" s="63" t="s">
        <v>261</v>
      </c>
      <c r="E693" s="63" t="s">
        <v>173</v>
      </c>
      <c r="F693" s="63" t="s">
        <v>1474</v>
      </c>
      <c r="G693">
        <v>1</v>
      </c>
      <c r="H693">
        <v>60</v>
      </c>
      <c r="I693">
        <v>60</v>
      </c>
      <c r="J693">
        <v>60</v>
      </c>
      <c r="K693">
        <v>322.42</v>
      </c>
      <c r="L693">
        <v>66</v>
      </c>
    </row>
    <row r="694" spans="1:12">
      <c r="A694">
        <v>2970</v>
      </c>
      <c r="B694" s="63" t="s">
        <v>315</v>
      </c>
      <c r="C694" s="63" t="s">
        <v>316</v>
      </c>
      <c r="D694" s="63" t="s">
        <v>261</v>
      </c>
      <c r="E694" s="63" t="s">
        <v>173</v>
      </c>
      <c r="F694" s="63" t="s">
        <v>1026</v>
      </c>
      <c r="G694">
        <v>1</v>
      </c>
      <c r="H694">
        <v>60</v>
      </c>
      <c r="I694">
        <v>60</v>
      </c>
      <c r="J694">
        <v>60</v>
      </c>
      <c r="K694">
        <v>324.05</v>
      </c>
      <c r="L694">
        <v>66</v>
      </c>
    </row>
    <row r="695" spans="1:12">
      <c r="A695">
        <v>2970</v>
      </c>
      <c r="B695" s="63" t="s">
        <v>315</v>
      </c>
      <c r="C695" s="63" t="s">
        <v>316</v>
      </c>
      <c r="D695" s="63" t="s">
        <v>261</v>
      </c>
      <c r="E695" s="63" t="s">
        <v>173</v>
      </c>
      <c r="F695" s="63" t="s">
        <v>1220</v>
      </c>
      <c r="G695">
        <v>1</v>
      </c>
      <c r="H695">
        <v>60</v>
      </c>
      <c r="I695">
        <v>60</v>
      </c>
      <c r="J695">
        <v>60</v>
      </c>
      <c r="K695">
        <v>297.68</v>
      </c>
      <c r="L695">
        <v>35</v>
      </c>
    </row>
    <row r="696" spans="1:12">
      <c r="A696">
        <v>2970</v>
      </c>
      <c r="B696" s="63" t="s">
        <v>330</v>
      </c>
      <c r="C696" s="63" t="s">
        <v>331</v>
      </c>
      <c r="D696" s="63" t="s">
        <v>261</v>
      </c>
      <c r="E696" s="63" t="s">
        <v>203</v>
      </c>
      <c r="F696" s="63" t="s">
        <v>2116</v>
      </c>
      <c r="G696">
        <v>1</v>
      </c>
      <c r="H696">
        <v>60</v>
      </c>
      <c r="I696">
        <v>60</v>
      </c>
      <c r="J696">
        <v>60</v>
      </c>
      <c r="K696">
        <v>0.47</v>
      </c>
      <c r="L696">
        <v>6</v>
      </c>
    </row>
    <row r="697" spans="1:12">
      <c r="A697">
        <v>2970</v>
      </c>
      <c r="B697" s="63" t="s">
        <v>274</v>
      </c>
      <c r="C697" s="63" t="s">
        <v>332</v>
      </c>
      <c r="D697" s="63" t="s">
        <v>261</v>
      </c>
      <c r="E697" s="63" t="s">
        <v>172</v>
      </c>
      <c r="F697" s="63" t="s">
        <v>1788</v>
      </c>
      <c r="G697">
        <v>1</v>
      </c>
      <c r="H697">
        <v>60</v>
      </c>
      <c r="I697">
        <v>60</v>
      </c>
      <c r="J697">
        <v>60</v>
      </c>
      <c r="K697">
        <v>123.57</v>
      </c>
      <c r="L697">
        <v>64</v>
      </c>
    </row>
    <row r="698" spans="1:12">
      <c r="A698">
        <v>2971</v>
      </c>
      <c r="B698" s="63" t="s">
        <v>330</v>
      </c>
      <c r="C698" s="63" t="s">
        <v>331</v>
      </c>
      <c r="D698" s="63" t="s">
        <v>261</v>
      </c>
      <c r="E698" s="63" t="s">
        <v>203</v>
      </c>
      <c r="F698" s="63" t="s">
        <v>1825</v>
      </c>
      <c r="G698">
        <v>1</v>
      </c>
      <c r="H698">
        <v>60</v>
      </c>
      <c r="I698">
        <v>60</v>
      </c>
      <c r="J698">
        <v>60</v>
      </c>
      <c r="K698">
        <v>0.45</v>
      </c>
      <c r="L698">
        <v>6</v>
      </c>
    </row>
    <row r="699" spans="1:12">
      <c r="A699">
        <v>2996</v>
      </c>
      <c r="B699" s="63" t="s">
        <v>471</v>
      </c>
      <c r="C699" s="63" t="s">
        <v>488</v>
      </c>
      <c r="D699" s="63" t="s">
        <v>59</v>
      </c>
      <c r="E699" s="63" t="s">
        <v>184</v>
      </c>
      <c r="F699" s="63" t="s">
        <v>1496</v>
      </c>
      <c r="G699">
        <v>1</v>
      </c>
      <c r="H699">
        <v>1</v>
      </c>
      <c r="I699">
        <v>6</v>
      </c>
      <c r="J699">
        <v>144</v>
      </c>
      <c r="K699">
        <v>66.48</v>
      </c>
      <c r="L699">
        <v>2</v>
      </c>
    </row>
    <row r="700" spans="1:12">
      <c r="A700">
        <v>2996</v>
      </c>
      <c r="B700" s="63" t="s">
        <v>866</v>
      </c>
      <c r="C700" s="63" t="s">
        <v>2309</v>
      </c>
      <c r="D700" s="63" t="s">
        <v>59</v>
      </c>
      <c r="F700" s="63" t="s">
        <v>1154</v>
      </c>
      <c r="G700">
        <v>1</v>
      </c>
      <c r="H700">
        <v>1</v>
      </c>
      <c r="I700">
        <v>6</v>
      </c>
      <c r="J700">
        <v>119</v>
      </c>
      <c r="K700">
        <v>11.9</v>
      </c>
      <c r="L700">
        <v>0</v>
      </c>
    </row>
    <row r="701" spans="1:12">
      <c r="A701">
        <v>2996</v>
      </c>
      <c r="B701" s="63" t="s">
        <v>866</v>
      </c>
      <c r="C701" s="63" t="s">
        <v>2309</v>
      </c>
      <c r="D701" s="63" t="s">
        <v>59</v>
      </c>
      <c r="E701" s="63" t="s">
        <v>1509</v>
      </c>
      <c r="F701" s="63" t="s">
        <v>881</v>
      </c>
      <c r="G701">
        <v>1</v>
      </c>
      <c r="H701">
        <v>1</v>
      </c>
      <c r="I701">
        <v>6</v>
      </c>
      <c r="J701">
        <v>120</v>
      </c>
      <c r="K701">
        <v>0.68</v>
      </c>
      <c r="L701">
        <v>4</v>
      </c>
    </row>
    <row r="702" spans="1:12">
      <c r="A702">
        <v>2996</v>
      </c>
      <c r="B702" s="63" t="s">
        <v>866</v>
      </c>
      <c r="C702" s="63" t="s">
        <v>2309</v>
      </c>
      <c r="D702" s="63" t="s">
        <v>374</v>
      </c>
      <c r="E702" s="63" t="s">
        <v>1045</v>
      </c>
      <c r="F702" s="63" t="s">
        <v>2113</v>
      </c>
      <c r="G702">
        <v>1</v>
      </c>
      <c r="H702">
        <v>2</v>
      </c>
      <c r="I702">
        <v>12</v>
      </c>
      <c r="J702">
        <v>240</v>
      </c>
      <c r="K702">
        <v>38.67</v>
      </c>
      <c r="L702">
        <v>1</v>
      </c>
    </row>
    <row r="703" spans="1:12">
      <c r="A703">
        <v>2996</v>
      </c>
      <c r="B703" s="63" t="s">
        <v>256</v>
      </c>
      <c r="C703" s="63" t="s">
        <v>350</v>
      </c>
      <c r="D703" s="63" t="s">
        <v>59</v>
      </c>
      <c r="E703" s="63" t="s">
        <v>1074</v>
      </c>
      <c r="F703" s="63" t="s">
        <v>1338</v>
      </c>
      <c r="G703">
        <v>1</v>
      </c>
      <c r="H703">
        <v>2</v>
      </c>
      <c r="I703">
        <v>0</v>
      </c>
      <c r="J703">
        <v>0</v>
      </c>
      <c r="K703">
        <v>6.4</v>
      </c>
      <c r="L703">
        <v>0</v>
      </c>
    </row>
    <row r="704" spans="1:12">
      <c r="A704">
        <v>2996</v>
      </c>
      <c r="B704" s="63" t="s">
        <v>256</v>
      </c>
      <c r="C704" s="63" t="s">
        <v>350</v>
      </c>
      <c r="D704" s="63" t="s">
        <v>59</v>
      </c>
      <c r="E704" s="63" t="s">
        <v>184</v>
      </c>
      <c r="F704" s="63" t="s">
        <v>2123</v>
      </c>
      <c r="G704">
        <v>1</v>
      </c>
      <c r="H704">
        <v>10</v>
      </c>
      <c r="I704">
        <v>54</v>
      </c>
      <c r="J704">
        <v>1077</v>
      </c>
      <c r="K704">
        <v>262.75</v>
      </c>
      <c r="L704">
        <v>10</v>
      </c>
    </row>
    <row r="705" spans="1:12">
      <c r="A705">
        <v>2996</v>
      </c>
      <c r="B705" s="63" t="s">
        <v>256</v>
      </c>
      <c r="C705" s="63" t="s">
        <v>350</v>
      </c>
      <c r="D705" s="63" t="s">
        <v>374</v>
      </c>
      <c r="E705" s="63" t="s">
        <v>184</v>
      </c>
      <c r="F705" s="63" t="s">
        <v>2123</v>
      </c>
      <c r="G705">
        <v>1</v>
      </c>
      <c r="H705">
        <v>2</v>
      </c>
      <c r="I705">
        <v>12</v>
      </c>
      <c r="J705">
        <v>240</v>
      </c>
      <c r="K705">
        <v>266.97000000000003</v>
      </c>
      <c r="L705">
        <v>11</v>
      </c>
    </row>
    <row r="706" spans="1:12">
      <c r="A706">
        <v>2996</v>
      </c>
      <c r="B706" s="63" t="s">
        <v>256</v>
      </c>
      <c r="C706" s="63" t="s">
        <v>373</v>
      </c>
      <c r="D706" s="63" t="s">
        <v>59</v>
      </c>
      <c r="E706" s="63" t="s">
        <v>1074</v>
      </c>
      <c r="F706" s="63" t="s">
        <v>1338</v>
      </c>
      <c r="G706">
        <v>1</v>
      </c>
      <c r="H706">
        <v>4</v>
      </c>
      <c r="I706">
        <v>0</v>
      </c>
      <c r="J706">
        <v>0</v>
      </c>
      <c r="K706">
        <v>20.100000000000001</v>
      </c>
      <c r="L706">
        <v>0</v>
      </c>
    </row>
    <row r="707" spans="1:12">
      <c r="A707">
        <v>2996</v>
      </c>
      <c r="B707" s="63" t="s">
        <v>256</v>
      </c>
      <c r="C707" s="63" t="s">
        <v>373</v>
      </c>
      <c r="D707" s="63" t="s">
        <v>59</v>
      </c>
      <c r="E707" s="63" t="s">
        <v>184</v>
      </c>
      <c r="F707" s="63" t="s">
        <v>2123</v>
      </c>
      <c r="G707">
        <v>1</v>
      </c>
      <c r="H707">
        <v>8</v>
      </c>
      <c r="I707">
        <v>42</v>
      </c>
      <c r="J707">
        <v>809</v>
      </c>
      <c r="K707">
        <v>236.22</v>
      </c>
      <c r="L707">
        <v>9</v>
      </c>
    </row>
    <row r="708" spans="1:12">
      <c r="A708">
        <v>2996</v>
      </c>
      <c r="B708" s="63" t="s">
        <v>519</v>
      </c>
      <c r="C708" s="63" t="s">
        <v>873</v>
      </c>
      <c r="D708" s="63" t="s">
        <v>59</v>
      </c>
      <c r="E708" s="63" t="s">
        <v>184</v>
      </c>
      <c r="F708" s="63" t="s">
        <v>2123</v>
      </c>
      <c r="G708">
        <v>1</v>
      </c>
      <c r="H708">
        <v>20</v>
      </c>
      <c r="I708">
        <v>120</v>
      </c>
      <c r="J708">
        <v>2400</v>
      </c>
      <c r="K708">
        <v>133.18</v>
      </c>
      <c r="L708">
        <v>8</v>
      </c>
    </row>
    <row r="709" spans="1:12">
      <c r="A709">
        <v>2996</v>
      </c>
      <c r="B709" s="63" t="s">
        <v>519</v>
      </c>
      <c r="C709" s="63" t="s">
        <v>874</v>
      </c>
      <c r="D709" s="63" t="s">
        <v>59</v>
      </c>
      <c r="E709" s="63" t="s">
        <v>913</v>
      </c>
      <c r="F709" s="63" t="s">
        <v>1982</v>
      </c>
      <c r="G709">
        <v>1</v>
      </c>
      <c r="H709">
        <v>1</v>
      </c>
      <c r="I709">
        <v>6</v>
      </c>
      <c r="J709">
        <v>120</v>
      </c>
      <c r="K709">
        <v>1.42</v>
      </c>
      <c r="L709">
        <v>6</v>
      </c>
    </row>
    <row r="710" spans="1:12">
      <c r="A710">
        <v>2996</v>
      </c>
      <c r="B710" s="63" t="s">
        <v>519</v>
      </c>
      <c r="C710" s="63" t="s">
        <v>874</v>
      </c>
      <c r="D710" s="63" t="s">
        <v>59</v>
      </c>
      <c r="E710" s="63" t="s">
        <v>184</v>
      </c>
      <c r="F710" s="63" t="s">
        <v>2123</v>
      </c>
      <c r="G710">
        <v>1</v>
      </c>
      <c r="H710">
        <v>7</v>
      </c>
      <c r="I710">
        <v>42</v>
      </c>
      <c r="J710">
        <v>815</v>
      </c>
      <c r="K710">
        <v>77.87</v>
      </c>
      <c r="L710">
        <v>8</v>
      </c>
    </row>
    <row r="711" spans="1:12">
      <c r="A711">
        <v>2996</v>
      </c>
      <c r="B711" s="63" t="s">
        <v>519</v>
      </c>
      <c r="C711" s="63" t="s">
        <v>874</v>
      </c>
      <c r="D711" s="63" t="s">
        <v>374</v>
      </c>
      <c r="E711" s="63" t="s">
        <v>913</v>
      </c>
      <c r="F711" s="63" t="s">
        <v>1982</v>
      </c>
      <c r="G711">
        <v>1</v>
      </c>
      <c r="H711">
        <v>2</v>
      </c>
      <c r="I711">
        <v>12</v>
      </c>
      <c r="J711">
        <v>240</v>
      </c>
      <c r="K711">
        <v>12.43</v>
      </c>
      <c r="L711">
        <v>0</v>
      </c>
    </row>
    <row r="712" spans="1:12">
      <c r="A712">
        <v>2996</v>
      </c>
      <c r="B712" s="63" t="s">
        <v>474</v>
      </c>
      <c r="C712" s="63" t="s">
        <v>2310</v>
      </c>
      <c r="D712" s="63" t="s">
        <v>59</v>
      </c>
      <c r="E712" s="63" t="s">
        <v>184</v>
      </c>
      <c r="F712" s="63" t="s">
        <v>2123</v>
      </c>
      <c r="G712">
        <v>1</v>
      </c>
      <c r="H712">
        <v>10</v>
      </c>
      <c r="I712">
        <v>42</v>
      </c>
      <c r="J712">
        <v>546</v>
      </c>
      <c r="K712">
        <v>186.85</v>
      </c>
      <c r="L712">
        <v>7</v>
      </c>
    </row>
    <row r="713" spans="1:12">
      <c r="A713">
        <v>2996</v>
      </c>
      <c r="B713" s="63" t="s">
        <v>474</v>
      </c>
      <c r="C713" s="63" t="s">
        <v>2533</v>
      </c>
      <c r="D713" s="63" t="s">
        <v>59</v>
      </c>
      <c r="E713" s="63" t="s">
        <v>184</v>
      </c>
      <c r="F713" s="63" t="s">
        <v>2123</v>
      </c>
      <c r="G713">
        <v>1</v>
      </c>
      <c r="H713">
        <v>3</v>
      </c>
      <c r="I713">
        <v>18</v>
      </c>
      <c r="J713">
        <v>234</v>
      </c>
      <c r="K713">
        <v>160.30000000000001</v>
      </c>
      <c r="L713">
        <v>6</v>
      </c>
    </row>
    <row r="714" spans="1:12">
      <c r="A714">
        <v>2996</v>
      </c>
      <c r="B714" s="63" t="s">
        <v>698</v>
      </c>
      <c r="C714" s="63" t="s">
        <v>2324</v>
      </c>
      <c r="D714" s="63" t="s">
        <v>59</v>
      </c>
      <c r="E714" s="63" t="s">
        <v>1045</v>
      </c>
      <c r="F714" s="63" t="s">
        <v>2113</v>
      </c>
      <c r="G714">
        <v>1</v>
      </c>
      <c r="H714">
        <v>9</v>
      </c>
      <c r="I714">
        <v>144</v>
      </c>
      <c r="J714">
        <v>144</v>
      </c>
      <c r="K714">
        <v>120.97</v>
      </c>
      <c r="L714">
        <v>4</v>
      </c>
    </row>
    <row r="715" spans="1:12">
      <c r="A715">
        <v>2996</v>
      </c>
      <c r="B715" s="63" t="s">
        <v>698</v>
      </c>
      <c r="C715" s="63" t="s">
        <v>2534</v>
      </c>
      <c r="D715" s="63" t="s">
        <v>59</v>
      </c>
      <c r="E715" s="63" t="s">
        <v>1045</v>
      </c>
      <c r="F715" s="63" t="s">
        <v>2113</v>
      </c>
      <c r="G715">
        <v>1</v>
      </c>
      <c r="H715">
        <v>15</v>
      </c>
      <c r="I715">
        <v>234</v>
      </c>
      <c r="J715">
        <v>234</v>
      </c>
      <c r="K715">
        <v>91.32</v>
      </c>
      <c r="L715">
        <v>3</v>
      </c>
    </row>
    <row r="716" spans="1:12">
      <c r="A716">
        <v>2996</v>
      </c>
      <c r="B716" s="63" t="s">
        <v>1887</v>
      </c>
      <c r="C716" s="63" t="s">
        <v>1888</v>
      </c>
      <c r="D716" s="63" t="s">
        <v>59</v>
      </c>
      <c r="E716" s="63" t="s">
        <v>913</v>
      </c>
      <c r="F716" s="63" t="s">
        <v>1982</v>
      </c>
      <c r="G716">
        <v>1</v>
      </c>
      <c r="H716">
        <v>1</v>
      </c>
      <c r="I716">
        <v>12</v>
      </c>
      <c r="J716">
        <v>12</v>
      </c>
      <c r="K716">
        <v>17.13</v>
      </c>
      <c r="L716">
        <v>0</v>
      </c>
    </row>
    <row r="717" spans="1:12">
      <c r="A717">
        <v>2996</v>
      </c>
      <c r="B717" s="63" t="s">
        <v>1887</v>
      </c>
      <c r="C717" s="63" t="s">
        <v>1888</v>
      </c>
      <c r="D717" s="63" t="s">
        <v>59</v>
      </c>
      <c r="E717" s="63" t="s">
        <v>184</v>
      </c>
      <c r="F717" s="63" t="s">
        <v>1496</v>
      </c>
      <c r="G717">
        <v>1</v>
      </c>
      <c r="H717">
        <v>17</v>
      </c>
      <c r="I717">
        <v>202</v>
      </c>
      <c r="J717">
        <v>202</v>
      </c>
      <c r="K717">
        <v>57.52</v>
      </c>
      <c r="L717">
        <v>11</v>
      </c>
    </row>
    <row r="718" spans="1:12">
      <c r="A718">
        <v>2996</v>
      </c>
      <c r="B718" s="63" t="s">
        <v>1887</v>
      </c>
      <c r="C718" s="63" t="s">
        <v>1888</v>
      </c>
      <c r="D718" s="63" t="s">
        <v>374</v>
      </c>
      <c r="E718" s="63" t="s">
        <v>184</v>
      </c>
      <c r="F718" s="63" t="s">
        <v>1496</v>
      </c>
      <c r="G718">
        <v>1</v>
      </c>
      <c r="H718">
        <v>1</v>
      </c>
      <c r="I718">
        <v>12</v>
      </c>
      <c r="J718">
        <v>12</v>
      </c>
      <c r="K718">
        <v>60.55</v>
      </c>
      <c r="L718">
        <v>2</v>
      </c>
    </row>
    <row r="719" spans="1:12">
      <c r="A719">
        <v>2998</v>
      </c>
      <c r="B719" s="63" t="s">
        <v>259</v>
      </c>
      <c r="C719" s="63" t="s">
        <v>406</v>
      </c>
      <c r="D719" s="63" t="s">
        <v>59</v>
      </c>
      <c r="E719" s="63" t="s">
        <v>184</v>
      </c>
      <c r="F719" s="63" t="s">
        <v>1540</v>
      </c>
      <c r="G719">
        <v>1</v>
      </c>
      <c r="H719">
        <v>1</v>
      </c>
      <c r="I719">
        <v>16</v>
      </c>
      <c r="J719">
        <v>16</v>
      </c>
      <c r="K719">
        <v>8</v>
      </c>
      <c r="L719">
        <v>1</v>
      </c>
    </row>
    <row r="720" spans="1:12">
      <c r="A720">
        <v>2999</v>
      </c>
      <c r="B720" s="63" t="s">
        <v>2535</v>
      </c>
      <c r="C720" s="63" t="s">
        <v>2536</v>
      </c>
      <c r="D720" s="63" t="s">
        <v>374</v>
      </c>
      <c r="E720" s="63" t="s">
        <v>172</v>
      </c>
      <c r="F720" s="63" t="s">
        <v>1155</v>
      </c>
      <c r="G720">
        <v>1</v>
      </c>
      <c r="H720">
        <v>5</v>
      </c>
      <c r="I720">
        <v>30</v>
      </c>
      <c r="J720">
        <v>720</v>
      </c>
      <c r="K720">
        <v>235.03</v>
      </c>
      <c r="L720">
        <v>9</v>
      </c>
    </row>
    <row r="721" spans="1:12">
      <c r="A721">
        <v>2999</v>
      </c>
      <c r="B721" s="63" t="s">
        <v>489</v>
      </c>
      <c r="C721" s="63" t="s">
        <v>1716</v>
      </c>
      <c r="D721" s="63" t="s">
        <v>59</v>
      </c>
      <c r="E721" s="63" t="s">
        <v>172</v>
      </c>
      <c r="F721" s="63" t="s">
        <v>1313</v>
      </c>
      <c r="G721">
        <v>1</v>
      </c>
      <c r="H721">
        <v>1</v>
      </c>
      <c r="I721">
        <v>6</v>
      </c>
      <c r="J721">
        <v>144</v>
      </c>
      <c r="K721">
        <v>933.7</v>
      </c>
      <c r="L721">
        <v>38</v>
      </c>
    </row>
    <row r="722" spans="1:12">
      <c r="A722">
        <v>2999</v>
      </c>
      <c r="B722" s="63" t="s">
        <v>429</v>
      </c>
      <c r="C722" s="63" t="s">
        <v>430</v>
      </c>
      <c r="D722" s="63" t="s">
        <v>59</v>
      </c>
      <c r="E722" s="63" t="s">
        <v>174</v>
      </c>
      <c r="F722" s="63" t="s">
        <v>628</v>
      </c>
      <c r="G722">
        <v>1</v>
      </c>
      <c r="H722">
        <v>35</v>
      </c>
      <c r="I722">
        <v>476</v>
      </c>
      <c r="J722">
        <v>2603</v>
      </c>
      <c r="K722">
        <v>720.78</v>
      </c>
      <c r="L722">
        <v>30</v>
      </c>
    </row>
    <row r="723" spans="1:12">
      <c r="A723">
        <v>2999</v>
      </c>
      <c r="B723" s="63" t="s">
        <v>429</v>
      </c>
      <c r="C723" s="63" t="s">
        <v>2537</v>
      </c>
      <c r="D723" s="63" t="s">
        <v>261</v>
      </c>
      <c r="E723" s="63" t="s">
        <v>172</v>
      </c>
      <c r="F723" s="63" t="s">
        <v>1155</v>
      </c>
      <c r="G723">
        <v>1</v>
      </c>
      <c r="H723">
        <v>55</v>
      </c>
      <c r="I723">
        <v>770</v>
      </c>
      <c r="J723">
        <v>4234</v>
      </c>
      <c r="K723">
        <v>691.07</v>
      </c>
      <c r="L723">
        <v>30</v>
      </c>
    </row>
    <row r="724" spans="1:12">
      <c r="A724">
        <v>2999</v>
      </c>
      <c r="B724" s="63" t="s">
        <v>376</v>
      </c>
      <c r="C724" s="63" t="s">
        <v>927</v>
      </c>
      <c r="D724" s="63" t="s">
        <v>59</v>
      </c>
      <c r="E724" s="63" t="s">
        <v>172</v>
      </c>
      <c r="F724" s="63" t="s">
        <v>1374</v>
      </c>
      <c r="G724">
        <v>1</v>
      </c>
      <c r="H724">
        <v>45</v>
      </c>
      <c r="I724">
        <v>0</v>
      </c>
      <c r="J724">
        <v>0</v>
      </c>
      <c r="K724">
        <v>1570.03</v>
      </c>
      <c r="L724">
        <v>65</v>
      </c>
    </row>
    <row r="725" spans="1:12">
      <c r="A725">
        <v>2999</v>
      </c>
      <c r="B725" s="63" t="s">
        <v>376</v>
      </c>
      <c r="C725" s="63" t="s">
        <v>927</v>
      </c>
      <c r="D725" s="63" t="s">
        <v>59</v>
      </c>
      <c r="E725" s="63" t="s">
        <v>203</v>
      </c>
      <c r="F725" s="63" t="s">
        <v>1457</v>
      </c>
      <c r="G725">
        <v>1</v>
      </c>
      <c r="H725">
        <v>2</v>
      </c>
      <c r="I725">
        <v>6</v>
      </c>
      <c r="J725">
        <v>63</v>
      </c>
      <c r="K725">
        <v>1577.25</v>
      </c>
      <c r="L725">
        <v>65</v>
      </c>
    </row>
    <row r="726" spans="1:12">
      <c r="A726">
        <v>2999</v>
      </c>
      <c r="B726" s="63" t="s">
        <v>376</v>
      </c>
      <c r="C726" s="63" t="s">
        <v>927</v>
      </c>
      <c r="D726" s="63" t="s">
        <v>59</v>
      </c>
      <c r="E726" s="63" t="s">
        <v>173</v>
      </c>
      <c r="F726" s="63" t="s">
        <v>1717</v>
      </c>
      <c r="G726">
        <v>1</v>
      </c>
      <c r="H726">
        <v>14</v>
      </c>
      <c r="I726">
        <v>84</v>
      </c>
      <c r="J726">
        <v>811</v>
      </c>
      <c r="K726">
        <v>1584.35</v>
      </c>
      <c r="L726">
        <v>45</v>
      </c>
    </row>
    <row r="727" spans="1:12">
      <c r="A727">
        <v>2999</v>
      </c>
      <c r="B727" s="63" t="s">
        <v>376</v>
      </c>
      <c r="C727" s="63" t="s">
        <v>942</v>
      </c>
      <c r="D727" s="63" t="s">
        <v>59</v>
      </c>
      <c r="E727" s="63" t="s">
        <v>172</v>
      </c>
      <c r="F727" s="63" t="s">
        <v>1374</v>
      </c>
      <c r="G727">
        <v>1</v>
      </c>
      <c r="H727">
        <v>15</v>
      </c>
      <c r="I727">
        <v>0</v>
      </c>
      <c r="J727">
        <v>0</v>
      </c>
      <c r="K727">
        <v>1563.45</v>
      </c>
      <c r="L727">
        <v>65</v>
      </c>
    </row>
    <row r="728" spans="1:12">
      <c r="A728">
        <v>2999</v>
      </c>
      <c r="B728" s="63" t="s">
        <v>376</v>
      </c>
      <c r="C728" s="63" t="s">
        <v>942</v>
      </c>
      <c r="D728" s="63" t="s">
        <v>59</v>
      </c>
      <c r="E728" s="63" t="s">
        <v>203</v>
      </c>
      <c r="F728" s="63" t="s">
        <v>1457</v>
      </c>
      <c r="G728">
        <v>1</v>
      </c>
      <c r="H728">
        <v>7</v>
      </c>
      <c r="I728">
        <v>24</v>
      </c>
      <c r="J728">
        <v>89</v>
      </c>
      <c r="K728">
        <v>1580.67</v>
      </c>
      <c r="L728">
        <v>65</v>
      </c>
    </row>
    <row r="729" spans="1:12">
      <c r="A729">
        <v>2999</v>
      </c>
      <c r="B729" s="63" t="s">
        <v>376</v>
      </c>
      <c r="C729" s="63" t="s">
        <v>942</v>
      </c>
      <c r="D729" s="63" t="s">
        <v>59</v>
      </c>
      <c r="E729" s="63" t="s">
        <v>173</v>
      </c>
      <c r="F729" s="63" t="s">
        <v>1717</v>
      </c>
      <c r="G729">
        <v>1</v>
      </c>
      <c r="H729">
        <v>38</v>
      </c>
      <c r="I729">
        <v>228</v>
      </c>
      <c r="J729">
        <v>2391</v>
      </c>
      <c r="K729">
        <v>1591.63</v>
      </c>
      <c r="L729">
        <v>66</v>
      </c>
    </row>
    <row r="730" spans="1:12">
      <c r="A730">
        <v>2999</v>
      </c>
      <c r="B730" s="63" t="s">
        <v>376</v>
      </c>
      <c r="C730" s="63" t="s">
        <v>928</v>
      </c>
      <c r="D730" s="63" t="s">
        <v>59</v>
      </c>
      <c r="E730" s="63" t="s">
        <v>172</v>
      </c>
      <c r="F730" s="63" t="s">
        <v>2108</v>
      </c>
      <c r="G730">
        <v>1</v>
      </c>
      <c r="H730">
        <v>60</v>
      </c>
      <c r="I730">
        <v>360</v>
      </c>
      <c r="J730">
        <v>3748</v>
      </c>
      <c r="K730">
        <v>443.35</v>
      </c>
      <c r="L730">
        <v>18</v>
      </c>
    </row>
    <row r="731" spans="1:12">
      <c r="A731">
        <v>2999</v>
      </c>
      <c r="B731" s="63" t="s">
        <v>376</v>
      </c>
      <c r="C731" s="63" t="s">
        <v>928</v>
      </c>
      <c r="D731" s="63" t="s">
        <v>59</v>
      </c>
      <c r="E731" s="63" t="s">
        <v>172</v>
      </c>
      <c r="F731" s="63" t="s">
        <v>1368</v>
      </c>
      <c r="G731">
        <v>1</v>
      </c>
      <c r="H731">
        <v>60</v>
      </c>
      <c r="I731">
        <v>360</v>
      </c>
      <c r="J731">
        <v>3780</v>
      </c>
      <c r="K731">
        <v>406.33</v>
      </c>
      <c r="L731">
        <v>16</v>
      </c>
    </row>
    <row r="732" spans="1:12">
      <c r="A732">
        <v>2999</v>
      </c>
      <c r="B732" s="63" t="s">
        <v>376</v>
      </c>
      <c r="C732" s="63" t="s">
        <v>928</v>
      </c>
      <c r="D732" s="63" t="s">
        <v>59</v>
      </c>
      <c r="E732" s="63" t="s">
        <v>203</v>
      </c>
      <c r="F732" s="63" t="s">
        <v>1457</v>
      </c>
      <c r="G732">
        <v>1</v>
      </c>
      <c r="H732">
        <v>9</v>
      </c>
      <c r="I732">
        <v>48</v>
      </c>
      <c r="J732">
        <v>497</v>
      </c>
      <c r="K732">
        <v>1599.8</v>
      </c>
      <c r="L732">
        <v>66</v>
      </c>
    </row>
    <row r="733" spans="1:12">
      <c r="A733">
        <v>2999</v>
      </c>
      <c r="B733" s="63" t="s">
        <v>376</v>
      </c>
      <c r="C733" s="63" t="s">
        <v>928</v>
      </c>
      <c r="D733" s="63" t="s">
        <v>374</v>
      </c>
      <c r="E733" s="63" t="s">
        <v>203</v>
      </c>
      <c r="F733" s="63" t="s">
        <v>1457</v>
      </c>
      <c r="G733">
        <v>1</v>
      </c>
      <c r="H733">
        <v>1</v>
      </c>
      <c r="I733">
        <v>6</v>
      </c>
      <c r="J733">
        <v>63</v>
      </c>
      <c r="K733">
        <v>1604.85</v>
      </c>
      <c r="L733">
        <v>66</v>
      </c>
    </row>
    <row r="734" spans="1:12">
      <c r="A734">
        <v>2999</v>
      </c>
      <c r="B734" s="63" t="s">
        <v>376</v>
      </c>
      <c r="C734" s="63" t="s">
        <v>928</v>
      </c>
      <c r="D734" s="63" t="s">
        <v>374</v>
      </c>
      <c r="E734" s="63" t="s">
        <v>173</v>
      </c>
      <c r="F734" s="63" t="s">
        <v>1717</v>
      </c>
      <c r="G734">
        <v>1</v>
      </c>
      <c r="H734">
        <v>1</v>
      </c>
      <c r="I734">
        <v>6</v>
      </c>
      <c r="J734">
        <v>63</v>
      </c>
      <c r="K734">
        <v>1623.92</v>
      </c>
      <c r="L734">
        <v>67</v>
      </c>
    </row>
    <row r="735" spans="1:12">
      <c r="A735">
        <v>2999</v>
      </c>
      <c r="B735" s="63" t="s">
        <v>376</v>
      </c>
      <c r="C735" s="63" t="s">
        <v>1674</v>
      </c>
      <c r="D735" s="63" t="s">
        <v>59</v>
      </c>
      <c r="E735" s="63" t="s">
        <v>203</v>
      </c>
      <c r="F735" s="63" t="s">
        <v>1457</v>
      </c>
      <c r="G735">
        <v>1</v>
      </c>
      <c r="H735">
        <v>41</v>
      </c>
      <c r="I735">
        <v>246</v>
      </c>
      <c r="J735">
        <v>2511</v>
      </c>
      <c r="K735">
        <v>1595.05</v>
      </c>
      <c r="L735">
        <v>66</v>
      </c>
    </row>
    <row r="736" spans="1:12">
      <c r="A736">
        <v>2999</v>
      </c>
      <c r="B736" s="63" t="s">
        <v>376</v>
      </c>
      <c r="C736" s="63" t="s">
        <v>1674</v>
      </c>
      <c r="D736" s="63" t="s">
        <v>59</v>
      </c>
      <c r="E736" s="63" t="s">
        <v>173</v>
      </c>
      <c r="F736" s="63" t="s">
        <v>1717</v>
      </c>
      <c r="G736">
        <v>1</v>
      </c>
      <c r="H736">
        <v>7</v>
      </c>
      <c r="I736">
        <v>42</v>
      </c>
      <c r="J736">
        <v>421</v>
      </c>
      <c r="K736">
        <v>1610.58</v>
      </c>
      <c r="L736">
        <v>67</v>
      </c>
    </row>
    <row r="737" spans="1:12">
      <c r="A737">
        <v>2999</v>
      </c>
      <c r="B737" s="63" t="s">
        <v>393</v>
      </c>
      <c r="C737" s="63" t="s">
        <v>1664</v>
      </c>
      <c r="D737" s="63" t="s">
        <v>59</v>
      </c>
      <c r="E737" s="63" t="s">
        <v>203</v>
      </c>
      <c r="F737" s="63" t="s">
        <v>1799</v>
      </c>
      <c r="G737">
        <v>1</v>
      </c>
      <c r="H737">
        <v>5</v>
      </c>
      <c r="I737">
        <v>115</v>
      </c>
      <c r="J737">
        <v>115</v>
      </c>
      <c r="K737">
        <v>645.78</v>
      </c>
      <c r="L737">
        <v>26</v>
      </c>
    </row>
    <row r="738" spans="1:12">
      <c r="A738">
        <v>2999</v>
      </c>
      <c r="B738" s="63" t="s">
        <v>393</v>
      </c>
      <c r="C738" s="63" t="s">
        <v>1664</v>
      </c>
      <c r="D738" s="63" t="s">
        <v>59</v>
      </c>
      <c r="E738" s="63" t="s">
        <v>174</v>
      </c>
      <c r="F738" s="63" t="s">
        <v>628</v>
      </c>
      <c r="G738">
        <v>1</v>
      </c>
      <c r="H738">
        <v>19</v>
      </c>
      <c r="I738">
        <v>437</v>
      </c>
      <c r="J738">
        <v>437</v>
      </c>
      <c r="K738">
        <v>690.45</v>
      </c>
      <c r="L738">
        <v>28</v>
      </c>
    </row>
    <row r="739" spans="1:12">
      <c r="A739">
        <v>2999</v>
      </c>
      <c r="B739" s="63" t="s">
        <v>393</v>
      </c>
      <c r="C739" s="63" t="s">
        <v>1664</v>
      </c>
      <c r="D739" s="63" t="s">
        <v>59</v>
      </c>
      <c r="E739" s="63" t="s">
        <v>175</v>
      </c>
      <c r="F739" s="63" t="s">
        <v>940</v>
      </c>
      <c r="G739">
        <v>1</v>
      </c>
      <c r="H739">
        <v>60</v>
      </c>
      <c r="I739">
        <v>1440</v>
      </c>
      <c r="J739">
        <v>1440</v>
      </c>
      <c r="K739">
        <v>791.98</v>
      </c>
      <c r="L739">
        <v>32</v>
      </c>
    </row>
    <row r="740" spans="1:12">
      <c r="A740">
        <v>2999</v>
      </c>
      <c r="B740" s="63" t="s">
        <v>393</v>
      </c>
      <c r="C740" s="63" t="s">
        <v>1665</v>
      </c>
      <c r="D740" s="63" t="s">
        <v>59</v>
      </c>
      <c r="E740" s="63" t="s">
        <v>203</v>
      </c>
      <c r="F740" s="63" t="s">
        <v>1799</v>
      </c>
      <c r="G740">
        <v>1</v>
      </c>
      <c r="H740">
        <v>55</v>
      </c>
      <c r="I740">
        <v>1121</v>
      </c>
      <c r="J740">
        <v>1121</v>
      </c>
      <c r="K740">
        <v>645.29999999999995</v>
      </c>
      <c r="L740">
        <v>26</v>
      </c>
    </row>
    <row r="741" spans="1:12">
      <c r="A741">
        <v>2999</v>
      </c>
      <c r="B741" s="63" t="s">
        <v>382</v>
      </c>
      <c r="C741" s="63" t="s">
        <v>383</v>
      </c>
      <c r="D741" s="63" t="s">
        <v>59</v>
      </c>
      <c r="E741" s="63" t="s">
        <v>175</v>
      </c>
      <c r="F741" s="63" t="s">
        <v>1720</v>
      </c>
      <c r="G741">
        <v>1</v>
      </c>
      <c r="H741">
        <v>6</v>
      </c>
      <c r="I741">
        <v>114</v>
      </c>
      <c r="J741">
        <v>114</v>
      </c>
      <c r="K741">
        <v>1099.93</v>
      </c>
      <c r="L741">
        <v>45</v>
      </c>
    </row>
    <row r="742" spans="1:12">
      <c r="A742">
        <v>2999</v>
      </c>
      <c r="B742" s="63" t="s">
        <v>382</v>
      </c>
      <c r="C742" s="63" t="s">
        <v>1306</v>
      </c>
      <c r="D742" s="63" t="s">
        <v>59</v>
      </c>
      <c r="E742" s="63" t="s">
        <v>172</v>
      </c>
      <c r="F742" s="63" t="s">
        <v>1313</v>
      </c>
      <c r="G742">
        <v>1</v>
      </c>
      <c r="H742">
        <v>25</v>
      </c>
      <c r="I742">
        <v>475</v>
      </c>
      <c r="J742">
        <v>475</v>
      </c>
      <c r="K742">
        <v>1662.9</v>
      </c>
      <c r="L742">
        <v>69</v>
      </c>
    </row>
    <row r="743" spans="1:12">
      <c r="A743">
        <v>2999</v>
      </c>
      <c r="B743" s="63" t="s">
        <v>382</v>
      </c>
      <c r="C743" s="63" t="s">
        <v>1307</v>
      </c>
      <c r="D743" s="63" t="s">
        <v>59</v>
      </c>
      <c r="E743" s="63" t="s">
        <v>172</v>
      </c>
      <c r="F743" s="63" t="s">
        <v>1313</v>
      </c>
      <c r="G743">
        <v>1</v>
      </c>
      <c r="H743">
        <v>3</v>
      </c>
      <c r="I743">
        <v>57</v>
      </c>
      <c r="J743">
        <v>57</v>
      </c>
      <c r="K743">
        <v>1685.13</v>
      </c>
      <c r="L743">
        <v>70</v>
      </c>
    </row>
    <row r="744" spans="1:12">
      <c r="A744">
        <v>2999</v>
      </c>
      <c r="B744" s="63" t="s">
        <v>382</v>
      </c>
      <c r="C744" s="63" t="s">
        <v>1307</v>
      </c>
      <c r="D744" s="63" t="s">
        <v>59</v>
      </c>
      <c r="E744" s="63" t="s">
        <v>175</v>
      </c>
      <c r="F744" s="63" t="s">
        <v>1720</v>
      </c>
      <c r="G744">
        <v>1</v>
      </c>
      <c r="H744">
        <v>54</v>
      </c>
      <c r="I744">
        <v>1024</v>
      </c>
      <c r="J744">
        <v>1024</v>
      </c>
      <c r="K744">
        <v>1187.98</v>
      </c>
      <c r="L744">
        <v>49</v>
      </c>
    </row>
    <row r="745" spans="1:12">
      <c r="A745">
        <v>2999</v>
      </c>
      <c r="B745" s="63" t="s">
        <v>355</v>
      </c>
      <c r="C745" s="63" t="s">
        <v>384</v>
      </c>
      <c r="D745" s="63" t="s">
        <v>59</v>
      </c>
      <c r="E745" s="63" t="s">
        <v>172</v>
      </c>
      <c r="F745" s="63" t="s">
        <v>1519</v>
      </c>
      <c r="G745">
        <v>1</v>
      </c>
      <c r="H745">
        <v>41</v>
      </c>
      <c r="I745">
        <v>745</v>
      </c>
      <c r="J745">
        <v>745</v>
      </c>
      <c r="K745">
        <v>1298.83</v>
      </c>
      <c r="L745">
        <v>53</v>
      </c>
    </row>
    <row r="746" spans="1:12">
      <c r="A746">
        <v>2999</v>
      </c>
      <c r="B746" s="63" t="s">
        <v>355</v>
      </c>
      <c r="C746" s="63" t="s">
        <v>384</v>
      </c>
      <c r="D746" s="63" t="s">
        <v>59</v>
      </c>
      <c r="E746" s="63" t="s">
        <v>172</v>
      </c>
      <c r="F746" s="63" t="s">
        <v>1092</v>
      </c>
      <c r="G746">
        <v>1</v>
      </c>
      <c r="H746">
        <v>50</v>
      </c>
      <c r="I746">
        <v>836</v>
      </c>
      <c r="J746">
        <v>836</v>
      </c>
      <c r="K746">
        <v>1303.5</v>
      </c>
      <c r="L746">
        <v>53</v>
      </c>
    </row>
    <row r="747" spans="1:12">
      <c r="A747">
        <v>2999</v>
      </c>
      <c r="B747" s="63" t="s">
        <v>355</v>
      </c>
      <c r="C747" s="63" t="s">
        <v>384</v>
      </c>
      <c r="D747" s="63" t="s">
        <v>59</v>
      </c>
      <c r="E747" s="63" t="s">
        <v>175</v>
      </c>
      <c r="F747" s="63" t="s">
        <v>1958</v>
      </c>
      <c r="G747">
        <v>1</v>
      </c>
      <c r="H747">
        <v>33</v>
      </c>
      <c r="I747">
        <v>627</v>
      </c>
      <c r="J747">
        <v>627</v>
      </c>
      <c r="K747">
        <v>435.7</v>
      </c>
      <c r="L747">
        <v>17</v>
      </c>
    </row>
    <row r="748" spans="1:12">
      <c r="A748">
        <v>2999</v>
      </c>
      <c r="B748" s="63" t="s">
        <v>355</v>
      </c>
      <c r="C748" s="63" t="s">
        <v>1723</v>
      </c>
      <c r="D748" s="63" t="s">
        <v>305</v>
      </c>
      <c r="E748" s="63" t="s">
        <v>172</v>
      </c>
      <c r="F748" s="63" t="s">
        <v>1092</v>
      </c>
      <c r="G748">
        <v>1</v>
      </c>
      <c r="H748">
        <v>6</v>
      </c>
      <c r="I748">
        <v>118</v>
      </c>
      <c r="J748">
        <v>118</v>
      </c>
      <c r="K748">
        <v>1238.72</v>
      </c>
      <c r="L748">
        <v>51</v>
      </c>
    </row>
    <row r="749" spans="1:12">
      <c r="A749">
        <v>2999</v>
      </c>
      <c r="B749" s="63" t="s">
        <v>355</v>
      </c>
      <c r="C749" s="63" t="s">
        <v>385</v>
      </c>
      <c r="D749" s="63" t="s">
        <v>59</v>
      </c>
      <c r="E749" s="63" t="s">
        <v>172</v>
      </c>
      <c r="F749" s="63" t="s">
        <v>1519</v>
      </c>
      <c r="G749">
        <v>1</v>
      </c>
      <c r="H749">
        <v>7</v>
      </c>
      <c r="I749">
        <v>136</v>
      </c>
      <c r="J749">
        <v>136</v>
      </c>
      <c r="K749">
        <v>1247.45</v>
      </c>
      <c r="L749">
        <v>51</v>
      </c>
    </row>
    <row r="750" spans="1:12">
      <c r="A750">
        <v>2999</v>
      </c>
      <c r="B750" s="63" t="s">
        <v>355</v>
      </c>
      <c r="C750" s="63" t="s">
        <v>385</v>
      </c>
      <c r="D750" s="63" t="s">
        <v>59</v>
      </c>
      <c r="E750" s="63" t="s">
        <v>172</v>
      </c>
      <c r="F750" s="63" t="s">
        <v>1092</v>
      </c>
      <c r="G750">
        <v>1</v>
      </c>
      <c r="H750">
        <v>4</v>
      </c>
      <c r="I750">
        <v>0</v>
      </c>
      <c r="J750">
        <v>0</v>
      </c>
      <c r="K750">
        <v>1263.93</v>
      </c>
      <c r="L750">
        <v>52</v>
      </c>
    </row>
    <row r="751" spans="1:12">
      <c r="A751">
        <v>2999</v>
      </c>
      <c r="B751" s="63" t="s">
        <v>355</v>
      </c>
      <c r="C751" s="63" t="s">
        <v>385</v>
      </c>
      <c r="D751" s="63" t="s">
        <v>59</v>
      </c>
      <c r="E751" s="63" t="s">
        <v>175</v>
      </c>
      <c r="F751" s="63" t="s">
        <v>1958</v>
      </c>
      <c r="G751">
        <v>1</v>
      </c>
      <c r="H751">
        <v>27</v>
      </c>
      <c r="I751">
        <v>0</v>
      </c>
      <c r="J751">
        <v>0</v>
      </c>
      <c r="K751">
        <v>435.02</v>
      </c>
      <c r="L751">
        <v>17</v>
      </c>
    </row>
    <row r="752" spans="1:12">
      <c r="A752">
        <v>2999</v>
      </c>
      <c r="B752" s="63" t="s">
        <v>355</v>
      </c>
      <c r="C752" s="63" t="s">
        <v>385</v>
      </c>
      <c r="D752" s="63" t="s">
        <v>374</v>
      </c>
      <c r="E752" s="63" t="s">
        <v>172</v>
      </c>
      <c r="F752" s="63" t="s">
        <v>1519</v>
      </c>
      <c r="G752">
        <v>1</v>
      </c>
      <c r="H752">
        <v>10</v>
      </c>
      <c r="I752">
        <v>140</v>
      </c>
      <c r="J752">
        <v>140</v>
      </c>
      <c r="K752">
        <v>1138.47</v>
      </c>
      <c r="L752">
        <v>47</v>
      </c>
    </row>
    <row r="753" spans="1:12">
      <c r="A753">
        <v>2999</v>
      </c>
      <c r="B753" s="63" t="s">
        <v>355</v>
      </c>
      <c r="C753" s="63" t="s">
        <v>1724</v>
      </c>
      <c r="D753" s="63" t="s">
        <v>59</v>
      </c>
      <c r="E753" s="63" t="s">
        <v>172</v>
      </c>
      <c r="F753" s="63" t="s">
        <v>1519</v>
      </c>
      <c r="G753">
        <v>1</v>
      </c>
      <c r="H753">
        <v>2</v>
      </c>
      <c r="I753">
        <v>38</v>
      </c>
      <c r="J753">
        <v>38</v>
      </c>
      <c r="K753">
        <v>1230.75</v>
      </c>
      <c r="L753">
        <v>51</v>
      </c>
    </row>
    <row r="754" spans="1:12">
      <c r="A754">
        <v>2999</v>
      </c>
      <c r="B754" s="63" t="s">
        <v>356</v>
      </c>
      <c r="C754" s="63" t="s">
        <v>357</v>
      </c>
      <c r="D754" s="63" t="s">
        <v>59</v>
      </c>
      <c r="E754" s="63" t="s">
        <v>2074</v>
      </c>
      <c r="F754" s="63" t="s">
        <v>1028</v>
      </c>
      <c r="G754">
        <v>1</v>
      </c>
      <c r="H754">
        <v>4</v>
      </c>
      <c r="I754">
        <v>36</v>
      </c>
      <c r="J754">
        <v>36</v>
      </c>
      <c r="K754">
        <v>18.07</v>
      </c>
      <c r="L754">
        <v>0</v>
      </c>
    </row>
    <row r="755" spans="1:12">
      <c r="A755">
        <v>2999</v>
      </c>
      <c r="B755" s="63" t="s">
        <v>356</v>
      </c>
      <c r="C755" s="63" t="s">
        <v>357</v>
      </c>
      <c r="D755" s="63" t="s">
        <v>59</v>
      </c>
      <c r="E755" s="63" t="s">
        <v>172</v>
      </c>
      <c r="F755" s="63" t="s">
        <v>1252</v>
      </c>
      <c r="G755">
        <v>1</v>
      </c>
      <c r="H755">
        <v>30</v>
      </c>
      <c r="I755">
        <v>540</v>
      </c>
      <c r="J755">
        <v>540</v>
      </c>
      <c r="K755">
        <v>38.85</v>
      </c>
      <c r="L755">
        <v>1</v>
      </c>
    </row>
    <row r="756" spans="1:12">
      <c r="A756">
        <v>2999</v>
      </c>
      <c r="B756" s="63" t="s">
        <v>356</v>
      </c>
      <c r="C756" s="63" t="s">
        <v>2538</v>
      </c>
      <c r="D756" s="63" t="s">
        <v>59</v>
      </c>
      <c r="E756" s="63" t="s">
        <v>2074</v>
      </c>
      <c r="F756" s="63" t="s">
        <v>1028</v>
      </c>
      <c r="G756">
        <v>1</v>
      </c>
      <c r="H756">
        <v>3</v>
      </c>
      <c r="I756">
        <v>2</v>
      </c>
      <c r="J756">
        <v>2</v>
      </c>
      <c r="K756">
        <v>11.17</v>
      </c>
      <c r="L756">
        <v>0</v>
      </c>
    </row>
    <row r="757" spans="1:12">
      <c r="A757">
        <v>2999</v>
      </c>
      <c r="B757" s="63" t="s">
        <v>356</v>
      </c>
      <c r="C757" s="63" t="s">
        <v>358</v>
      </c>
      <c r="D757" s="63" t="s">
        <v>59</v>
      </c>
      <c r="E757" s="63" t="s">
        <v>2074</v>
      </c>
      <c r="F757" s="63" t="s">
        <v>1028</v>
      </c>
      <c r="G757">
        <v>1</v>
      </c>
      <c r="H757">
        <v>4</v>
      </c>
      <c r="I757">
        <v>72</v>
      </c>
      <c r="J757">
        <v>72</v>
      </c>
      <c r="K757">
        <v>25.58</v>
      </c>
      <c r="L757">
        <v>0</v>
      </c>
    </row>
    <row r="758" spans="1:12">
      <c r="A758">
        <v>2999</v>
      </c>
      <c r="B758" s="63" t="s">
        <v>356</v>
      </c>
      <c r="C758" s="63" t="s">
        <v>358</v>
      </c>
      <c r="D758" s="63" t="s">
        <v>59</v>
      </c>
      <c r="E758" s="63" t="s">
        <v>185</v>
      </c>
      <c r="F758" s="63" t="s">
        <v>1523</v>
      </c>
      <c r="G758">
        <v>1</v>
      </c>
      <c r="H758">
        <v>21</v>
      </c>
      <c r="I758">
        <v>377</v>
      </c>
      <c r="J758">
        <v>377</v>
      </c>
      <c r="K758">
        <v>1.22</v>
      </c>
      <c r="L758">
        <v>0</v>
      </c>
    </row>
    <row r="759" spans="1:12">
      <c r="A759">
        <v>2999</v>
      </c>
      <c r="B759" s="63" t="s">
        <v>356</v>
      </c>
      <c r="C759" s="63" t="s">
        <v>358</v>
      </c>
      <c r="D759" s="63" t="s">
        <v>59</v>
      </c>
      <c r="E759" s="63" t="s">
        <v>172</v>
      </c>
      <c r="F759" s="63" t="s">
        <v>1252</v>
      </c>
      <c r="G759">
        <v>1</v>
      </c>
      <c r="H759">
        <v>30</v>
      </c>
      <c r="I759">
        <v>522</v>
      </c>
      <c r="J759">
        <v>522</v>
      </c>
      <c r="K759">
        <v>55.93</v>
      </c>
      <c r="L759">
        <v>1</v>
      </c>
    </row>
    <row r="760" spans="1:12">
      <c r="A760">
        <v>2999</v>
      </c>
      <c r="B760" s="63" t="s">
        <v>356</v>
      </c>
      <c r="C760" s="63" t="s">
        <v>358</v>
      </c>
      <c r="D760" s="63" t="s">
        <v>59</v>
      </c>
      <c r="E760" s="63" t="s">
        <v>172</v>
      </c>
      <c r="F760" s="63" t="s">
        <v>2075</v>
      </c>
      <c r="G760">
        <v>1</v>
      </c>
      <c r="H760">
        <v>12</v>
      </c>
      <c r="I760">
        <v>180</v>
      </c>
      <c r="J760">
        <v>180</v>
      </c>
      <c r="K760">
        <v>16.32</v>
      </c>
      <c r="L760">
        <v>0</v>
      </c>
    </row>
    <row r="761" spans="1:12">
      <c r="A761">
        <v>2999</v>
      </c>
      <c r="B761" s="63" t="s">
        <v>356</v>
      </c>
      <c r="C761" s="63" t="s">
        <v>358</v>
      </c>
      <c r="D761" s="63" t="s">
        <v>59</v>
      </c>
      <c r="E761" s="63" t="s">
        <v>175</v>
      </c>
      <c r="F761" s="63" t="s">
        <v>1325</v>
      </c>
      <c r="G761">
        <v>1</v>
      </c>
      <c r="H761">
        <v>23</v>
      </c>
      <c r="I761">
        <v>378</v>
      </c>
      <c r="J761">
        <v>378</v>
      </c>
      <c r="K761">
        <v>37.119999999999997</v>
      </c>
      <c r="L761">
        <v>1</v>
      </c>
    </row>
    <row r="762" spans="1:12">
      <c r="A762">
        <v>2999</v>
      </c>
      <c r="B762" s="63" t="s">
        <v>832</v>
      </c>
      <c r="C762" s="63" t="s">
        <v>1369</v>
      </c>
      <c r="D762" s="63" t="s">
        <v>59</v>
      </c>
      <c r="E762" s="63" t="s">
        <v>172</v>
      </c>
      <c r="F762" s="63" t="s">
        <v>1313</v>
      </c>
      <c r="G762">
        <v>1</v>
      </c>
      <c r="H762">
        <v>29</v>
      </c>
      <c r="I762">
        <v>498</v>
      </c>
      <c r="J762">
        <v>498</v>
      </c>
      <c r="K762">
        <v>1722.37</v>
      </c>
      <c r="L762">
        <v>71</v>
      </c>
    </row>
    <row r="763" spans="1:12">
      <c r="A763">
        <v>2999</v>
      </c>
      <c r="B763" s="63" t="s">
        <v>832</v>
      </c>
      <c r="C763" s="63" t="s">
        <v>1369</v>
      </c>
      <c r="D763" s="63" t="s">
        <v>59</v>
      </c>
      <c r="E763" s="63" t="s">
        <v>173</v>
      </c>
      <c r="F763" s="63" t="s">
        <v>1240</v>
      </c>
      <c r="G763">
        <v>1</v>
      </c>
      <c r="H763">
        <v>1</v>
      </c>
      <c r="I763">
        <v>18</v>
      </c>
      <c r="J763">
        <v>18</v>
      </c>
      <c r="K763">
        <v>64.13</v>
      </c>
      <c r="L763">
        <v>2</v>
      </c>
    </row>
    <row r="764" spans="1:12">
      <c r="A764">
        <v>2999</v>
      </c>
      <c r="B764" s="63" t="s">
        <v>832</v>
      </c>
      <c r="C764" s="63" t="s">
        <v>1369</v>
      </c>
      <c r="D764" s="63" t="s">
        <v>374</v>
      </c>
      <c r="E764" s="63" t="s">
        <v>172</v>
      </c>
      <c r="F764" s="63" t="s">
        <v>1313</v>
      </c>
      <c r="G764">
        <v>1</v>
      </c>
      <c r="H764">
        <v>2</v>
      </c>
      <c r="I764">
        <v>36</v>
      </c>
      <c r="J764">
        <v>36</v>
      </c>
      <c r="K764">
        <v>1727.48</v>
      </c>
      <c r="L764">
        <v>71</v>
      </c>
    </row>
    <row r="765" spans="1:12">
      <c r="A765">
        <v>2999</v>
      </c>
      <c r="B765" s="63" t="s">
        <v>844</v>
      </c>
      <c r="C765" s="63" t="s">
        <v>2500</v>
      </c>
      <c r="D765" s="63" t="s">
        <v>59</v>
      </c>
      <c r="E765" s="63" t="s">
        <v>1233</v>
      </c>
      <c r="F765" s="63" t="s">
        <v>1090</v>
      </c>
      <c r="G765">
        <v>1</v>
      </c>
      <c r="H765">
        <v>2</v>
      </c>
      <c r="I765">
        <v>36</v>
      </c>
      <c r="J765">
        <v>36</v>
      </c>
      <c r="K765">
        <v>6.47</v>
      </c>
      <c r="L765">
        <v>0</v>
      </c>
    </row>
    <row r="766" spans="1:12">
      <c r="A766">
        <v>2999</v>
      </c>
      <c r="B766" s="63" t="s">
        <v>844</v>
      </c>
      <c r="C766" s="63" t="s">
        <v>2500</v>
      </c>
      <c r="D766" s="63" t="s">
        <v>59</v>
      </c>
      <c r="E766" s="63" t="s">
        <v>1142</v>
      </c>
      <c r="F766" s="63" t="s">
        <v>914</v>
      </c>
      <c r="G766">
        <v>1</v>
      </c>
      <c r="H766">
        <v>5</v>
      </c>
      <c r="I766">
        <v>88</v>
      </c>
      <c r="J766">
        <v>88</v>
      </c>
      <c r="K766">
        <v>11.27</v>
      </c>
      <c r="L766">
        <v>0</v>
      </c>
    </row>
    <row r="767" spans="1:12">
      <c r="A767">
        <v>2999</v>
      </c>
      <c r="B767" s="63" t="s">
        <v>844</v>
      </c>
      <c r="C767" s="63" t="s">
        <v>2500</v>
      </c>
      <c r="D767" s="63" t="s">
        <v>59</v>
      </c>
      <c r="E767" s="63" t="s">
        <v>605</v>
      </c>
      <c r="F767" s="63" t="s">
        <v>857</v>
      </c>
      <c r="G767">
        <v>1</v>
      </c>
      <c r="H767">
        <v>6</v>
      </c>
      <c r="I767">
        <v>105</v>
      </c>
      <c r="J767">
        <v>105</v>
      </c>
      <c r="K767">
        <v>13.97</v>
      </c>
      <c r="L767">
        <v>1</v>
      </c>
    </row>
    <row r="768" spans="1:12">
      <c r="A768">
        <v>2999</v>
      </c>
      <c r="B768" s="63" t="s">
        <v>844</v>
      </c>
      <c r="C768" s="63" t="s">
        <v>2500</v>
      </c>
      <c r="D768" s="63" t="s">
        <v>59</v>
      </c>
      <c r="E768" s="63" t="s">
        <v>175</v>
      </c>
      <c r="F768" s="63" t="s">
        <v>1296</v>
      </c>
      <c r="G768">
        <v>1</v>
      </c>
      <c r="H768">
        <v>60</v>
      </c>
      <c r="I768">
        <v>1004</v>
      </c>
      <c r="J768">
        <v>1004</v>
      </c>
      <c r="K768">
        <v>15.92</v>
      </c>
      <c r="L768">
        <v>0</v>
      </c>
    </row>
    <row r="769" spans="1:12">
      <c r="A769">
        <v>2999</v>
      </c>
      <c r="B769" s="63" t="s">
        <v>844</v>
      </c>
      <c r="C769" s="63" t="s">
        <v>2500</v>
      </c>
      <c r="D769" s="63" t="s">
        <v>59</v>
      </c>
      <c r="E769" s="63" t="s">
        <v>175</v>
      </c>
      <c r="F769" s="63" t="s">
        <v>1325</v>
      </c>
      <c r="G769">
        <v>1</v>
      </c>
      <c r="H769">
        <v>36</v>
      </c>
      <c r="I769">
        <v>612</v>
      </c>
      <c r="J769">
        <v>612</v>
      </c>
      <c r="K769">
        <v>18.25</v>
      </c>
      <c r="L769">
        <v>0</v>
      </c>
    </row>
    <row r="770" spans="1:12">
      <c r="A770">
        <v>2999</v>
      </c>
      <c r="B770" s="63" t="s">
        <v>844</v>
      </c>
      <c r="C770" s="63" t="s">
        <v>2500</v>
      </c>
      <c r="D770" s="63" t="s">
        <v>59</v>
      </c>
      <c r="E770" s="63" t="s">
        <v>184</v>
      </c>
      <c r="F770" s="63" t="s">
        <v>1515</v>
      </c>
      <c r="G770">
        <v>1</v>
      </c>
      <c r="H770">
        <v>28</v>
      </c>
      <c r="I770">
        <v>504</v>
      </c>
      <c r="J770">
        <v>504</v>
      </c>
      <c r="K770">
        <v>24.25</v>
      </c>
      <c r="L770">
        <v>2</v>
      </c>
    </row>
    <row r="771" spans="1:12">
      <c r="A771">
        <v>2999</v>
      </c>
      <c r="B771" s="63" t="s">
        <v>844</v>
      </c>
      <c r="C771" s="63" t="s">
        <v>2500</v>
      </c>
      <c r="D771" s="63" t="s">
        <v>374</v>
      </c>
      <c r="E771" s="63" t="s">
        <v>175</v>
      </c>
      <c r="F771" s="63" t="s">
        <v>1325</v>
      </c>
      <c r="G771">
        <v>1</v>
      </c>
      <c r="H771">
        <v>1</v>
      </c>
      <c r="I771">
        <v>17</v>
      </c>
      <c r="J771">
        <v>17</v>
      </c>
      <c r="K771">
        <v>33.130000000000003</v>
      </c>
      <c r="L771">
        <v>1</v>
      </c>
    </row>
    <row r="772" spans="1:12">
      <c r="A772">
        <v>2999</v>
      </c>
      <c r="B772" s="63" t="s">
        <v>844</v>
      </c>
      <c r="C772" s="63" t="s">
        <v>2500</v>
      </c>
      <c r="D772" s="63" t="s">
        <v>374</v>
      </c>
      <c r="E772" s="63" t="s">
        <v>184</v>
      </c>
      <c r="F772" s="63" t="s">
        <v>1515</v>
      </c>
      <c r="G772">
        <v>1</v>
      </c>
      <c r="H772">
        <v>7</v>
      </c>
      <c r="I772">
        <v>126</v>
      </c>
      <c r="J772">
        <v>126</v>
      </c>
      <c r="K772">
        <v>22.48</v>
      </c>
      <c r="L772">
        <v>0</v>
      </c>
    </row>
    <row r="773" spans="1:12">
      <c r="A773">
        <v>2999</v>
      </c>
      <c r="B773" s="63" t="s">
        <v>833</v>
      </c>
      <c r="C773" s="63" t="s">
        <v>834</v>
      </c>
      <c r="D773" s="63" t="s">
        <v>285</v>
      </c>
      <c r="E773" s="63" t="s">
        <v>174</v>
      </c>
      <c r="F773" s="63" t="s">
        <v>628</v>
      </c>
      <c r="G773">
        <v>1</v>
      </c>
      <c r="H773">
        <v>6</v>
      </c>
      <c r="I773">
        <v>87</v>
      </c>
      <c r="J773">
        <v>87</v>
      </c>
      <c r="K773">
        <v>637.66999999999996</v>
      </c>
      <c r="L773">
        <v>26</v>
      </c>
    </row>
    <row r="774" spans="1:12">
      <c r="A774">
        <v>2999</v>
      </c>
      <c r="B774" s="63" t="s">
        <v>334</v>
      </c>
      <c r="C774" s="63" t="s">
        <v>1725</v>
      </c>
      <c r="D774" s="63" t="s">
        <v>59</v>
      </c>
      <c r="E774" s="63" t="s">
        <v>993</v>
      </c>
      <c r="F774" s="63" t="s">
        <v>1951</v>
      </c>
      <c r="G774">
        <v>1</v>
      </c>
      <c r="H774">
        <v>4</v>
      </c>
      <c r="I774">
        <v>23</v>
      </c>
      <c r="J774">
        <v>23</v>
      </c>
      <c r="K774">
        <v>109.12</v>
      </c>
      <c r="L774">
        <v>4</v>
      </c>
    </row>
    <row r="775" spans="1:12">
      <c r="A775">
        <v>2999</v>
      </c>
      <c r="B775" s="63" t="s">
        <v>334</v>
      </c>
      <c r="C775" s="63" t="s">
        <v>1725</v>
      </c>
      <c r="D775" s="63" t="s">
        <v>59</v>
      </c>
      <c r="E775" s="63" t="s">
        <v>606</v>
      </c>
      <c r="F775" s="63" t="s">
        <v>1535</v>
      </c>
      <c r="G775">
        <v>1</v>
      </c>
      <c r="H775">
        <v>18</v>
      </c>
      <c r="I775">
        <v>88</v>
      </c>
      <c r="J775">
        <v>88</v>
      </c>
      <c r="K775">
        <v>95.25</v>
      </c>
      <c r="L775">
        <v>3</v>
      </c>
    </row>
    <row r="776" spans="1:12">
      <c r="A776">
        <v>2999</v>
      </c>
      <c r="B776" s="63" t="s">
        <v>334</v>
      </c>
      <c r="C776" s="63" t="s">
        <v>1725</v>
      </c>
      <c r="D776" s="63" t="s">
        <v>59</v>
      </c>
      <c r="E776" s="63" t="s">
        <v>184</v>
      </c>
      <c r="F776" s="63" t="s">
        <v>521</v>
      </c>
      <c r="G776">
        <v>1</v>
      </c>
      <c r="H776">
        <v>1</v>
      </c>
      <c r="I776">
        <v>6</v>
      </c>
      <c r="J776">
        <v>6</v>
      </c>
      <c r="K776">
        <v>1.6</v>
      </c>
      <c r="L776">
        <v>0</v>
      </c>
    </row>
    <row r="777" spans="1:12">
      <c r="A777">
        <v>2999</v>
      </c>
      <c r="B777" s="63" t="s">
        <v>334</v>
      </c>
      <c r="C777" s="63" t="s">
        <v>1071</v>
      </c>
      <c r="D777" s="63" t="s">
        <v>59</v>
      </c>
      <c r="E777" s="63" t="s">
        <v>993</v>
      </c>
      <c r="F777" s="63" t="s">
        <v>1951</v>
      </c>
      <c r="G777">
        <v>1</v>
      </c>
      <c r="H777">
        <v>18</v>
      </c>
      <c r="I777">
        <v>100</v>
      </c>
      <c r="J777">
        <v>100</v>
      </c>
      <c r="K777">
        <v>140.27000000000001</v>
      </c>
      <c r="L777">
        <v>5</v>
      </c>
    </row>
    <row r="778" spans="1:12">
      <c r="A778">
        <v>2999</v>
      </c>
      <c r="B778" s="63" t="s">
        <v>334</v>
      </c>
      <c r="C778" s="63" t="s">
        <v>1071</v>
      </c>
      <c r="D778" s="63" t="s">
        <v>59</v>
      </c>
      <c r="E778" s="63" t="s">
        <v>606</v>
      </c>
      <c r="F778" s="63" t="s">
        <v>1535</v>
      </c>
      <c r="G778">
        <v>1</v>
      </c>
      <c r="H778">
        <v>9</v>
      </c>
      <c r="I778">
        <v>51</v>
      </c>
      <c r="J778">
        <v>51</v>
      </c>
      <c r="K778">
        <v>121.03</v>
      </c>
      <c r="L778">
        <v>4</v>
      </c>
    </row>
    <row r="779" spans="1:12">
      <c r="A779">
        <v>2999</v>
      </c>
      <c r="B779" s="63" t="s">
        <v>334</v>
      </c>
      <c r="C779" s="63" t="s">
        <v>1071</v>
      </c>
      <c r="D779" s="63" t="s">
        <v>59</v>
      </c>
      <c r="E779" s="63" t="s">
        <v>1121</v>
      </c>
      <c r="F779" s="63" t="s">
        <v>1943</v>
      </c>
      <c r="G779">
        <v>1</v>
      </c>
      <c r="H779">
        <v>6</v>
      </c>
      <c r="I779">
        <v>30</v>
      </c>
      <c r="J779">
        <v>30</v>
      </c>
      <c r="K779">
        <v>2.57</v>
      </c>
      <c r="L779">
        <v>2</v>
      </c>
    </row>
    <row r="780" spans="1:12">
      <c r="A780" s="63" t="s">
        <v>1010</v>
      </c>
      <c r="B780" s="63" t="s">
        <v>985</v>
      </c>
      <c r="C780" s="63" t="s">
        <v>986</v>
      </c>
      <c r="D780" s="63" t="s">
        <v>309</v>
      </c>
      <c r="E780" s="63" t="s">
        <v>254</v>
      </c>
      <c r="F780" s="63" t="s">
        <v>2539</v>
      </c>
      <c r="G780">
        <v>1</v>
      </c>
      <c r="H780">
        <v>24</v>
      </c>
      <c r="I780">
        <v>144</v>
      </c>
      <c r="J780">
        <v>1468</v>
      </c>
      <c r="K780">
        <v>76.28</v>
      </c>
      <c r="L780">
        <v>8</v>
      </c>
    </row>
    <row r="781" spans="1:12">
      <c r="A781" s="63" t="s">
        <v>1010</v>
      </c>
      <c r="B781" s="63" t="s">
        <v>204</v>
      </c>
      <c r="C781" s="63" t="s">
        <v>310</v>
      </c>
      <c r="D781" s="63" t="s">
        <v>59</v>
      </c>
      <c r="E781" s="63" t="s">
        <v>176</v>
      </c>
      <c r="F781" s="63" t="s">
        <v>2180</v>
      </c>
      <c r="G781">
        <v>1</v>
      </c>
      <c r="H781">
        <v>48</v>
      </c>
      <c r="I781">
        <v>266</v>
      </c>
      <c r="J781">
        <v>266</v>
      </c>
      <c r="K781">
        <v>3.63</v>
      </c>
      <c r="L781">
        <v>1</v>
      </c>
    </row>
    <row r="782" spans="1:12">
      <c r="A782" s="63" t="s">
        <v>1010</v>
      </c>
      <c r="B782" s="63" t="s">
        <v>204</v>
      </c>
      <c r="C782" s="63" t="s">
        <v>310</v>
      </c>
      <c r="D782" s="63" t="s">
        <v>59</v>
      </c>
      <c r="E782" s="63" t="s">
        <v>176</v>
      </c>
      <c r="F782" s="63" t="s">
        <v>2182</v>
      </c>
      <c r="G782">
        <v>1</v>
      </c>
      <c r="H782">
        <v>48</v>
      </c>
      <c r="I782">
        <v>259</v>
      </c>
      <c r="J782">
        <v>259</v>
      </c>
      <c r="K782">
        <v>4.05</v>
      </c>
      <c r="L782">
        <v>1</v>
      </c>
    </row>
    <row r="783" spans="1:12">
      <c r="A783" s="63" t="s">
        <v>1010</v>
      </c>
      <c r="B783" s="63" t="s">
        <v>204</v>
      </c>
      <c r="C783" s="63" t="s">
        <v>310</v>
      </c>
      <c r="D783" s="63" t="s">
        <v>59</v>
      </c>
      <c r="E783" s="63" t="s">
        <v>253</v>
      </c>
      <c r="F783" s="63" t="s">
        <v>921</v>
      </c>
      <c r="G783">
        <v>1</v>
      </c>
      <c r="H783">
        <v>48</v>
      </c>
      <c r="I783">
        <v>268</v>
      </c>
      <c r="J783">
        <v>268</v>
      </c>
      <c r="K783">
        <v>0.56999999999999995</v>
      </c>
      <c r="L783">
        <v>1</v>
      </c>
    </row>
    <row r="784" spans="1:12">
      <c r="A784" s="63" t="s">
        <v>1010</v>
      </c>
      <c r="B784" s="63" t="s">
        <v>204</v>
      </c>
      <c r="C784" s="63" t="s">
        <v>310</v>
      </c>
      <c r="D784" s="63" t="s">
        <v>59</v>
      </c>
      <c r="E784" s="63" t="s">
        <v>254</v>
      </c>
      <c r="F784" s="63" t="s">
        <v>2540</v>
      </c>
      <c r="G784">
        <v>1</v>
      </c>
      <c r="H784">
        <v>48</v>
      </c>
      <c r="I784">
        <v>285</v>
      </c>
      <c r="J784">
        <v>285</v>
      </c>
      <c r="K784">
        <v>1.83</v>
      </c>
      <c r="L784">
        <v>1</v>
      </c>
    </row>
    <row r="785" spans="1:12">
      <c r="A785" s="63" t="s">
        <v>1010</v>
      </c>
      <c r="B785" s="63" t="s">
        <v>204</v>
      </c>
      <c r="C785" s="63" t="s">
        <v>310</v>
      </c>
      <c r="D785" s="63" t="s">
        <v>59</v>
      </c>
      <c r="E785" s="63" t="s">
        <v>459</v>
      </c>
      <c r="F785" s="63" t="s">
        <v>2184</v>
      </c>
      <c r="G785">
        <v>1</v>
      </c>
      <c r="H785">
        <v>48</v>
      </c>
      <c r="I785">
        <v>273</v>
      </c>
      <c r="J785">
        <v>273</v>
      </c>
      <c r="K785">
        <v>3.2</v>
      </c>
      <c r="L785">
        <v>1</v>
      </c>
    </row>
    <row r="786" spans="1:12">
      <c r="A786" s="63" t="s">
        <v>1010</v>
      </c>
      <c r="B786" s="63" t="s">
        <v>204</v>
      </c>
      <c r="C786" s="63" t="s">
        <v>310</v>
      </c>
      <c r="D786" s="63" t="s">
        <v>59</v>
      </c>
      <c r="E786" s="63" t="s">
        <v>459</v>
      </c>
      <c r="F786" s="63" t="s">
        <v>1611</v>
      </c>
      <c r="G786">
        <v>1</v>
      </c>
      <c r="H786">
        <v>48</v>
      </c>
      <c r="I786">
        <v>270</v>
      </c>
      <c r="J786">
        <v>270</v>
      </c>
      <c r="K786">
        <v>2.72</v>
      </c>
      <c r="L786">
        <v>1</v>
      </c>
    </row>
    <row r="787" spans="1:12">
      <c r="A787" s="63" t="s">
        <v>1010</v>
      </c>
      <c r="B787" s="63" t="s">
        <v>204</v>
      </c>
      <c r="C787" s="63" t="s">
        <v>310</v>
      </c>
      <c r="D787" s="63" t="s">
        <v>59</v>
      </c>
      <c r="E787" s="63" t="s">
        <v>459</v>
      </c>
      <c r="F787" s="63" t="s">
        <v>2541</v>
      </c>
      <c r="G787">
        <v>1</v>
      </c>
      <c r="H787">
        <v>48</v>
      </c>
      <c r="I787">
        <v>279</v>
      </c>
      <c r="J787">
        <v>279</v>
      </c>
      <c r="K787">
        <v>1.42</v>
      </c>
      <c r="L787">
        <v>1</v>
      </c>
    </row>
    <row r="788" spans="1:12">
      <c r="A788">
        <v>3300</v>
      </c>
      <c r="B788" s="63" t="s">
        <v>256</v>
      </c>
      <c r="C788" s="63" t="s">
        <v>350</v>
      </c>
      <c r="D788" s="63" t="s">
        <v>59</v>
      </c>
      <c r="G788">
        <v>1</v>
      </c>
      <c r="H788">
        <v>51</v>
      </c>
      <c r="I788">
        <v>306</v>
      </c>
      <c r="J788">
        <v>6120</v>
      </c>
      <c r="K788">
        <v>1.77</v>
      </c>
      <c r="L788">
        <v>3</v>
      </c>
    </row>
    <row r="789" spans="1:12">
      <c r="A789">
        <v>3300</v>
      </c>
      <c r="B789" s="63" t="s">
        <v>256</v>
      </c>
      <c r="C789" s="63" t="s">
        <v>350</v>
      </c>
      <c r="D789" s="63" t="s">
        <v>59</v>
      </c>
      <c r="E789" s="63" t="s">
        <v>1189</v>
      </c>
      <c r="F789" s="63" t="s">
        <v>2064</v>
      </c>
      <c r="G789">
        <v>1</v>
      </c>
      <c r="H789">
        <v>60</v>
      </c>
      <c r="I789">
        <v>360</v>
      </c>
      <c r="J789">
        <v>7200</v>
      </c>
      <c r="K789">
        <v>79.77</v>
      </c>
      <c r="L789">
        <v>3</v>
      </c>
    </row>
    <row r="790" spans="1:12">
      <c r="A790">
        <v>3300</v>
      </c>
      <c r="B790" s="63" t="s">
        <v>256</v>
      </c>
      <c r="C790" s="63" t="s">
        <v>350</v>
      </c>
      <c r="D790" s="63" t="s">
        <v>59</v>
      </c>
      <c r="E790" s="63" t="s">
        <v>172</v>
      </c>
      <c r="F790" s="63" t="s">
        <v>1103</v>
      </c>
      <c r="G790">
        <v>1</v>
      </c>
      <c r="H790">
        <v>60</v>
      </c>
      <c r="I790">
        <v>360</v>
      </c>
      <c r="J790">
        <v>7200</v>
      </c>
      <c r="K790">
        <v>54.15</v>
      </c>
      <c r="L790">
        <v>2</v>
      </c>
    </row>
    <row r="791" spans="1:12">
      <c r="A791">
        <v>3300</v>
      </c>
      <c r="B791" s="63" t="s">
        <v>256</v>
      </c>
      <c r="C791" s="63" t="s">
        <v>350</v>
      </c>
      <c r="D791" s="63" t="s">
        <v>59</v>
      </c>
      <c r="E791" s="63" t="s">
        <v>172</v>
      </c>
      <c r="F791" s="63" t="s">
        <v>598</v>
      </c>
      <c r="G791">
        <v>1</v>
      </c>
      <c r="H791">
        <v>60</v>
      </c>
      <c r="I791">
        <v>360</v>
      </c>
      <c r="J791">
        <v>7196</v>
      </c>
      <c r="K791">
        <v>70.17</v>
      </c>
      <c r="L791">
        <v>3</v>
      </c>
    </row>
    <row r="792" spans="1:12">
      <c r="A792">
        <v>3300</v>
      </c>
      <c r="B792" s="63" t="s">
        <v>256</v>
      </c>
      <c r="C792" s="63" t="s">
        <v>350</v>
      </c>
      <c r="D792" s="63" t="s">
        <v>59</v>
      </c>
      <c r="E792" s="63" t="s">
        <v>172</v>
      </c>
      <c r="F792" s="63" t="s">
        <v>1405</v>
      </c>
      <c r="G792">
        <v>1</v>
      </c>
      <c r="H792">
        <v>60</v>
      </c>
      <c r="I792">
        <v>360</v>
      </c>
      <c r="J792">
        <v>7200</v>
      </c>
      <c r="K792">
        <v>52.52</v>
      </c>
      <c r="L792">
        <v>2</v>
      </c>
    </row>
    <row r="793" spans="1:12">
      <c r="A793">
        <v>3300</v>
      </c>
      <c r="B793" s="63" t="s">
        <v>256</v>
      </c>
      <c r="C793" s="63" t="s">
        <v>350</v>
      </c>
      <c r="D793" s="63" t="s">
        <v>59</v>
      </c>
      <c r="E793" s="63" t="s">
        <v>172</v>
      </c>
      <c r="F793" s="63" t="s">
        <v>1370</v>
      </c>
      <c r="G793">
        <v>1</v>
      </c>
      <c r="H793">
        <v>60</v>
      </c>
      <c r="I793">
        <v>360</v>
      </c>
      <c r="J793">
        <v>7200</v>
      </c>
      <c r="K793">
        <v>36.270000000000003</v>
      </c>
      <c r="L793">
        <v>1</v>
      </c>
    </row>
    <row r="794" spans="1:12">
      <c r="A794">
        <v>3300</v>
      </c>
      <c r="B794" s="63" t="s">
        <v>256</v>
      </c>
      <c r="C794" s="63" t="s">
        <v>350</v>
      </c>
      <c r="D794" s="63" t="s">
        <v>59</v>
      </c>
      <c r="E794" s="63" t="s">
        <v>172</v>
      </c>
      <c r="F794" s="63" t="s">
        <v>2111</v>
      </c>
      <c r="G794">
        <v>1</v>
      </c>
      <c r="H794">
        <v>60</v>
      </c>
      <c r="I794">
        <v>360</v>
      </c>
      <c r="J794">
        <v>7200</v>
      </c>
      <c r="K794">
        <v>84.25</v>
      </c>
      <c r="L794">
        <v>3</v>
      </c>
    </row>
    <row r="795" spans="1:12">
      <c r="A795">
        <v>3300</v>
      </c>
      <c r="B795" s="63" t="s">
        <v>256</v>
      </c>
      <c r="C795" s="63" t="s">
        <v>373</v>
      </c>
      <c r="D795" s="63" t="s">
        <v>59</v>
      </c>
      <c r="G795">
        <v>1</v>
      </c>
      <c r="H795">
        <v>62</v>
      </c>
      <c r="I795">
        <v>372</v>
      </c>
      <c r="J795">
        <v>7440</v>
      </c>
      <c r="K795">
        <v>12.83</v>
      </c>
      <c r="L795">
        <v>2</v>
      </c>
    </row>
    <row r="796" spans="1:12">
      <c r="A796">
        <v>3300</v>
      </c>
      <c r="B796" s="63" t="s">
        <v>256</v>
      </c>
      <c r="C796" s="63" t="s">
        <v>373</v>
      </c>
      <c r="D796" s="63" t="s">
        <v>59</v>
      </c>
      <c r="E796" s="63" t="s">
        <v>1189</v>
      </c>
      <c r="F796" s="63" t="s">
        <v>1470</v>
      </c>
      <c r="G796">
        <v>1</v>
      </c>
      <c r="H796">
        <v>16</v>
      </c>
      <c r="I796">
        <v>96</v>
      </c>
      <c r="J796">
        <v>1920</v>
      </c>
      <c r="K796">
        <v>11.23</v>
      </c>
      <c r="L796">
        <v>2</v>
      </c>
    </row>
    <row r="797" spans="1:12">
      <c r="A797">
        <v>3300</v>
      </c>
      <c r="B797" s="63" t="s">
        <v>256</v>
      </c>
      <c r="C797" s="63" t="s">
        <v>373</v>
      </c>
      <c r="D797" s="63" t="s">
        <v>59</v>
      </c>
      <c r="E797" s="63" t="s">
        <v>172</v>
      </c>
      <c r="F797" s="63" t="s">
        <v>929</v>
      </c>
      <c r="G797">
        <v>1</v>
      </c>
      <c r="H797">
        <v>60</v>
      </c>
      <c r="I797">
        <v>360</v>
      </c>
      <c r="J797">
        <v>7200</v>
      </c>
      <c r="K797">
        <v>16.47</v>
      </c>
      <c r="L797">
        <v>2</v>
      </c>
    </row>
    <row r="798" spans="1:12">
      <c r="A798">
        <v>3300</v>
      </c>
      <c r="B798" s="63" t="s">
        <v>256</v>
      </c>
      <c r="C798" s="63" t="s">
        <v>373</v>
      </c>
      <c r="D798" s="63" t="s">
        <v>59</v>
      </c>
      <c r="E798" s="63" t="s">
        <v>172</v>
      </c>
      <c r="F798" s="63" t="s">
        <v>1099</v>
      </c>
      <c r="G798">
        <v>1</v>
      </c>
      <c r="H798">
        <v>60</v>
      </c>
      <c r="I798">
        <v>360</v>
      </c>
      <c r="J798">
        <v>7200</v>
      </c>
      <c r="K798">
        <v>17.82</v>
      </c>
      <c r="L798">
        <v>2</v>
      </c>
    </row>
    <row r="799" spans="1:12">
      <c r="A799">
        <v>3300</v>
      </c>
      <c r="B799" s="63" t="s">
        <v>256</v>
      </c>
      <c r="C799" s="63" t="s">
        <v>373</v>
      </c>
      <c r="D799" s="63" t="s">
        <v>59</v>
      </c>
      <c r="E799" s="63" t="s">
        <v>2072</v>
      </c>
      <c r="F799" s="63" t="s">
        <v>607</v>
      </c>
      <c r="G799">
        <v>1</v>
      </c>
      <c r="H799">
        <v>60</v>
      </c>
      <c r="I799">
        <v>360</v>
      </c>
      <c r="J799">
        <v>7200</v>
      </c>
      <c r="K799">
        <v>25.07</v>
      </c>
      <c r="L799">
        <v>1</v>
      </c>
    </row>
    <row r="800" spans="1:12">
      <c r="A800">
        <v>3300</v>
      </c>
      <c r="B800" s="63" t="s">
        <v>256</v>
      </c>
      <c r="C800" s="63" t="s">
        <v>2542</v>
      </c>
      <c r="D800" s="63" t="s">
        <v>59</v>
      </c>
      <c r="E800" s="63" t="s">
        <v>203</v>
      </c>
      <c r="F800" s="63" t="s">
        <v>1954</v>
      </c>
      <c r="G800">
        <v>1</v>
      </c>
      <c r="H800">
        <v>53</v>
      </c>
      <c r="I800">
        <v>318</v>
      </c>
      <c r="J800">
        <v>6359</v>
      </c>
      <c r="K800">
        <v>5.68</v>
      </c>
      <c r="L800">
        <v>2</v>
      </c>
    </row>
    <row r="801" spans="1:12">
      <c r="A801">
        <v>3300</v>
      </c>
      <c r="B801" s="63" t="s">
        <v>356</v>
      </c>
      <c r="C801" s="63" t="s">
        <v>357</v>
      </c>
      <c r="D801" s="63" t="s">
        <v>59</v>
      </c>
      <c r="E801" s="63" t="s">
        <v>172</v>
      </c>
      <c r="F801" s="63" t="s">
        <v>1671</v>
      </c>
      <c r="G801">
        <v>1</v>
      </c>
      <c r="H801">
        <v>60</v>
      </c>
      <c r="I801">
        <v>1080</v>
      </c>
      <c r="J801">
        <v>1080</v>
      </c>
      <c r="K801">
        <v>17.670000000000002</v>
      </c>
      <c r="L801">
        <v>0</v>
      </c>
    </row>
    <row r="802" spans="1:12">
      <c r="A802">
        <v>3300</v>
      </c>
      <c r="B802" s="63" t="s">
        <v>356</v>
      </c>
      <c r="C802" s="63" t="s">
        <v>357</v>
      </c>
      <c r="D802" s="63" t="s">
        <v>59</v>
      </c>
      <c r="E802" s="63" t="s">
        <v>172</v>
      </c>
      <c r="F802" s="63" t="s">
        <v>2543</v>
      </c>
      <c r="G802">
        <v>1</v>
      </c>
      <c r="H802">
        <v>60</v>
      </c>
      <c r="I802">
        <v>1080</v>
      </c>
      <c r="J802">
        <v>1080</v>
      </c>
      <c r="K802">
        <v>17.329999999999998</v>
      </c>
      <c r="L802">
        <v>0</v>
      </c>
    </row>
    <row r="803" spans="1:12">
      <c r="A803">
        <v>3300</v>
      </c>
      <c r="B803" s="63" t="s">
        <v>356</v>
      </c>
      <c r="C803" s="63" t="s">
        <v>357</v>
      </c>
      <c r="D803" s="63" t="s">
        <v>59</v>
      </c>
      <c r="E803" s="63" t="s">
        <v>172</v>
      </c>
      <c r="F803" s="63" t="s">
        <v>1483</v>
      </c>
      <c r="G803">
        <v>1</v>
      </c>
      <c r="H803">
        <v>60</v>
      </c>
      <c r="I803">
        <v>1080</v>
      </c>
      <c r="J803">
        <v>1080</v>
      </c>
      <c r="K803">
        <v>7</v>
      </c>
      <c r="L803">
        <v>0</v>
      </c>
    </row>
    <row r="804" spans="1:12">
      <c r="A804">
        <v>3300</v>
      </c>
      <c r="B804" s="63" t="s">
        <v>356</v>
      </c>
      <c r="C804" s="63" t="s">
        <v>357</v>
      </c>
      <c r="D804" s="63" t="s">
        <v>59</v>
      </c>
      <c r="E804" s="63" t="s">
        <v>172</v>
      </c>
      <c r="F804" s="63" t="s">
        <v>600</v>
      </c>
      <c r="G804">
        <v>1</v>
      </c>
      <c r="H804">
        <v>60</v>
      </c>
      <c r="I804">
        <v>1080</v>
      </c>
      <c r="J804">
        <v>1080</v>
      </c>
      <c r="K804">
        <v>18</v>
      </c>
      <c r="L804">
        <v>0</v>
      </c>
    </row>
    <row r="805" spans="1:12">
      <c r="A805">
        <v>3300</v>
      </c>
      <c r="B805" s="63" t="s">
        <v>356</v>
      </c>
      <c r="C805" s="63" t="s">
        <v>357</v>
      </c>
      <c r="D805" s="63" t="s">
        <v>59</v>
      </c>
      <c r="E805" s="63" t="s">
        <v>172</v>
      </c>
      <c r="F805" s="63" t="s">
        <v>1321</v>
      </c>
      <c r="G805">
        <v>1</v>
      </c>
      <c r="H805">
        <v>60</v>
      </c>
      <c r="I805">
        <v>1080</v>
      </c>
      <c r="J805">
        <v>1080</v>
      </c>
      <c r="K805">
        <v>20.68</v>
      </c>
      <c r="L805">
        <v>0</v>
      </c>
    </row>
    <row r="806" spans="1:12">
      <c r="A806">
        <v>3300</v>
      </c>
      <c r="B806" s="63" t="s">
        <v>356</v>
      </c>
      <c r="C806" s="63" t="s">
        <v>357</v>
      </c>
      <c r="D806" s="63" t="s">
        <v>59</v>
      </c>
      <c r="E806" s="63" t="s">
        <v>172</v>
      </c>
      <c r="F806" s="63" t="s">
        <v>1478</v>
      </c>
      <c r="G806">
        <v>1</v>
      </c>
      <c r="H806">
        <v>60</v>
      </c>
      <c r="I806">
        <v>1080</v>
      </c>
      <c r="J806">
        <v>1080</v>
      </c>
      <c r="K806">
        <v>16.37</v>
      </c>
      <c r="L806">
        <v>0</v>
      </c>
    </row>
    <row r="807" spans="1:12">
      <c r="A807">
        <v>3300</v>
      </c>
      <c r="B807" s="63" t="s">
        <v>356</v>
      </c>
      <c r="C807" s="63" t="s">
        <v>357</v>
      </c>
      <c r="D807" s="63" t="s">
        <v>59</v>
      </c>
      <c r="E807" s="63" t="s">
        <v>172</v>
      </c>
      <c r="F807" s="63" t="s">
        <v>2544</v>
      </c>
      <c r="G807">
        <v>1</v>
      </c>
      <c r="H807">
        <v>60</v>
      </c>
      <c r="I807">
        <v>1080</v>
      </c>
      <c r="J807">
        <v>1080</v>
      </c>
      <c r="K807">
        <v>19.3</v>
      </c>
      <c r="L807">
        <v>0</v>
      </c>
    </row>
    <row r="808" spans="1:12">
      <c r="A808">
        <v>3300</v>
      </c>
      <c r="B808" s="63" t="s">
        <v>356</v>
      </c>
      <c r="C808" s="63" t="s">
        <v>357</v>
      </c>
      <c r="D808" s="63" t="s">
        <v>59</v>
      </c>
      <c r="E808" s="63" t="s">
        <v>172</v>
      </c>
      <c r="F808" s="63" t="s">
        <v>1520</v>
      </c>
      <c r="G808">
        <v>1</v>
      </c>
      <c r="H808">
        <v>60</v>
      </c>
      <c r="I808">
        <v>1080</v>
      </c>
      <c r="J808">
        <v>1080</v>
      </c>
      <c r="K808">
        <v>18.97</v>
      </c>
      <c r="L808">
        <v>0</v>
      </c>
    </row>
    <row r="809" spans="1:12">
      <c r="A809">
        <v>3300</v>
      </c>
      <c r="B809" s="63" t="s">
        <v>356</v>
      </c>
      <c r="C809" s="63" t="s">
        <v>357</v>
      </c>
      <c r="D809" s="63" t="s">
        <v>59</v>
      </c>
      <c r="E809" s="63" t="s">
        <v>172</v>
      </c>
      <c r="F809" s="63" t="s">
        <v>1038</v>
      </c>
      <c r="G809">
        <v>1</v>
      </c>
      <c r="H809">
        <v>60</v>
      </c>
      <c r="I809">
        <v>1080</v>
      </c>
      <c r="J809">
        <v>1080</v>
      </c>
      <c r="K809">
        <v>17</v>
      </c>
      <c r="L809">
        <v>0</v>
      </c>
    </row>
    <row r="810" spans="1:12">
      <c r="A810">
        <v>3300</v>
      </c>
      <c r="B810" s="63" t="s">
        <v>356</v>
      </c>
      <c r="C810" s="63" t="s">
        <v>357</v>
      </c>
      <c r="D810" s="63" t="s">
        <v>59</v>
      </c>
      <c r="E810" s="63" t="s">
        <v>172</v>
      </c>
      <c r="F810" s="63" t="s">
        <v>1255</v>
      </c>
      <c r="G810">
        <v>1</v>
      </c>
      <c r="H810">
        <v>60</v>
      </c>
      <c r="I810">
        <v>1080</v>
      </c>
      <c r="J810">
        <v>1080</v>
      </c>
      <c r="K810">
        <v>5.08</v>
      </c>
      <c r="L810">
        <v>0</v>
      </c>
    </row>
    <row r="811" spans="1:12">
      <c r="A811">
        <v>3300</v>
      </c>
      <c r="B811" s="63" t="s">
        <v>356</v>
      </c>
      <c r="C811" s="63" t="s">
        <v>357</v>
      </c>
      <c r="D811" s="63" t="s">
        <v>59</v>
      </c>
      <c r="E811" s="63" t="s">
        <v>172</v>
      </c>
      <c r="F811" s="63" t="s">
        <v>1094</v>
      </c>
      <c r="G811">
        <v>1</v>
      </c>
      <c r="H811">
        <v>60</v>
      </c>
      <c r="I811">
        <v>1080</v>
      </c>
      <c r="J811">
        <v>1080</v>
      </c>
      <c r="K811">
        <v>1.82</v>
      </c>
      <c r="L811">
        <v>0</v>
      </c>
    </row>
    <row r="812" spans="1:12">
      <c r="A812">
        <v>3300</v>
      </c>
      <c r="B812" s="63" t="s">
        <v>356</v>
      </c>
      <c r="C812" s="63" t="s">
        <v>357</v>
      </c>
      <c r="D812" s="63" t="s">
        <v>59</v>
      </c>
      <c r="E812" s="63" t="s">
        <v>172</v>
      </c>
      <c r="F812" s="63" t="s">
        <v>994</v>
      </c>
      <c r="G812">
        <v>1</v>
      </c>
      <c r="H812">
        <v>60</v>
      </c>
      <c r="I812">
        <v>1080</v>
      </c>
      <c r="J812">
        <v>1080</v>
      </c>
      <c r="K812">
        <v>15.08</v>
      </c>
      <c r="L812">
        <v>0</v>
      </c>
    </row>
    <row r="813" spans="1:12">
      <c r="A813">
        <v>3300</v>
      </c>
      <c r="B813" s="63" t="s">
        <v>356</v>
      </c>
      <c r="C813" s="63" t="s">
        <v>357</v>
      </c>
      <c r="D813" s="63" t="s">
        <v>59</v>
      </c>
      <c r="E813" s="63" t="s">
        <v>172</v>
      </c>
      <c r="F813" s="63" t="s">
        <v>1390</v>
      </c>
      <c r="G813">
        <v>1</v>
      </c>
      <c r="H813">
        <v>60</v>
      </c>
      <c r="I813">
        <v>1080</v>
      </c>
      <c r="J813">
        <v>1080</v>
      </c>
      <c r="K813">
        <v>5.93</v>
      </c>
      <c r="L813">
        <v>0</v>
      </c>
    </row>
    <row r="814" spans="1:12">
      <c r="A814">
        <v>3300</v>
      </c>
      <c r="B814" s="63" t="s">
        <v>356</v>
      </c>
      <c r="C814" s="63" t="s">
        <v>357</v>
      </c>
      <c r="D814" s="63" t="s">
        <v>59</v>
      </c>
      <c r="E814" s="63" t="s">
        <v>172</v>
      </c>
      <c r="F814" s="63" t="s">
        <v>2081</v>
      </c>
      <c r="G814">
        <v>1</v>
      </c>
      <c r="H814">
        <v>60</v>
      </c>
      <c r="I814">
        <v>1080</v>
      </c>
      <c r="J814">
        <v>1080</v>
      </c>
      <c r="K814">
        <v>4.47</v>
      </c>
      <c r="L814">
        <v>0</v>
      </c>
    </row>
    <row r="815" spans="1:12">
      <c r="A815">
        <v>3300</v>
      </c>
      <c r="B815" s="63" t="s">
        <v>356</v>
      </c>
      <c r="C815" s="63" t="s">
        <v>357</v>
      </c>
      <c r="D815" s="63" t="s">
        <v>59</v>
      </c>
      <c r="E815" s="63" t="s">
        <v>172</v>
      </c>
      <c r="F815" s="63" t="s">
        <v>1320</v>
      </c>
      <c r="G815">
        <v>1</v>
      </c>
      <c r="H815">
        <v>60</v>
      </c>
      <c r="I815">
        <v>1080</v>
      </c>
      <c r="J815">
        <v>1080</v>
      </c>
      <c r="K815">
        <v>18.63</v>
      </c>
      <c r="L815">
        <v>0</v>
      </c>
    </row>
    <row r="816" spans="1:12">
      <c r="A816">
        <v>3300</v>
      </c>
      <c r="B816" s="63" t="s">
        <v>356</v>
      </c>
      <c r="C816" s="63" t="s">
        <v>357</v>
      </c>
      <c r="D816" s="63" t="s">
        <v>59</v>
      </c>
      <c r="E816" s="63" t="s">
        <v>172</v>
      </c>
      <c r="F816" s="63" t="s">
        <v>1797</v>
      </c>
      <c r="G816">
        <v>1</v>
      </c>
      <c r="H816">
        <v>38</v>
      </c>
      <c r="I816">
        <v>684</v>
      </c>
      <c r="J816">
        <v>684</v>
      </c>
      <c r="K816">
        <v>1.1200000000000001</v>
      </c>
      <c r="L816">
        <v>0</v>
      </c>
    </row>
    <row r="817" spans="1:12">
      <c r="A817">
        <v>3300</v>
      </c>
      <c r="B817" s="63" t="s">
        <v>356</v>
      </c>
      <c r="C817" s="63" t="s">
        <v>357</v>
      </c>
      <c r="D817" s="63" t="s">
        <v>59</v>
      </c>
      <c r="E817" s="63" t="s">
        <v>173</v>
      </c>
      <c r="F817" s="63" t="s">
        <v>1438</v>
      </c>
      <c r="G817">
        <v>1</v>
      </c>
      <c r="H817">
        <v>60</v>
      </c>
      <c r="I817">
        <v>1080</v>
      </c>
      <c r="J817">
        <v>1080</v>
      </c>
      <c r="K817">
        <v>6.25</v>
      </c>
      <c r="L817">
        <v>0</v>
      </c>
    </row>
    <row r="818" spans="1:12">
      <c r="A818">
        <v>3300</v>
      </c>
      <c r="B818" s="63" t="s">
        <v>356</v>
      </c>
      <c r="C818" s="63" t="s">
        <v>357</v>
      </c>
      <c r="D818" s="63" t="s">
        <v>59</v>
      </c>
      <c r="E818" s="63" t="s">
        <v>173</v>
      </c>
      <c r="F818" s="63" t="s">
        <v>1014</v>
      </c>
      <c r="G818">
        <v>1</v>
      </c>
      <c r="H818">
        <v>60</v>
      </c>
      <c r="I818">
        <v>1080</v>
      </c>
      <c r="J818">
        <v>1080</v>
      </c>
      <c r="K818">
        <v>18.420000000000002</v>
      </c>
      <c r="L818">
        <v>0</v>
      </c>
    </row>
    <row r="819" spans="1:12">
      <c r="A819">
        <v>3300</v>
      </c>
      <c r="B819" s="63" t="s">
        <v>356</v>
      </c>
      <c r="C819" s="63" t="s">
        <v>357</v>
      </c>
      <c r="D819" s="63" t="s">
        <v>59</v>
      </c>
      <c r="E819" s="63" t="s">
        <v>174</v>
      </c>
      <c r="F819" s="63" t="s">
        <v>1141</v>
      </c>
      <c r="G819">
        <v>1</v>
      </c>
      <c r="H819">
        <v>60</v>
      </c>
      <c r="I819">
        <v>1080</v>
      </c>
      <c r="J819">
        <v>1080</v>
      </c>
      <c r="K819">
        <v>3.38</v>
      </c>
      <c r="L819">
        <v>0</v>
      </c>
    </row>
    <row r="820" spans="1:12">
      <c r="A820">
        <v>3300</v>
      </c>
      <c r="B820" s="63" t="s">
        <v>356</v>
      </c>
      <c r="C820" s="63" t="s">
        <v>357</v>
      </c>
      <c r="D820" s="63" t="s">
        <v>59</v>
      </c>
      <c r="E820" s="63" t="s">
        <v>174</v>
      </c>
      <c r="F820" s="63" t="s">
        <v>1044</v>
      </c>
      <c r="G820">
        <v>1</v>
      </c>
      <c r="H820">
        <v>60</v>
      </c>
      <c r="I820">
        <v>1080</v>
      </c>
      <c r="J820">
        <v>1080</v>
      </c>
      <c r="K820">
        <v>6.62</v>
      </c>
      <c r="L820">
        <v>0</v>
      </c>
    </row>
    <row r="821" spans="1:12">
      <c r="A821">
        <v>3300</v>
      </c>
      <c r="B821" s="63" t="s">
        <v>356</v>
      </c>
      <c r="C821" s="63" t="s">
        <v>357</v>
      </c>
      <c r="D821" s="63" t="s">
        <v>59</v>
      </c>
      <c r="E821" s="63" t="s">
        <v>174</v>
      </c>
      <c r="F821" s="63" t="s">
        <v>1436</v>
      </c>
      <c r="G821">
        <v>1</v>
      </c>
      <c r="H821">
        <v>60</v>
      </c>
      <c r="I821">
        <v>1080</v>
      </c>
      <c r="J821">
        <v>1080</v>
      </c>
      <c r="K821">
        <v>5.3</v>
      </c>
      <c r="L821">
        <v>0</v>
      </c>
    </row>
    <row r="822" spans="1:12">
      <c r="A822">
        <v>3300</v>
      </c>
      <c r="B822" s="63" t="s">
        <v>356</v>
      </c>
      <c r="C822" s="63" t="s">
        <v>357</v>
      </c>
      <c r="D822" s="63" t="s">
        <v>59</v>
      </c>
      <c r="E822" s="63" t="s">
        <v>174</v>
      </c>
      <c r="F822" s="63" t="s">
        <v>1096</v>
      </c>
      <c r="G822">
        <v>1</v>
      </c>
      <c r="H822">
        <v>60</v>
      </c>
      <c r="I822">
        <v>1080</v>
      </c>
      <c r="J822">
        <v>1080</v>
      </c>
      <c r="K822">
        <v>2.3199999999999998</v>
      </c>
      <c r="L822">
        <v>0</v>
      </c>
    </row>
    <row r="823" spans="1:12">
      <c r="A823">
        <v>3300</v>
      </c>
      <c r="B823" s="63" t="s">
        <v>356</v>
      </c>
      <c r="C823" s="63" t="s">
        <v>357</v>
      </c>
      <c r="D823" s="63" t="s">
        <v>59</v>
      </c>
      <c r="E823" s="63" t="s">
        <v>174</v>
      </c>
      <c r="F823" s="63" t="s">
        <v>2545</v>
      </c>
      <c r="G823">
        <v>1</v>
      </c>
      <c r="H823">
        <v>60</v>
      </c>
      <c r="I823">
        <v>1080</v>
      </c>
      <c r="J823">
        <v>1080</v>
      </c>
      <c r="K823">
        <v>18.829999999999998</v>
      </c>
      <c r="L823">
        <v>0</v>
      </c>
    </row>
    <row r="824" spans="1:12">
      <c r="A824">
        <v>3300</v>
      </c>
      <c r="B824" s="63" t="s">
        <v>356</v>
      </c>
      <c r="C824" s="63" t="s">
        <v>357</v>
      </c>
      <c r="D824" s="63" t="s">
        <v>59</v>
      </c>
      <c r="E824" s="63" t="s">
        <v>174</v>
      </c>
      <c r="F824" s="63" t="s">
        <v>1246</v>
      </c>
      <c r="G824">
        <v>1</v>
      </c>
      <c r="H824">
        <v>60</v>
      </c>
      <c r="I824">
        <v>1080</v>
      </c>
      <c r="J824">
        <v>1080</v>
      </c>
      <c r="K824">
        <v>16.62</v>
      </c>
      <c r="L824">
        <v>0</v>
      </c>
    </row>
    <row r="825" spans="1:12">
      <c r="A825">
        <v>3300</v>
      </c>
      <c r="B825" s="63" t="s">
        <v>356</v>
      </c>
      <c r="C825" s="63" t="s">
        <v>357</v>
      </c>
      <c r="D825" s="63" t="s">
        <v>59</v>
      </c>
      <c r="E825" s="63" t="s">
        <v>174</v>
      </c>
      <c r="F825" s="63" t="s">
        <v>1946</v>
      </c>
      <c r="G825">
        <v>1</v>
      </c>
      <c r="H825">
        <v>60</v>
      </c>
      <c r="I825">
        <v>1080</v>
      </c>
      <c r="J825">
        <v>1080</v>
      </c>
      <c r="K825">
        <v>4.63</v>
      </c>
      <c r="L825">
        <v>0</v>
      </c>
    </row>
    <row r="826" spans="1:12">
      <c r="A826">
        <v>3300</v>
      </c>
      <c r="B826" s="63" t="s">
        <v>356</v>
      </c>
      <c r="C826" s="63" t="s">
        <v>357</v>
      </c>
      <c r="D826" s="63" t="s">
        <v>59</v>
      </c>
      <c r="E826" s="63" t="s">
        <v>184</v>
      </c>
      <c r="F826" s="63" t="s">
        <v>1174</v>
      </c>
      <c r="G826">
        <v>1</v>
      </c>
      <c r="H826">
        <v>49</v>
      </c>
      <c r="I826">
        <v>882</v>
      </c>
      <c r="J826">
        <v>882</v>
      </c>
      <c r="K826">
        <v>17.149999999999999</v>
      </c>
      <c r="L826">
        <v>0</v>
      </c>
    </row>
    <row r="827" spans="1:12">
      <c r="A827">
        <v>3300</v>
      </c>
      <c r="B827" s="63" t="s">
        <v>356</v>
      </c>
      <c r="C827" s="63" t="s">
        <v>357</v>
      </c>
      <c r="D827" s="63" t="s">
        <v>59</v>
      </c>
      <c r="E827" s="63" t="s">
        <v>184</v>
      </c>
      <c r="F827" s="63" t="s">
        <v>1208</v>
      </c>
      <c r="G827">
        <v>1</v>
      </c>
      <c r="H827">
        <v>58</v>
      </c>
      <c r="I827">
        <v>1044</v>
      </c>
      <c r="J827">
        <v>1044</v>
      </c>
      <c r="K827">
        <v>19.97</v>
      </c>
      <c r="L827">
        <v>0</v>
      </c>
    </row>
    <row r="828" spans="1:12">
      <c r="A828">
        <v>3300</v>
      </c>
      <c r="B828" s="63" t="s">
        <v>356</v>
      </c>
      <c r="C828" s="63" t="s">
        <v>2538</v>
      </c>
      <c r="D828" s="63" t="s">
        <v>59</v>
      </c>
      <c r="E828" s="63" t="s">
        <v>172</v>
      </c>
      <c r="F828" s="63" t="s">
        <v>961</v>
      </c>
      <c r="G828">
        <v>1</v>
      </c>
      <c r="H828">
        <v>60</v>
      </c>
      <c r="I828">
        <v>1080</v>
      </c>
      <c r="J828">
        <v>1080</v>
      </c>
      <c r="K828">
        <v>11.82</v>
      </c>
      <c r="L828">
        <v>0</v>
      </c>
    </row>
    <row r="829" spans="1:12">
      <c r="A829">
        <v>3300</v>
      </c>
      <c r="B829" s="63" t="s">
        <v>356</v>
      </c>
      <c r="C829" s="63" t="s">
        <v>2538</v>
      </c>
      <c r="D829" s="63" t="s">
        <v>59</v>
      </c>
      <c r="E829" s="63" t="s">
        <v>172</v>
      </c>
      <c r="F829" s="63" t="s">
        <v>599</v>
      </c>
      <c r="G829">
        <v>1</v>
      </c>
      <c r="H829">
        <v>60</v>
      </c>
      <c r="I829">
        <v>1080</v>
      </c>
      <c r="J829">
        <v>1080</v>
      </c>
      <c r="K829">
        <v>11.43</v>
      </c>
      <c r="L829">
        <v>0</v>
      </c>
    </row>
    <row r="830" spans="1:12">
      <c r="A830">
        <v>3300</v>
      </c>
      <c r="B830" s="63" t="s">
        <v>356</v>
      </c>
      <c r="C830" s="63" t="s">
        <v>2538</v>
      </c>
      <c r="D830" s="63" t="s">
        <v>59</v>
      </c>
      <c r="E830" s="63" t="s">
        <v>203</v>
      </c>
      <c r="F830" s="63" t="s">
        <v>2102</v>
      </c>
      <c r="G830">
        <v>1</v>
      </c>
      <c r="H830">
        <v>60</v>
      </c>
      <c r="I830">
        <v>1080</v>
      </c>
      <c r="J830">
        <v>1080</v>
      </c>
      <c r="K830">
        <v>8.8800000000000008</v>
      </c>
      <c r="L830">
        <v>0</v>
      </c>
    </row>
    <row r="831" spans="1:12">
      <c r="A831">
        <v>3300</v>
      </c>
      <c r="B831" s="63" t="s">
        <v>356</v>
      </c>
      <c r="C831" s="63" t="s">
        <v>2538</v>
      </c>
      <c r="D831" s="63" t="s">
        <v>59</v>
      </c>
      <c r="E831" s="63" t="s">
        <v>203</v>
      </c>
      <c r="F831" s="63" t="s">
        <v>1731</v>
      </c>
      <c r="G831">
        <v>1</v>
      </c>
      <c r="H831">
        <v>57</v>
      </c>
      <c r="I831">
        <v>1026</v>
      </c>
      <c r="J831">
        <v>1026</v>
      </c>
      <c r="K831">
        <v>10.35</v>
      </c>
      <c r="L831">
        <v>0</v>
      </c>
    </row>
    <row r="832" spans="1:12">
      <c r="A832">
        <v>3300</v>
      </c>
      <c r="B832" s="63" t="s">
        <v>356</v>
      </c>
      <c r="C832" s="63" t="s">
        <v>2538</v>
      </c>
      <c r="D832" s="63" t="s">
        <v>59</v>
      </c>
      <c r="E832" s="63" t="s">
        <v>173</v>
      </c>
      <c r="F832" s="63" t="s">
        <v>2546</v>
      </c>
      <c r="G832">
        <v>1</v>
      </c>
      <c r="H832">
        <v>60</v>
      </c>
      <c r="I832">
        <v>1080</v>
      </c>
      <c r="J832">
        <v>1080</v>
      </c>
      <c r="K832">
        <v>12.17</v>
      </c>
      <c r="L832">
        <v>0</v>
      </c>
    </row>
    <row r="833" spans="1:12">
      <c r="A833">
        <v>3300</v>
      </c>
      <c r="B833" s="63" t="s">
        <v>356</v>
      </c>
      <c r="C833" s="63" t="s">
        <v>358</v>
      </c>
      <c r="D833" s="63" t="s">
        <v>59</v>
      </c>
      <c r="E833" s="63" t="s">
        <v>172</v>
      </c>
      <c r="F833" s="63" t="s">
        <v>476</v>
      </c>
      <c r="G833">
        <v>1</v>
      </c>
      <c r="H833">
        <v>60</v>
      </c>
      <c r="I833">
        <v>1080</v>
      </c>
      <c r="J833">
        <v>1080</v>
      </c>
      <c r="K833">
        <v>15.12</v>
      </c>
      <c r="L833">
        <v>0</v>
      </c>
    </row>
    <row r="834" spans="1:12">
      <c r="A834">
        <v>3300</v>
      </c>
      <c r="B834" s="63" t="s">
        <v>356</v>
      </c>
      <c r="C834" s="63" t="s">
        <v>358</v>
      </c>
      <c r="D834" s="63" t="s">
        <v>59</v>
      </c>
      <c r="E834" s="63" t="s">
        <v>172</v>
      </c>
      <c r="F834" s="63" t="s">
        <v>2068</v>
      </c>
      <c r="G834">
        <v>1</v>
      </c>
      <c r="H834">
        <v>60</v>
      </c>
      <c r="I834">
        <v>1080</v>
      </c>
      <c r="J834">
        <v>1080</v>
      </c>
      <c r="K834">
        <v>24.12</v>
      </c>
      <c r="L834">
        <v>1</v>
      </c>
    </row>
    <row r="835" spans="1:12">
      <c r="A835">
        <v>3300</v>
      </c>
      <c r="B835" s="63" t="s">
        <v>356</v>
      </c>
      <c r="C835" s="63" t="s">
        <v>358</v>
      </c>
      <c r="D835" s="63" t="s">
        <v>59</v>
      </c>
      <c r="E835" s="63" t="s">
        <v>172</v>
      </c>
      <c r="F835" s="63" t="s">
        <v>1308</v>
      </c>
      <c r="G835">
        <v>1</v>
      </c>
      <c r="H835">
        <v>60</v>
      </c>
      <c r="I835">
        <v>1080</v>
      </c>
      <c r="J835">
        <v>1080</v>
      </c>
      <c r="K835">
        <v>26</v>
      </c>
      <c r="L835">
        <v>1</v>
      </c>
    </row>
    <row r="836" spans="1:12">
      <c r="A836">
        <v>3300</v>
      </c>
      <c r="B836" s="63" t="s">
        <v>356</v>
      </c>
      <c r="C836" s="63" t="s">
        <v>358</v>
      </c>
      <c r="D836" s="63" t="s">
        <v>59</v>
      </c>
      <c r="E836" s="63" t="s">
        <v>172</v>
      </c>
      <c r="F836" s="63" t="s">
        <v>1188</v>
      </c>
      <c r="G836">
        <v>1</v>
      </c>
      <c r="H836">
        <v>60</v>
      </c>
      <c r="I836">
        <v>1080</v>
      </c>
      <c r="J836">
        <v>1080</v>
      </c>
      <c r="K836">
        <v>23.78</v>
      </c>
      <c r="L836">
        <v>0</v>
      </c>
    </row>
    <row r="837" spans="1:12">
      <c r="A837">
        <v>3300</v>
      </c>
      <c r="B837" s="63" t="s">
        <v>356</v>
      </c>
      <c r="C837" s="63" t="s">
        <v>358</v>
      </c>
      <c r="D837" s="63" t="s">
        <v>59</v>
      </c>
      <c r="E837" s="63" t="s">
        <v>172</v>
      </c>
      <c r="F837" s="63" t="s">
        <v>1402</v>
      </c>
      <c r="G837">
        <v>1</v>
      </c>
      <c r="H837">
        <v>60</v>
      </c>
      <c r="I837">
        <v>1080</v>
      </c>
      <c r="J837">
        <v>1080</v>
      </c>
      <c r="K837">
        <v>23.43</v>
      </c>
      <c r="L837">
        <v>0</v>
      </c>
    </row>
    <row r="838" spans="1:12">
      <c r="A838">
        <v>3300</v>
      </c>
      <c r="B838" s="63" t="s">
        <v>356</v>
      </c>
      <c r="C838" s="63" t="s">
        <v>358</v>
      </c>
      <c r="D838" s="63" t="s">
        <v>59</v>
      </c>
      <c r="E838" s="63" t="s">
        <v>172</v>
      </c>
      <c r="F838" s="63" t="s">
        <v>433</v>
      </c>
      <c r="G838">
        <v>1</v>
      </c>
      <c r="H838">
        <v>60</v>
      </c>
      <c r="I838">
        <v>1080</v>
      </c>
      <c r="J838">
        <v>1080</v>
      </c>
      <c r="K838">
        <v>8.98</v>
      </c>
      <c r="L838">
        <v>0</v>
      </c>
    </row>
    <row r="839" spans="1:12">
      <c r="A839">
        <v>3300</v>
      </c>
      <c r="B839" s="63" t="s">
        <v>356</v>
      </c>
      <c r="C839" s="63" t="s">
        <v>358</v>
      </c>
      <c r="D839" s="63" t="s">
        <v>59</v>
      </c>
      <c r="E839" s="63" t="s">
        <v>172</v>
      </c>
      <c r="F839" s="63" t="s">
        <v>1200</v>
      </c>
      <c r="G839">
        <v>1</v>
      </c>
      <c r="H839">
        <v>60</v>
      </c>
      <c r="I839">
        <v>1080</v>
      </c>
      <c r="J839">
        <v>1080</v>
      </c>
      <c r="K839">
        <v>24.5</v>
      </c>
      <c r="L839">
        <v>1</v>
      </c>
    </row>
    <row r="840" spans="1:12">
      <c r="A840">
        <v>3300</v>
      </c>
      <c r="B840" s="63" t="s">
        <v>356</v>
      </c>
      <c r="C840" s="63" t="s">
        <v>358</v>
      </c>
      <c r="D840" s="63" t="s">
        <v>59</v>
      </c>
      <c r="E840" s="63" t="s">
        <v>172</v>
      </c>
      <c r="F840" s="63" t="s">
        <v>2547</v>
      </c>
      <c r="G840">
        <v>1</v>
      </c>
      <c r="H840">
        <v>60</v>
      </c>
      <c r="I840">
        <v>1080</v>
      </c>
      <c r="J840">
        <v>1080</v>
      </c>
      <c r="K840">
        <v>13.45</v>
      </c>
      <c r="L840">
        <v>0</v>
      </c>
    </row>
    <row r="841" spans="1:12">
      <c r="A841">
        <v>3300</v>
      </c>
      <c r="B841" s="63" t="s">
        <v>356</v>
      </c>
      <c r="C841" s="63" t="s">
        <v>358</v>
      </c>
      <c r="D841" s="63" t="s">
        <v>59</v>
      </c>
      <c r="E841" s="63" t="s">
        <v>172</v>
      </c>
      <c r="F841" s="63" t="s">
        <v>2548</v>
      </c>
      <c r="G841">
        <v>1</v>
      </c>
      <c r="H841">
        <v>60</v>
      </c>
      <c r="I841">
        <v>1080</v>
      </c>
      <c r="J841">
        <v>1080</v>
      </c>
      <c r="K841">
        <v>25.9</v>
      </c>
      <c r="L841">
        <v>1</v>
      </c>
    </row>
    <row r="842" spans="1:12">
      <c r="A842">
        <v>3300</v>
      </c>
      <c r="B842" s="63" t="s">
        <v>356</v>
      </c>
      <c r="C842" s="63" t="s">
        <v>358</v>
      </c>
      <c r="D842" s="63" t="s">
        <v>59</v>
      </c>
      <c r="E842" s="63" t="s">
        <v>172</v>
      </c>
      <c r="F842" s="63" t="s">
        <v>983</v>
      </c>
      <c r="G842">
        <v>1</v>
      </c>
      <c r="H842">
        <v>60</v>
      </c>
      <c r="I842">
        <v>1080</v>
      </c>
      <c r="J842">
        <v>1080</v>
      </c>
      <c r="K842">
        <v>22.45</v>
      </c>
      <c r="L842">
        <v>0</v>
      </c>
    </row>
    <row r="843" spans="1:12">
      <c r="A843">
        <v>3300</v>
      </c>
      <c r="B843" s="63" t="s">
        <v>356</v>
      </c>
      <c r="C843" s="63" t="s">
        <v>358</v>
      </c>
      <c r="D843" s="63" t="s">
        <v>59</v>
      </c>
      <c r="E843" s="63" t="s">
        <v>172</v>
      </c>
      <c r="F843" s="63" t="s">
        <v>1344</v>
      </c>
      <c r="G843">
        <v>1</v>
      </c>
      <c r="H843">
        <v>60</v>
      </c>
      <c r="I843">
        <v>1080</v>
      </c>
      <c r="J843">
        <v>1080</v>
      </c>
      <c r="K843">
        <v>25.23</v>
      </c>
      <c r="L843">
        <v>1</v>
      </c>
    </row>
    <row r="844" spans="1:12">
      <c r="A844">
        <v>3300</v>
      </c>
      <c r="B844" s="63" t="s">
        <v>356</v>
      </c>
      <c r="C844" s="63" t="s">
        <v>358</v>
      </c>
      <c r="D844" s="63" t="s">
        <v>59</v>
      </c>
      <c r="E844" s="63" t="s">
        <v>172</v>
      </c>
      <c r="F844" s="63" t="s">
        <v>1463</v>
      </c>
      <c r="G844">
        <v>1</v>
      </c>
      <c r="H844">
        <v>60</v>
      </c>
      <c r="I844">
        <v>1080</v>
      </c>
      <c r="J844">
        <v>1080</v>
      </c>
      <c r="K844">
        <v>30.17</v>
      </c>
      <c r="L844">
        <v>1</v>
      </c>
    </row>
    <row r="845" spans="1:12">
      <c r="A845">
        <v>3300</v>
      </c>
      <c r="B845" s="63" t="s">
        <v>356</v>
      </c>
      <c r="C845" s="63" t="s">
        <v>358</v>
      </c>
      <c r="D845" s="63" t="s">
        <v>59</v>
      </c>
      <c r="E845" s="63" t="s">
        <v>172</v>
      </c>
      <c r="F845" s="63" t="s">
        <v>1538</v>
      </c>
      <c r="G845">
        <v>1</v>
      </c>
      <c r="H845">
        <v>60</v>
      </c>
      <c r="I845">
        <v>1080</v>
      </c>
      <c r="J845">
        <v>1080</v>
      </c>
      <c r="K845">
        <v>15.47</v>
      </c>
      <c r="L845">
        <v>0</v>
      </c>
    </row>
    <row r="846" spans="1:12">
      <c r="A846">
        <v>3300</v>
      </c>
      <c r="B846" s="63" t="s">
        <v>356</v>
      </c>
      <c r="C846" s="63" t="s">
        <v>358</v>
      </c>
      <c r="D846" s="63" t="s">
        <v>59</v>
      </c>
      <c r="E846" s="63" t="s">
        <v>172</v>
      </c>
      <c r="F846" s="63" t="s">
        <v>1380</v>
      </c>
      <c r="G846">
        <v>1</v>
      </c>
      <c r="H846">
        <v>60</v>
      </c>
      <c r="I846">
        <v>1080</v>
      </c>
      <c r="J846">
        <v>1080</v>
      </c>
      <c r="K846">
        <v>8.6300000000000008</v>
      </c>
      <c r="L846">
        <v>0</v>
      </c>
    </row>
    <row r="847" spans="1:12">
      <c r="A847">
        <v>3300</v>
      </c>
      <c r="B847" s="63" t="s">
        <v>356</v>
      </c>
      <c r="C847" s="63" t="s">
        <v>358</v>
      </c>
      <c r="D847" s="63" t="s">
        <v>59</v>
      </c>
      <c r="E847" s="63" t="s">
        <v>172</v>
      </c>
      <c r="F847" s="63" t="s">
        <v>988</v>
      </c>
      <c r="G847">
        <v>1</v>
      </c>
      <c r="H847">
        <v>60</v>
      </c>
      <c r="I847">
        <v>1080</v>
      </c>
      <c r="J847">
        <v>1080</v>
      </c>
      <c r="K847">
        <v>28.58</v>
      </c>
      <c r="L847">
        <v>1</v>
      </c>
    </row>
    <row r="848" spans="1:12">
      <c r="A848">
        <v>3300</v>
      </c>
      <c r="B848" s="63" t="s">
        <v>356</v>
      </c>
      <c r="C848" s="63" t="s">
        <v>358</v>
      </c>
      <c r="D848" s="63" t="s">
        <v>59</v>
      </c>
      <c r="E848" s="63" t="s">
        <v>172</v>
      </c>
      <c r="F848" s="63" t="s">
        <v>1506</v>
      </c>
      <c r="G848">
        <v>1</v>
      </c>
      <c r="H848">
        <v>60</v>
      </c>
      <c r="I848">
        <v>1080</v>
      </c>
      <c r="J848">
        <v>1080</v>
      </c>
      <c r="K848">
        <v>13.82</v>
      </c>
      <c r="L848">
        <v>0</v>
      </c>
    </row>
    <row r="849" spans="1:12">
      <c r="A849">
        <v>3300</v>
      </c>
      <c r="B849" s="63" t="s">
        <v>356</v>
      </c>
      <c r="C849" s="63" t="s">
        <v>358</v>
      </c>
      <c r="D849" s="63" t="s">
        <v>59</v>
      </c>
      <c r="E849" s="63" t="s">
        <v>172</v>
      </c>
      <c r="F849" s="63" t="s">
        <v>2549</v>
      </c>
      <c r="G849">
        <v>1</v>
      </c>
      <c r="H849">
        <v>60</v>
      </c>
      <c r="I849">
        <v>1080</v>
      </c>
      <c r="J849">
        <v>1080</v>
      </c>
      <c r="K849">
        <v>31.15</v>
      </c>
      <c r="L849">
        <v>1</v>
      </c>
    </row>
    <row r="850" spans="1:12">
      <c r="A850">
        <v>3300</v>
      </c>
      <c r="B850" s="63" t="s">
        <v>356</v>
      </c>
      <c r="C850" s="63" t="s">
        <v>358</v>
      </c>
      <c r="D850" s="63" t="s">
        <v>59</v>
      </c>
      <c r="E850" s="63" t="s">
        <v>172</v>
      </c>
      <c r="F850" s="63" t="s">
        <v>1373</v>
      </c>
      <c r="G850">
        <v>1</v>
      </c>
      <c r="H850">
        <v>60</v>
      </c>
      <c r="I850">
        <v>1080</v>
      </c>
      <c r="J850">
        <v>1080</v>
      </c>
      <c r="K850">
        <v>31.82</v>
      </c>
      <c r="L850">
        <v>1</v>
      </c>
    </row>
    <row r="851" spans="1:12">
      <c r="A851">
        <v>3300</v>
      </c>
      <c r="B851" s="63" t="s">
        <v>356</v>
      </c>
      <c r="C851" s="63" t="s">
        <v>358</v>
      </c>
      <c r="D851" s="63" t="s">
        <v>59</v>
      </c>
      <c r="E851" s="63" t="s">
        <v>172</v>
      </c>
      <c r="F851" s="63" t="s">
        <v>2550</v>
      </c>
      <c r="G851">
        <v>1</v>
      </c>
      <c r="H851">
        <v>60</v>
      </c>
      <c r="I851">
        <v>1080</v>
      </c>
      <c r="J851">
        <v>1080</v>
      </c>
      <c r="K851">
        <v>29.23</v>
      </c>
      <c r="L851">
        <v>1</v>
      </c>
    </row>
    <row r="852" spans="1:12">
      <c r="A852">
        <v>3300</v>
      </c>
      <c r="B852" s="63" t="s">
        <v>356</v>
      </c>
      <c r="C852" s="63" t="s">
        <v>358</v>
      </c>
      <c r="D852" s="63" t="s">
        <v>59</v>
      </c>
      <c r="E852" s="63" t="s">
        <v>172</v>
      </c>
      <c r="F852" s="63" t="s">
        <v>1322</v>
      </c>
      <c r="G852">
        <v>1</v>
      </c>
      <c r="H852">
        <v>60</v>
      </c>
      <c r="I852">
        <v>1080</v>
      </c>
      <c r="J852">
        <v>1080</v>
      </c>
      <c r="K852">
        <v>25.57</v>
      </c>
      <c r="L852">
        <v>1</v>
      </c>
    </row>
    <row r="853" spans="1:12">
      <c r="A853">
        <v>3300</v>
      </c>
      <c r="B853" s="63" t="s">
        <v>356</v>
      </c>
      <c r="C853" s="63" t="s">
        <v>358</v>
      </c>
      <c r="D853" s="63" t="s">
        <v>59</v>
      </c>
      <c r="E853" s="63" t="s">
        <v>172</v>
      </c>
      <c r="F853" s="63" t="s">
        <v>1362</v>
      </c>
      <c r="G853">
        <v>1</v>
      </c>
      <c r="H853">
        <v>60</v>
      </c>
      <c r="I853">
        <v>1080</v>
      </c>
      <c r="J853">
        <v>1080</v>
      </c>
      <c r="K853">
        <v>30.5</v>
      </c>
      <c r="L853">
        <v>1</v>
      </c>
    </row>
    <row r="854" spans="1:12">
      <c r="A854">
        <v>3300</v>
      </c>
      <c r="B854" s="63" t="s">
        <v>356</v>
      </c>
      <c r="C854" s="63" t="s">
        <v>358</v>
      </c>
      <c r="D854" s="63" t="s">
        <v>59</v>
      </c>
      <c r="E854" s="63" t="s">
        <v>172</v>
      </c>
      <c r="F854" s="63" t="s">
        <v>2551</v>
      </c>
      <c r="G854">
        <v>1</v>
      </c>
      <c r="H854">
        <v>60</v>
      </c>
      <c r="I854">
        <v>1080</v>
      </c>
      <c r="J854">
        <v>1080</v>
      </c>
      <c r="K854">
        <v>27.3</v>
      </c>
      <c r="L854">
        <v>1</v>
      </c>
    </row>
    <row r="855" spans="1:12">
      <c r="A855">
        <v>3300</v>
      </c>
      <c r="B855" s="63" t="s">
        <v>356</v>
      </c>
      <c r="C855" s="63" t="s">
        <v>358</v>
      </c>
      <c r="D855" s="63" t="s">
        <v>59</v>
      </c>
      <c r="E855" s="63" t="s">
        <v>203</v>
      </c>
      <c r="F855" s="63" t="s">
        <v>667</v>
      </c>
      <c r="G855">
        <v>1</v>
      </c>
      <c r="H855">
        <v>60</v>
      </c>
      <c r="I855">
        <v>1080</v>
      </c>
      <c r="J855">
        <v>1080</v>
      </c>
      <c r="K855">
        <v>26.95</v>
      </c>
      <c r="L855">
        <v>1</v>
      </c>
    </row>
    <row r="856" spans="1:12">
      <c r="A856">
        <v>3300</v>
      </c>
      <c r="B856" s="63" t="s">
        <v>356</v>
      </c>
      <c r="C856" s="63" t="s">
        <v>358</v>
      </c>
      <c r="D856" s="63" t="s">
        <v>59</v>
      </c>
      <c r="E856" s="63" t="s">
        <v>203</v>
      </c>
      <c r="F856" s="63" t="s">
        <v>1347</v>
      </c>
      <c r="G856">
        <v>1</v>
      </c>
      <c r="H856">
        <v>60</v>
      </c>
      <c r="I856">
        <v>1080</v>
      </c>
      <c r="J856">
        <v>1080</v>
      </c>
      <c r="K856">
        <v>27.93</v>
      </c>
      <c r="L856">
        <v>1</v>
      </c>
    </row>
    <row r="857" spans="1:12">
      <c r="A857">
        <v>3300</v>
      </c>
      <c r="B857" s="63" t="s">
        <v>356</v>
      </c>
      <c r="C857" s="63" t="s">
        <v>358</v>
      </c>
      <c r="D857" s="63" t="s">
        <v>59</v>
      </c>
      <c r="E857" s="63" t="s">
        <v>203</v>
      </c>
      <c r="F857" s="63" t="s">
        <v>1393</v>
      </c>
      <c r="G857">
        <v>1</v>
      </c>
      <c r="H857">
        <v>60</v>
      </c>
      <c r="I857">
        <v>1079</v>
      </c>
      <c r="J857">
        <v>1079</v>
      </c>
      <c r="K857">
        <v>28.33</v>
      </c>
      <c r="L857">
        <v>1</v>
      </c>
    </row>
    <row r="858" spans="1:12">
      <c r="A858">
        <v>3300</v>
      </c>
      <c r="B858" s="63" t="s">
        <v>356</v>
      </c>
      <c r="C858" s="63" t="s">
        <v>358</v>
      </c>
      <c r="D858" s="63" t="s">
        <v>59</v>
      </c>
      <c r="E858" s="63" t="s">
        <v>203</v>
      </c>
      <c r="F858" s="63" t="s">
        <v>1326</v>
      </c>
      <c r="G858">
        <v>1</v>
      </c>
      <c r="H858">
        <v>60</v>
      </c>
      <c r="I858">
        <v>1078</v>
      </c>
      <c r="J858">
        <v>1078</v>
      </c>
      <c r="K858">
        <v>8.83</v>
      </c>
      <c r="L858">
        <v>0</v>
      </c>
    </row>
    <row r="859" spans="1:12">
      <c r="A859">
        <v>3300</v>
      </c>
      <c r="B859" s="63" t="s">
        <v>356</v>
      </c>
      <c r="C859" s="63" t="s">
        <v>358</v>
      </c>
      <c r="D859" s="63" t="s">
        <v>59</v>
      </c>
      <c r="E859" s="63" t="s">
        <v>173</v>
      </c>
      <c r="F859" s="63" t="s">
        <v>1357</v>
      </c>
      <c r="G859">
        <v>1</v>
      </c>
      <c r="H859">
        <v>60</v>
      </c>
      <c r="I859">
        <v>1080</v>
      </c>
      <c r="J859">
        <v>1080</v>
      </c>
      <c r="K859">
        <v>32.15</v>
      </c>
      <c r="L859">
        <v>1</v>
      </c>
    </row>
    <row r="860" spans="1:12">
      <c r="A860">
        <v>3300</v>
      </c>
      <c r="B860" s="63" t="s">
        <v>356</v>
      </c>
      <c r="C860" s="63" t="s">
        <v>358</v>
      </c>
      <c r="D860" s="63" t="s">
        <v>59</v>
      </c>
      <c r="E860" s="63" t="s">
        <v>173</v>
      </c>
      <c r="F860" s="63" t="s">
        <v>972</v>
      </c>
      <c r="G860">
        <v>1</v>
      </c>
      <c r="H860">
        <v>60</v>
      </c>
      <c r="I860">
        <v>1080</v>
      </c>
      <c r="J860">
        <v>1080</v>
      </c>
      <c r="K860">
        <v>9.1</v>
      </c>
      <c r="L860">
        <v>0</v>
      </c>
    </row>
    <row r="861" spans="1:12">
      <c r="A861">
        <v>3300</v>
      </c>
      <c r="B861" s="63" t="s">
        <v>356</v>
      </c>
      <c r="C861" s="63" t="s">
        <v>358</v>
      </c>
      <c r="D861" s="63" t="s">
        <v>59</v>
      </c>
      <c r="E861" s="63" t="s">
        <v>173</v>
      </c>
      <c r="F861" s="63" t="s">
        <v>455</v>
      </c>
      <c r="G861">
        <v>1</v>
      </c>
      <c r="H861">
        <v>60</v>
      </c>
      <c r="I861">
        <v>1080</v>
      </c>
      <c r="J861">
        <v>1080</v>
      </c>
      <c r="K861">
        <v>32.479999999999997</v>
      </c>
      <c r="L861">
        <v>1</v>
      </c>
    </row>
    <row r="862" spans="1:12">
      <c r="A862">
        <v>3300</v>
      </c>
      <c r="B862" s="63" t="s">
        <v>356</v>
      </c>
      <c r="C862" s="63" t="s">
        <v>358</v>
      </c>
      <c r="D862" s="63" t="s">
        <v>59</v>
      </c>
      <c r="E862" s="63" t="s">
        <v>173</v>
      </c>
      <c r="F862" s="63" t="s">
        <v>1622</v>
      </c>
      <c r="G862">
        <v>1</v>
      </c>
      <c r="H862">
        <v>60</v>
      </c>
      <c r="I862">
        <v>1080</v>
      </c>
      <c r="J862">
        <v>1080</v>
      </c>
      <c r="K862">
        <v>30.82</v>
      </c>
      <c r="L862">
        <v>1</v>
      </c>
    </row>
    <row r="863" spans="1:12">
      <c r="A863">
        <v>3300</v>
      </c>
      <c r="B863" s="63" t="s">
        <v>356</v>
      </c>
      <c r="C863" s="63" t="s">
        <v>358</v>
      </c>
      <c r="D863" s="63" t="s">
        <v>59</v>
      </c>
      <c r="E863" s="63" t="s">
        <v>174</v>
      </c>
      <c r="F863" s="63" t="s">
        <v>1518</v>
      </c>
      <c r="G863">
        <v>1</v>
      </c>
      <c r="H863">
        <v>60</v>
      </c>
      <c r="I863">
        <v>1080</v>
      </c>
      <c r="J863">
        <v>1080</v>
      </c>
      <c r="K863">
        <v>27.35</v>
      </c>
      <c r="L863">
        <v>1</v>
      </c>
    </row>
    <row r="864" spans="1:12">
      <c r="A864">
        <v>3300</v>
      </c>
      <c r="B864" s="63" t="s">
        <v>356</v>
      </c>
      <c r="C864" s="63" t="s">
        <v>358</v>
      </c>
      <c r="D864" s="63" t="s">
        <v>59</v>
      </c>
      <c r="E864" s="63" t="s">
        <v>174</v>
      </c>
      <c r="F864" s="63" t="s">
        <v>2552</v>
      </c>
      <c r="G864">
        <v>1</v>
      </c>
      <c r="H864">
        <v>60</v>
      </c>
      <c r="I864">
        <v>1080</v>
      </c>
      <c r="J864">
        <v>1080</v>
      </c>
      <c r="K864">
        <v>8.35</v>
      </c>
      <c r="L864">
        <v>0</v>
      </c>
    </row>
    <row r="865" spans="1:12">
      <c r="A865">
        <v>3300</v>
      </c>
      <c r="B865" s="63" t="s">
        <v>356</v>
      </c>
      <c r="C865" s="63" t="s">
        <v>358</v>
      </c>
      <c r="D865" s="63" t="s">
        <v>59</v>
      </c>
      <c r="E865" s="63" t="s">
        <v>174</v>
      </c>
      <c r="F865" s="63" t="s">
        <v>2098</v>
      </c>
      <c r="G865">
        <v>1</v>
      </c>
      <c r="H865">
        <v>60</v>
      </c>
      <c r="I865">
        <v>1080</v>
      </c>
      <c r="J865">
        <v>1080</v>
      </c>
      <c r="K865">
        <v>20.87</v>
      </c>
      <c r="L865">
        <v>0</v>
      </c>
    </row>
    <row r="866" spans="1:12">
      <c r="A866">
        <v>3300</v>
      </c>
      <c r="B866" s="63" t="s">
        <v>356</v>
      </c>
      <c r="C866" s="63" t="s">
        <v>358</v>
      </c>
      <c r="D866" s="63" t="s">
        <v>59</v>
      </c>
      <c r="E866" s="63" t="s">
        <v>174</v>
      </c>
      <c r="F866" s="63" t="s">
        <v>1232</v>
      </c>
      <c r="G866">
        <v>1</v>
      </c>
      <c r="H866">
        <v>60</v>
      </c>
      <c r="I866">
        <v>1080</v>
      </c>
      <c r="J866">
        <v>1080</v>
      </c>
      <c r="K866">
        <v>12.58</v>
      </c>
      <c r="L866">
        <v>0</v>
      </c>
    </row>
    <row r="867" spans="1:12">
      <c r="A867">
        <v>3300</v>
      </c>
      <c r="B867" s="63" t="s">
        <v>356</v>
      </c>
      <c r="C867" s="63" t="s">
        <v>358</v>
      </c>
      <c r="D867" s="63" t="s">
        <v>59</v>
      </c>
      <c r="E867" s="63" t="s">
        <v>174</v>
      </c>
      <c r="F867" s="63" t="s">
        <v>2553</v>
      </c>
      <c r="G867">
        <v>1</v>
      </c>
      <c r="H867">
        <v>60</v>
      </c>
      <c r="I867">
        <v>1080</v>
      </c>
      <c r="J867">
        <v>1080</v>
      </c>
      <c r="K867">
        <v>26.07</v>
      </c>
      <c r="L867">
        <v>1</v>
      </c>
    </row>
    <row r="868" spans="1:12">
      <c r="A868">
        <v>3300</v>
      </c>
      <c r="B868" s="63" t="s">
        <v>356</v>
      </c>
      <c r="C868" s="63" t="s">
        <v>358</v>
      </c>
      <c r="D868" s="63" t="s">
        <v>59</v>
      </c>
      <c r="E868" s="63" t="s">
        <v>174</v>
      </c>
      <c r="F868" s="63" t="s">
        <v>484</v>
      </c>
      <c r="G868">
        <v>1</v>
      </c>
      <c r="H868">
        <v>60</v>
      </c>
      <c r="I868">
        <v>1080</v>
      </c>
      <c r="J868">
        <v>1080</v>
      </c>
      <c r="K868">
        <v>24.45</v>
      </c>
      <c r="L868">
        <v>1</v>
      </c>
    </row>
    <row r="869" spans="1:12">
      <c r="A869">
        <v>3300</v>
      </c>
      <c r="B869" s="63" t="s">
        <v>356</v>
      </c>
      <c r="C869" s="63" t="s">
        <v>358</v>
      </c>
      <c r="D869" s="63" t="s">
        <v>59</v>
      </c>
      <c r="E869" s="63" t="s">
        <v>174</v>
      </c>
      <c r="F869" s="63" t="s">
        <v>1834</v>
      </c>
      <c r="G869">
        <v>1</v>
      </c>
      <c r="H869">
        <v>60</v>
      </c>
      <c r="I869">
        <v>1080</v>
      </c>
      <c r="J869">
        <v>1080</v>
      </c>
      <c r="K869">
        <v>12.67</v>
      </c>
      <c r="L869">
        <v>0</v>
      </c>
    </row>
    <row r="870" spans="1:12">
      <c r="A870">
        <v>3300</v>
      </c>
      <c r="B870" s="63" t="s">
        <v>356</v>
      </c>
      <c r="C870" s="63" t="s">
        <v>358</v>
      </c>
      <c r="D870" s="63" t="s">
        <v>59</v>
      </c>
      <c r="E870" s="63" t="s">
        <v>174</v>
      </c>
      <c r="F870" s="63" t="s">
        <v>1826</v>
      </c>
      <c r="G870">
        <v>1</v>
      </c>
      <c r="H870">
        <v>60</v>
      </c>
      <c r="I870">
        <v>1080</v>
      </c>
      <c r="J870">
        <v>1080</v>
      </c>
      <c r="K870">
        <v>30.58</v>
      </c>
      <c r="L870">
        <v>1</v>
      </c>
    </row>
    <row r="871" spans="1:12">
      <c r="A871">
        <v>3300</v>
      </c>
      <c r="B871" s="63" t="s">
        <v>356</v>
      </c>
      <c r="C871" s="63" t="s">
        <v>358</v>
      </c>
      <c r="D871" s="63" t="s">
        <v>59</v>
      </c>
      <c r="E871" s="63" t="s">
        <v>174</v>
      </c>
      <c r="F871" s="63" t="s">
        <v>1835</v>
      </c>
      <c r="G871">
        <v>1</v>
      </c>
      <c r="H871">
        <v>46</v>
      </c>
      <c r="I871">
        <v>828</v>
      </c>
      <c r="J871">
        <v>828</v>
      </c>
      <c r="K871">
        <v>8.15</v>
      </c>
      <c r="L871">
        <v>0</v>
      </c>
    </row>
    <row r="872" spans="1:12">
      <c r="A872">
        <v>3300</v>
      </c>
      <c r="B872" s="63" t="s">
        <v>356</v>
      </c>
      <c r="C872" s="63" t="s">
        <v>358</v>
      </c>
      <c r="D872" s="63" t="s">
        <v>59</v>
      </c>
      <c r="E872" s="63" t="s">
        <v>174</v>
      </c>
      <c r="F872" s="63" t="s">
        <v>1741</v>
      </c>
      <c r="G872">
        <v>1</v>
      </c>
      <c r="H872">
        <v>60</v>
      </c>
      <c r="I872">
        <v>1080</v>
      </c>
      <c r="J872">
        <v>1080</v>
      </c>
      <c r="K872">
        <v>29.55</v>
      </c>
      <c r="L872">
        <v>1</v>
      </c>
    </row>
    <row r="873" spans="1:12">
      <c r="A873">
        <v>3300</v>
      </c>
      <c r="B873" s="63" t="s">
        <v>356</v>
      </c>
      <c r="C873" s="63" t="s">
        <v>358</v>
      </c>
      <c r="D873" s="63" t="s">
        <v>59</v>
      </c>
      <c r="E873" s="63" t="s">
        <v>174</v>
      </c>
      <c r="F873" s="63" t="s">
        <v>1046</v>
      </c>
      <c r="G873">
        <v>1</v>
      </c>
      <c r="H873">
        <v>60</v>
      </c>
      <c r="I873">
        <v>1080</v>
      </c>
      <c r="J873">
        <v>1080</v>
      </c>
      <c r="K873">
        <v>13.8</v>
      </c>
      <c r="L873">
        <v>0</v>
      </c>
    </row>
    <row r="874" spans="1:12">
      <c r="A874">
        <v>3300</v>
      </c>
      <c r="B874" s="63" t="s">
        <v>356</v>
      </c>
      <c r="C874" s="63" t="s">
        <v>358</v>
      </c>
      <c r="D874" s="63" t="s">
        <v>59</v>
      </c>
      <c r="E874" s="63" t="s">
        <v>175</v>
      </c>
      <c r="F874" s="63" t="s">
        <v>1387</v>
      </c>
      <c r="G874">
        <v>1</v>
      </c>
      <c r="H874">
        <v>60</v>
      </c>
      <c r="I874">
        <v>1080</v>
      </c>
      <c r="J874">
        <v>1080</v>
      </c>
      <c r="K874">
        <v>26.23</v>
      </c>
      <c r="L874">
        <v>1</v>
      </c>
    </row>
    <row r="875" spans="1:12">
      <c r="A875">
        <v>3300</v>
      </c>
      <c r="B875" s="63" t="s">
        <v>356</v>
      </c>
      <c r="C875" s="63" t="s">
        <v>358</v>
      </c>
      <c r="D875" s="63" t="s">
        <v>59</v>
      </c>
      <c r="E875" s="63" t="s">
        <v>175</v>
      </c>
      <c r="F875" s="63" t="s">
        <v>529</v>
      </c>
      <c r="G875">
        <v>1</v>
      </c>
      <c r="H875">
        <v>60</v>
      </c>
      <c r="I875">
        <v>1080</v>
      </c>
      <c r="J875">
        <v>1080</v>
      </c>
      <c r="K875">
        <v>28.9</v>
      </c>
      <c r="L875">
        <v>1</v>
      </c>
    </row>
    <row r="876" spans="1:12">
      <c r="A876">
        <v>3300</v>
      </c>
      <c r="B876" s="63" t="s">
        <v>356</v>
      </c>
      <c r="C876" s="63" t="s">
        <v>358</v>
      </c>
      <c r="D876" s="63" t="s">
        <v>59</v>
      </c>
      <c r="E876" s="63" t="s">
        <v>175</v>
      </c>
      <c r="F876" s="63" t="s">
        <v>440</v>
      </c>
      <c r="G876">
        <v>1</v>
      </c>
      <c r="H876">
        <v>21</v>
      </c>
      <c r="I876">
        <v>378</v>
      </c>
      <c r="J876">
        <v>378</v>
      </c>
      <c r="K876">
        <v>21.7</v>
      </c>
      <c r="L876">
        <v>0</v>
      </c>
    </row>
    <row r="877" spans="1:12">
      <c r="A877">
        <v>3300</v>
      </c>
      <c r="B877" s="63" t="s">
        <v>356</v>
      </c>
      <c r="C877" s="63" t="s">
        <v>358</v>
      </c>
      <c r="D877" s="63" t="s">
        <v>374</v>
      </c>
      <c r="E877" s="63" t="s">
        <v>174</v>
      </c>
      <c r="F877" s="63" t="s">
        <v>534</v>
      </c>
      <c r="G877">
        <v>1</v>
      </c>
      <c r="H877">
        <v>10</v>
      </c>
      <c r="I877">
        <v>180</v>
      </c>
      <c r="J877">
        <v>180</v>
      </c>
      <c r="K877">
        <v>32.58</v>
      </c>
      <c r="L877">
        <v>1</v>
      </c>
    </row>
    <row r="878" spans="1:12">
      <c r="A878">
        <v>3300</v>
      </c>
      <c r="B878" s="63" t="s">
        <v>832</v>
      </c>
      <c r="C878" s="63" t="s">
        <v>1369</v>
      </c>
      <c r="D878" s="63" t="s">
        <v>59</v>
      </c>
      <c r="E878" s="63" t="s">
        <v>172</v>
      </c>
      <c r="F878" s="63" t="s">
        <v>1013</v>
      </c>
      <c r="G878">
        <v>1</v>
      </c>
      <c r="H878">
        <v>60</v>
      </c>
      <c r="I878">
        <v>1080</v>
      </c>
      <c r="J878">
        <v>1080</v>
      </c>
      <c r="K878">
        <v>39.92</v>
      </c>
      <c r="L878">
        <v>1</v>
      </c>
    </row>
    <row r="879" spans="1:12">
      <c r="A879">
        <v>3300</v>
      </c>
      <c r="B879" s="63" t="s">
        <v>832</v>
      </c>
      <c r="C879" s="63" t="s">
        <v>1369</v>
      </c>
      <c r="D879" s="63" t="s">
        <v>59</v>
      </c>
      <c r="E879" s="63" t="s">
        <v>172</v>
      </c>
      <c r="F879" s="63" t="s">
        <v>1507</v>
      </c>
      <c r="G879">
        <v>1</v>
      </c>
      <c r="H879">
        <v>60</v>
      </c>
      <c r="I879">
        <v>1080</v>
      </c>
      <c r="J879">
        <v>1080</v>
      </c>
      <c r="K879">
        <v>28.32</v>
      </c>
      <c r="L879">
        <v>1</v>
      </c>
    </row>
    <row r="880" spans="1:12">
      <c r="A880">
        <v>3300</v>
      </c>
      <c r="B880" s="63" t="s">
        <v>832</v>
      </c>
      <c r="C880" s="63" t="s">
        <v>1369</v>
      </c>
      <c r="D880" s="63" t="s">
        <v>59</v>
      </c>
      <c r="E880" s="63" t="s">
        <v>172</v>
      </c>
      <c r="F880" s="63" t="s">
        <v>2001</v>
      </c>
      <c r="G880">
        <v>1</v>
      </c>
      <c r="H880">
        <v>60</v>
      </c>
      <c r="I880">
        <v>1080</v>
      </c>
      <c r="J880">
        <v>1080</v>
      </c>
      <c r="K880">
        <v>28.05</v>
      </c>
      <c r="L880">
        <v>1</v>
      </c>
    </row>
    <row r="881" spans="1:12">
      <c r="A881">
        <v>3300</v>
      </c>
      <c r="B881" s="63" t="s">
        <v>832</v>
      </c>
      <c r="C881" s="63" t="s">
        <v>1369</v>
      </c>
      <c r="D881" s="63" t="s">
        <v>59</v>
      </c>
      <c r="E881" s="63" t="s">
        <v>172</v>
      </c>
      <c r="F881" s="63" t="s">
        <v>1081</v>
      </c>
      <c r="G881">
        <v>1</v>
      </c>
      <c r="H881">
        <v>60</v>
      </c>
      <c r="I881">
        <v>1080</v>
      </c>
      <c r="J881">
        <v>1080</v>
      </c>
      <c r="K881">
        <v>39.630000000000003</v>
      </c>
      <c r="L881">
        <v>2</v>
      </c>
    </row>
    <row r="882" spans="1:12">
      <c r="A882">
        <v>3300</v>
      </c>
      <c r="B882" s="63" t="s">
        <v>832</v>
      </c>
      <c r="C882" s="63" t="s">
        <v>1369</v>
      </c>
      <c r="D882" s="63" t="s">
        <v>59</v>
      </c>
      <c r="E882" s="63" t="s">
        <v>172</v>
      </c>
      <c r="F882" s="63" t="s">
        <v>2023</v>
      </c>
      <c r="G882">
        <v>1</v>
      </c>
      <c r="H882">
        <v>60</v>
      </c>
      <c r="I882">
        <v>1080</v>
      </c>
      <c r="J882">
        <v>1080</v>
      </c>
      <c r="K882">
        <v>35.119999999999997</v>
      </c>
      <c r="L882">
        <v>1</v>
      </c>
    </row>
    <row r="883" spans="1:12">
      <c r="A883">
        <v>3300</v>
      </c>
      <c r="B883" s="63" t="s">
        <v>832</v>
      </c>
      <c r="C883" s="63" t="s">
        <v>1369</v>
      </c>
      <c r="D883" s="63" t="s">
        <v>59</v>
      </c>
      <c r="E883" s="63" t="s">
        <v>203</v>
      </c>
      <c r="F883" s="63" t="s">
        <v>1181</v>
      </c>
      <c r="G883">
        <v>1</v>
      </c>
      <c r="H883">
        <v>60</v>
      </c>
      <c r="I883">
        <v>1080</v>
      </c>
      <c r="J883">
        <v>1080</v>
      </c>
      <c r="K883">
        <v>42.45</v>
      </c>
      <c r="L883">
        <v>1</v>
      </c>
    </row>
    <row r="884" spans="1:12">
      <c r="A884">
        <v>3300</v>
      </c>
      <c r="B884" s="63" t="s">
        <v>832</v>
      </c>
      <c r="C884" s="63" t="s">
        <v>1369</v>
      </c>
      <c r="D884" s="63" t="s">
        <v>59</v>
      </c>
      <c r="E884" s="63" t="s">
        <v>203</v>
      </c>
      <c r="F884" s="63" t="s">
        <v>2554</v>
      </c>
      <c r="G884">
        <v>1</v>
      </c>
      <c r="H884">
        <v>60</v>
      </c>
      <c r="I884">
        <v>1080</v>
      </c>
      <c r="J884">
        <v>1080</v>
      </c>
      <c r="K884">
        <v>31.92</v>
      </c>
      <c r="L884">
        <v>1</v>
      </c>
    </row>
    <row r="885" spans="1:12">
      <c r="A885">
        <v>3300</v>
      </c>
      <c r="B885" s="63" t="s">
        <v>832</v>
      </c>
      <c r="C885" s="63" t="s">
        <v>1369</v>
      </c>
      <c r="D885" s="63" t="s">
        <v>59</v>
      </c>
      <c r="E885" s="63" t="s">
        <v>203</v>
      </c>
      <c r="F885" s="63" t="s">
        <v>2555</v>
      </c>
      <c r="G885">
        <v>1</v>
      </c>
      <c r="H885">
        <v>60</v>
      </c>
      <c r="I885">
        <v>1080</v>
      </c>
      <c r="J885">
        <v>1080</v>
      </c>
      <c r="K885">
        <v>46.17</v>
      </c>
      <c r="L885">
        <v>2</v>
      </c>
    </row>
    <row r="886" spans="1:12">
      <c r="A886">
        <v>3300</v>
      </c>
      <c r="B886" s="63" t="s">
        <v>832</v>
      </c>
      <c r="C886" s="63" t="s">
        <v>1369</v>
      </c>
      <c r="D886" s="63" t="s">
        <v>59</v>
      </c>
      <c r="E886" s="63" t="s">
        <v>203</v>
      </c>
      <c r="F886" s="63" t="s">
        <v>1508</v>
      </c>
      <c r="G886">
        <v>1</v>
      </c>
      <c r="H886">
        <v>60</v>
      </c>
      <c r="I886">
        <v>1044</v>
      </c>
      <c r="J886">
        <v>1044</v>
      </c>
      <c r="K886">
        <v>45.98</v>
      </c>
      <c r="L886">
        <v>2</v>
      </c>
    </row>
    <row r="887" spans="1:12">
      <c r="A887">
        <v>3300</v>
      </c>
      <c r="B887" s="63" t="s">
        <v>832</v>
      </c>
      <c r="C887" s="63" t="s">
        <v>1369</v>
      </c>
      <c r="D887" s="63" t="s">
        <v>59</v>
      </c>
      <c r="E887" s="63" t="s">
        <v>203</v>
      </c>
      <c r="F887" s="63" t="s">
        <v>1428</v>
      </c>
      <c r="G887">
        <v>1</v>
      </c>
      <c r="H887">
        <v>60</v>
      </c>
      <c r="I887">
        <v>1077</v>
      </c>
      <c r="J887">
        <v>1077</v>
      </c>
      <c r="K887">
        <v>28.82</v>
      </c>
      <c r="L887">
        <v>1</v>
      </c>
    </row>
    <row r="888" spans="1:12">
      <c r="A888">
        <v>3300</v>
      </c>
      <c r="B888" s="63" t="s">
        <v>832</v>
      </c>
      <c r="C888" s="63" t="s">
        <v>1369</v>
      </c>
      <c r="D888" s="63" t="s">
        <v>59</v>
      </c>
      <c r="E888" s="63" t="s">
        <v>173</v>
      </c>
      <c r="F888" s="63" t="s">
        <v>630</v>
      </c>
      <c r="G888">
        <v>1</v>
      </c>
      <c r="H888">
        <v>60</v>
      </c>
      <c r="I888">
        <v>1080</v>
      </c>
      <c r="J888">
        <v>1080</v>
      </c>
      <c r="K888">
        <v>30.27</v>
      </c>
      <c r="L888">
        <v>1</v>
      </c>
    </row>
    <row r="889" spans="1:12">
      <c r="A889">
        <v>3300</v>
      </c>
      <c r="B889" s="63" t="s">
        <v>832</v>
      </c>
      <c r="C889" s="63" t="s">
        <v>1369</v>
      </c>
      <c r="D889" s="63" t="s">
        <v>59</v>
      </c>
      <c r="E889" s="63" t="s">
        <v>173</v>
      </c>
      <c r="F889" s="63" t="s">
        <v>1973</v>
      </c>
      <c r="G889">
        <v>1</v>
      </c>
      <c r="H889">
        <v>60</v>
      </c>
      <c r="I889">
        <v>1080</v>
      </c>
      <c r="J889">
        <v>1080</v>
      </c>
      <c r="K889">
        <v>47.58</v>
      </c>
      <c r="L889">
        <v>2</v>
      </c>
    </row>
    <row r="890" spans="1:12">
      <c r="A890">
        <v>3300</v>
      </c>
      <c r="B890" s="63" t="s">
        <v>832</v>
      </c>
      <c r="C890" s="63" t="s">
        <v>1369</v>
      </c>
      <c r="D890" s="63" t="s">
        <v>59</v>
      </c>
      <c r="E890" s="63" t="s">
        <v>174</v>
      </c>
      <c r="F890" s="63" t="s">
        <v>1270</v>
      </c>
      <c r="G890">
        <v>1</v>
      </c>
      <c r="H890">
        <v>60</v>
      </c>
      <c r="I890">
        <v>1080</v>
      </c>
      <c r="J890">
        <v>1080</v>
      </c>
      <c r="K890">
        <v>40.58</v>
      </c>
      <c r="L890">
        <v>1</v>
      </c>
    </row>
    <row r="891" spans="1:12">
      <c r="A891">
        <v>3300</v>
      </c>
      <c r="B891" s="63" t="s">
        <v>832</v>
      </c>
      <c r="C891" s="63" t="s">
        <v>1369</v>
      </c>
      <c r="D891" s="63" t="s">
        <v>59</v>
      </c>
      <c r="E891" s="63" t="s">
        <v>174</v>
      </c>
      <c r="F891" s="63" t="s">
        <v>1278</v>
      </c>
      <c r="G891">
        <v>1</v>
      </c>
      <c r="H891">
        <v>60</v>
      </c>
      <c r="I891">
        <v>1080</v>
      </c>
      <c r="J891">
        <v>1080</v>
      </c>
      <c r="K891">
        <v>41.82</v>
      </c>
      <c r="L891">
        <v>1</v>
      </c>
    </row>
    <row r="892" spans="1:12">
      <c r="A892">
        <v>3300</v>
      </c>
      <c r="B892" s="63" t="s">
        <v>832</v>
      </c>
      <c r="C892" s="63" t="s">
        <v>1369</v>
      </c>
      <c r="D892" s="63" t="s">
        <v>59</v>
      </c>
      <c r="E892" s="63" t="s">
        <v>174</v>
      </c>
      <c r="F892" s="63" t="s">
        <v>1351</v>
      </c>
      <c r="G892">
        <v>1</v>
      </c>
      <c r="H892">
        <v>60</v>
      </c>
      <c r="I892">
        <v>1080</v>
      </c>
      <c r="J892">
        <v>1080</v>
      </c>
      <c r="K892">
        <v>52.28</v>
      </c>
      <c r="L892">
        <v>2</v>
      </c>
    </row>
    <row r="893" spans="1:12">
      <c r="A893">
        <v>3300</v>
      </c>
      <c r="B893" s="63" t="s">
        <v>832</v>
      </c>
      <c r="C893" s="63" t="s">
        <v>1369</v>
      </c>
      <c r="D893" s="63" t="s">
        <v>59</v>
      </c>
      <c r="E893" s="63" t="s">
        <v>174</v>
      </c>
      <c r="F893" s="63" t="s">
        <v>1623</v>
      </c>
      <c r="G893">
        <v>1</v>
      </c>
      <c r="H893">
        <v>60</v>
      </c>
      <c r="I893">
        <v>1080</v>
      </c>
      <c r="J893">
        <v>1080</v>
      </c>
      <c r="K893">
        <v>55.73</v>
      </c>
      <c r="L893">
        <v>2</v>
      </c>
    </row>
    <row r="894" spans="1:12">
      <c r="A894">
        <v>3300</v>
      </c>
      <c r="B894" s="63" t="s">
        <v>832</v>
      </c>
      <c r="C894" s="63" t="s">
        <v>1369</v>
      </c>
      <c r="D894" s="63" t="s">
        <v>59</v>
      </c>
      <c r="E894" s="63" t="s">
        <v>174</v>
      </c>
      <c r="F894" s="63" t="s">
        <v>1157</v>
      </c>
      <c r="G894">
        <v>1</v>
      </c>
      <c r="H894">
        <v>60</v>
      </c>
      <c r="I894">
        <v>1080</v>
      </c>
      <c r="J894">
        <v>1080</v>
      </c>
      <c r="K894">
        <v>38.450000000000003</v>
      </c>
      <c r="L894">
        <v>1</v>
      </c>
    </row>
    <row r="895" spans="1:12">
      <c r="A895">
        <v>3300</v>
      </c>
      <c r="B895" s="63" t="s">
        <v>832</v>
      </c>
      <c r="C895" s="63" t="s">
        <v>1369</v>
      </c>
      <c r="D895" s="63" t="s">
        <v>59</v>
      </c>
      <c r="E895" s="63" t="s">
        <v>174</v>
      </c>
      <c r="F895" s="63" t="s">
        <v>2556</v>
      </c>
      <c r="G895">
        <v>1</v>
      </c>
      <c r="H895">
        <v>60</v>
      </c>
      <c r="I895">
        <v>1080</v>
      </c>
      <c r="J895">
        <v>1080</v>
      </c>
      <c r="K895">
        <v>34.85</v>
      </c>
      <c r="L895">
        <v>1</v>
      </c>
    </row>
    <row r="896" spans="1:12">
      <c r="A896">
        <v>3300</v>
      </c>
      <c r="B896" s="63" t="s">
        <v>832</v>
      </c>
      <c r="C896" s="63" t="s">
        <v>1369</v>
      </c>
      <c r="D896" s="63" t="s">
        <v>59</v>
      </c>
      <c r="E896" s="63" t="s">
        <v>174</v>
      </c>
      <c r="F896" s="63" t="s">
        <v>1811</v>
      </c>
      <c r="G896">
        <v>1</v>
      </c>
      <c r="H896">
        <v>60</v>
      </c>
      <c r="I896">
        <v>1080</v>
      </c>
      <c r="J896">
        <v>1080</v>
      </c>
      <c r="K896">
        <v>37.270000000000003</v>
      </c>
      <c r="L896">
        <v>1</v>
      </c>
    </row>
    <row r="897" spans="1:12">
      <c r="A897">
        <v>3300</v>
      </c>
      <c r="B897" s="63" t="s">
        <v>832</v>
      </c>
      <c r="C897" s="63" t="s">
        <v>1369</v>
      </c>
      <c r="D897" s="63" t="s">
        <v>59</v>
      </c>
      <c r="E897" s="63" t="s">
        <v>174</v>
      </c>
      <c r="F897" s="63" t="s">
        <v>1670</v>
      </c>
      <c r="G897">
        <v>1</v>
      </c>
      <c r="H897">
        <v>60</v>
      </c>
      <c r="I897">
        <v>1080</v>
      </c>
      <c r="J897">
        <v>1080</v>
      </c>
      <c r="K897">
        <v>28.25</v>
      </c>
      <c r="L897">
        <v>1</v>
      </c>
    </row>
    <row r="898" spans="1:12">
      <c r="A898">
        <v>3300</v>
      </c>
      <c r="B898" s="63" t="s">
        <v>832</v>
      </c>
      <c r="C898" s="63" t="s">
        <v>1369</v>
      </c>
      <c r="D898" s="63" t="s">
        <v>59</v>
      </c>
      <c r="E898" s="63" t="s">
        <v>174</v>
      </c>
      <c r="F898" s="63" t="s">
        <v>1072</v>
      </c>
      <c r="G898">
        <v>1</v>
      </c>
      <c r="H898">
        <v>60</v>
      </c>
      <c r="I898">
        <v>1080</v>
      </c>
      <c r="J898">
        <v>1080</v>
      </c>
      <c r="K898">
        <v>33.42</v>
      </c>
      <c r="L898">
        <v>1</v>
      </c>
    </row>
    <row r="899" spans="1:12">
      <c r="A899">
        <v>3300</v>
      </c>
      <c r="B899" s="63" t="s">
        <v>832</v>
      </c>
      <c r="C899" s="63" t="s">
        <v>1369</v>
      </c>
      <c r="D899" s="63" t="s">
        <v>59</v>
      </c>
      <c r="E899" s="63" t="s">
        <v>174</v>
      </c>
      <c r="F899" s="63" t="s">
        <v>2030</v>
      </c>
      <c r="G899">
        <v>1</v>
      </c>
      <c r="H899">
        <v>60</v>
      </c>
      <c r="I899">
        <v>1080</v>
      </c>
      <c r="J899">
        <v>1080</v>
      </c>
      <c r="K899">
        <v>31.42</v>
      </c>
      <c r="L899">
        <v>1</v>
      </c>
    </row>
    <row r="900" spans="1:12">
      <c r="A900">
        <v>3300</v>
      </c>
      <c r="B900" s="63" t="s">
        <v>832</v>
      </c>
      <c r="C900" s="63" t="s">
        <v>1369</v>
      </c>
      <c r="D900" s="63" t="s">
        <v>59</v>
      </c>
      <c r="E900" s="63" t="s">
        <v>174</v>
      </c>
      <c r="F900" s="63" t="s">
        <v>497</v>
      </c>
      <c r="G900">
        <v>1</v>
      </c>
      <c r="H900">
        <v>60</v>
      </c>
      <c r="I900">
        <v>1080</v>
      </c>
      <c r="J900">
        <v>1080</v>
      </c>
      <c r="K900">
        <v>45.55</v>
      </c>
      <c r="L900">
        <v>1</v>
      </c>
    </row>
    <row r="901" spans="1:12">
      <c r="A901">
        <v>3300</v>
      </c>
      <c r="B901" s="63" t="s">
        <v>832</v>
      </c>
      <c r="C901" s="63" t="s">
        <v>1369</v>
      </c>
      <c r="D901" s="63" t="s">
        <v>59</v>
      </c>
      <c r="E901" s="63" t="s">
        <v>174</v>
      </c>
      <c r="F901" s="63" t="s">
        <v>1445</v>
      </c>
      <c r="G901">
        <v>1</v>
      </c>
      <c r="H901">
        <v>60</v>
      </c>
      <c r="I901">
        <v>1080</v>
      </c>
      <c r="J901">
        <v>1080</v>
      </c>
      <c r="K901">
        <v>56.12</v>
      </c>
      <c r="L901">
        <v>2</v>
      </c>
    </row>
    <row r="902" spans="1:12">
      <c r="A902">
        <v>3300</v>
      </c>
      <c r="B902" s="63" t="s">
        <v>832</v>
      </c>
      <c r="C902" s="63" t="s">
        <v>1369</v>
      </c>
      <c r="D902" s="63" t="s">
        <v>59</v>
      </c>
      <c r="E902" s="63" t="s">
        <v>174</v>
      </c>
      <c r="F902" s="63" t="s">
        <v>1381</v>
      </c>
      <c r="G902">
        <v>1</v>
      </c>
      <c r="H902">
        <v>60</v>
      </c>
      <c r="I902">
        <v>1080</v>
      </c>
      <c r="J902">
        <v>1080</v>
      </c>
      <c r="K902">
        <v>36.92</v>
      </c>
      <c r="L902">
        <v>1</v>
      </c>
    </row>
    <row r="903" spans="1:12">
      <c r="A903">
        <v>3300</v>
      </c>
      <c r="B903" s="63" t="s">
        <v>832</v>
      </c>
      <c r="C903" s="63" t="s">
        <v>1369</v>
      </c>
      <c r="D903" s="63" t="s">
        <v>59</v>
      </c>
      <c r="E903" s="63" t="s">
        <v>174</v>
      </c>
      <c r="F903" s="63" t="s">
        <v>853</v>
      </c>
      <c r="G903">
        <v>1</v>
      </c>
      <c r="H903">
        <v>60</v>
      </c>
      <c r="I903">
        <v>1080</v>
      </c>
      <c r="J903">
        <v>1080</v>
      </c>
      <c r="K903">
        <v>40.78</v>
      </c>
      <c r="L903">
        <v>1</v>
      </c>
    </row>
    <row r="904" spans="1:12">
      <c r="A904">
        <v>3300</v>
      </c>
      <c r="B904" s="63" t="s">
        <v>832</v>
      </c>
      <c r="C904" s="63" t="s">
        <v>1369</v>
      </c>
      <c r="D904" s="63" t="s">
        <v>59</v>
      </c>
      <c r="E904" s="63" t="s">
        <v>174</v>
      </c>
      <c r="F904" s="63" t="s">
        <v>2557</v>
      </c>
      <c r="G904">
        <v>1</v>
      </c>
      <c r="H904">
        <v>60</v>
      </c>
      <c r="I904">
        <v>1080</v>
      </c>
      <c r="J904">
        <v>1080</v>
      </c>
      <c r="K904">
        <v>43.27</v>
      </c>
      <c r="L904">
        <v>1</v>
      </c>
    </row>
    <row r="905" spans="1:12">
      <c r="A905">
        <v>3300</v>
      </c>
      <c r="B905" s="63" t="s">
        <v>832</v>
      </c>
      <c r="C905" s="63" t="s">
        <v>1369</v>
      </c>
      <c r="D905" s="63" t="s">
        <v>59</v>
      </c>
      <c r="E905" s="63" t="s">
        <v>175</v>
      </c>
      <c r="F905" s="63" t="s">
        <v>1423</v>
      </c>
      <c r="G905">
        <v>1</v>
      </c>
      <c r="H905">
        <v>60</v>
      </c>
      <c r="I905">
        <v>1080</v>
      </c>
      <c r="J905">
        <v>1080</v>
      </c>
      <c r="K905">
        <v>51.65</v>
      </c>
      <c r="L905">
        <v>2</v>
      </c>
    </row>
    <row r="906" spans="1:12">
      <c r="A906">
        <v>3300</v>
      </c>
      <c r="B906" s="63" t="s">
        <v>832</v>
      </c>
      <c r="C906" s="63" t="s">
        <v>1369</v>
      </c>
      <c r="D906" s="63" t="s">
        <v>59</v>
      </c>
      <c r="E906" s="63" t="s">
        <v>175</v>
      </c>
      <c r="F906" s="63" t="s">
        <v>573</v>
      </c>
      <c r="G906">
        <v>1</v>
      </c>
      <c r="H906">
        <v>60</v>
      </c>
      <c r="I906">
        <v>1080</v>
      </c>
      <c r="J906">
        <v>1080</v>
      </c>
      <c r="K906">
        <v>28.08</v>
      </c>
      <c r="L906">
        <v>1</v>
      </c>
    </row>
    <row r="907" spans="1:12">
      <c r="A907">
        <v>3300</v>
      </c>
      <c r="B907" s="63" t="s">
        <v>832</v>
      </c>
      <c r="C907" s="63" t="s">
        <v>1369</v>
      </c>
      <c r="D907" s="63" t="s">
        <v>59</v>
      </c>
      <c r="E907" s="63" t="s">
        <v>175</v>
      </c>
      <c r="F907" s="63" t="s">
        <v>2558</v>
      </c>
      <c r="G907">
        <v>1</v>
      </c>
      <c r="H907">
        <v>60</v>
      </c>
      <c r="I907">
        <v>1080</v>
      </c>
      <c r="J907">
        <v>1080</v>
      </c>
      <c r="K907">
        <v>53.93</v>
      </c>
      <c r="L907">
        <v>2</v>
      </c>
    </row>
    <row r="908" spans="1:12">
      <c r="A908">
        <v>3300</v>
      </c>
      <c r="B908" s="63" t="s">
        <v>832</v>
      </c>
      <c r="C908" s="63" t="s">
        <v>1369</v>
      </c>
      <c r="D908" s="63" t="s">
        <v>59</v>
      </c>
      <c r="E908" s="63" t="s">
        <v>175</v>
      </c>
      <c r="F908" s="63" t="s">
        <v>1893</v>
      </c>
      <c r="G908">
        <v>1</v>
      </c>
      <c r="H908">
        <v>60</v>
      </c>
      <c r="I908">
        <v>1080</v>
      </c>
      <c r="J908">
        <v>1080</v>
      </c>
      <c r="K908">
        <v>56.03</v>
      </c>
      <c r="L908">
        <v>2</v>
      </c>
    </row>
    <row r="909" spans="1:12">
      <c r="A909">
        <v>3300</v>
      </c>
      <c r="B909" s="63" t="s">
        <v>832</v>
      </c>
      <c r="C909" s="63" t="s">
        <v>1369</v>
      </c>
      <c r="D909" s="63" t="s">
        <v>59</v>
      </c>
      <c r="E909" s="63" t="s">
        <v>175</v>
      </c>
      <c r="F909" s="63" t="s">
        <v>1348</v>
      </c>
      <c r="G909">
        <v>1</v>
      </c>
      <c r="H909">
        <v>60</v>
      </c>
      <c r="I909">
        <v>1080</v>
      </c>
      <c r="J909">
        <v>1080</v>
      </c>
      <c r="K909">
        <v>29.03</v>
      </c>
      <c r="L909">
        <v>1</v>
      </c>
    </row>
    <row r="910" spans="1:12">
      <c r="A910">
        <v>3300</v>
      </c>
      <c r="B910" s="63" t="s">
        <v>832</v>
      </c>
      <c r="C910" s="63" t="s">
        <v>1369</v>
      </c>
      <c r="D910" s="63" t="s">
        <v>59</v>
      </c>
      <c r="E910" s="63" t="s">
        <v>184</v>
      </c>
      <c r="F910" s="63" t="s">
        <v>2559</v>
      </c>
      <c r="G910">
        <v>1</v>
      </c>
      <c r="H910">
        <v>51</v>
      </c>
      <c r="I910">
        <v>918</v>
      </c>
      <c r="J910">
        <v>918</v>
      </c>
      <c r="K910">
        <v>67.72</v>
      </c>
      <c r="L910">
        <v>2</v>
      </c>
    </row>
    <row r="911" spans="1:12">
      <c r="A911">
        <v>3300</v>
      </c>
      <c r="B911" s="63" t="s">
        <v>832</v>
      </c>
      <c r="C911" s="63" t="s">
        <v>2560</v>
      </c>
      <c r="D911" s="63" t="s">
        <v>59</v>
      </c>
      <c r="E911" s="63" t="s">
        <v>203</v>
      </c>
      <c r="F911" s="63" t="s">
        <v>1812</v>
      </c>
      <c r="G911">
        <v>1</v>
      </c>
      <c r="H911">
        <v>60</v>
      </c>
      <c r="I911">
        <v>1080</v>
      </c>
      <c r="J911">
        <v>1080</v>
      </c>
      <c r="K911">
        <v>27.1</v>
      </c>
      <c r="L911">
        <v>2</v>
      </c>
    </row>
    <row r="912" spans="1:12">
      <c r="A912">
        <v>3300</v>
      </c>
      <c r="B912" s="63" t="s">
        <v>832</v>
      </c>
      <c r="C912" s="63" t="s">
        <v>2560</v>
      </c>
      <c r="D912" s="63" t="s">
        <v>59</v>
      </c>
      <c r="E912" s="63" t="s">
        <v>174</v>
      </c>
      <c r="F912" s="63" t="s">
        <v>1669</v>
      </c>
      <c r="G912">
        <v>1</v>
      </c>
      <c r="H912">
        <v>60</v>
      </c>
      <c r="I912">
        <v>1080</v>
      </c>
      <c r="J912">
        <v>1080</v>
      </c>
      <c r="K912">
        <v>28.17</v>
      </c>
      <c r="L912">
        <v>2</v>
      </c>
    </row>
    <row r="913" spans="1:12">
      <c r="A913">
        <v>3300</v>
      </c>
      <c r="B913" s="63" t="s">
        <v>844</v>
      </c>
      <c r="C913" s="63" t="s">
        <v>2500</v>
      </c>
      <c r="D913" s="63" t="s">
        <v>59</v>
      </c>
      <c r="G913">
        <v>1</v>
      </c>
      <c r="H913">
        <v>187</v>
      </c>
      <c r="I913">
        <v>3366</v>
      </c>
      <c r="J913">
        <v>3366</v>
      </c>
      <c r="K913">
        <v>3.15</v>
      </c>
      <c r="L913">
        <v>1</v>
      </c>
    </row>
    <row r="914" spans="1:12">
      <c r="A914">
        <v>3300</v>
      </c>
      <c r="B914" s="63" t="s">
        <v>844</v>
      </c>
      <c r="C914" s="63" t="s">
        <v>2500</v>
      </c>
      <c r="D914" s="63" t="s">
        <v>59</v>
      </c>
      <c r="E914" s="63" t="s">
        <v>1156</v>
      </c>
      <c r="F914" s="63" t="s">
        <v>1383</v>
      </c>
      <c r="G914">
        <v>1</v>
      </c>
      <c r="H914">
        <v>60</v>
      </c>
      <c r="I914">
        <v>1080</v>
      </c>
      <c r="J914">
        <v>1080</v>
      </c>
      <c r="K914">
        <v>31.35</v>
      </c>
      <c r="L914">
        <v>1</v>
      </c>
    </row>
    <row r="915" spans="1:12">
      <c r="A915">
        <v>3300</v>
      </c>
      <c r="B915" s="63" t="s">
        <v>844</v>
      </c>
      <c r="C915" s="63" t="s">
        <v>2500</v>
      </c>
      <c r="D915" s="63" t="s">
        <v>59</v>
      </c>
      <c r="E915" s="63" t="s">
        <v>1156</v>
      </c>
      <c r="F915" s="63" t="s">
        <v>774</v>
      </c>
      <c r="G915">
        <v>1</v>
      </c>
      <c r="H915">
        <v>60</v>
      </c>
      <c r="I915">
        <v>1080</v>
      </c>
      <c r="J915">
        <v>1080</v>
      </c>
      <c r="K915">
        <v>32.270000000000003</v>
      </c>
      <c r="L915">
        <v>1</v>
      </c>
    </row>
    <row r="916" spans="1:12">
      <c r="A916">
        <v>3300</v>
      </c>
      <c r="B916" s="63" t="s">
        <v>844</v>
      </c>
      <c r="C916" s="63" t="s">
        <v>2500</v>
      </c>
      <c r="D916" s="63" t="s">
        <v>59</v>
      </c>
      <c r="E916" s="63" t="s">
        <v>605</v>
      </c>
      <c r="F916" s="63" t="s">
        <v>1225</v>
      </c>
      <c r="G916">
        <v>1</v>
      </c>
      <c r="H916">
        <v>60</v>
      </c>
      <c r="I916">
        <v>1080</v>
      </c>
      <c r="J916">
        <v>1080</v>
      </c>
      <c r="K916">
        <v>35.25</v>
      </c>
      <c r="L916">
        <v>1</v>
      </c>
    </row>
    <row r="917" spans="1:12">
      <c r="A917">
        <v>3300</v>
      </c>
      <c r="B917" s="63" t="s">
        <v>844</v>
      </c>
      <c r="C917" s="63" t="s">
        <v>2500</v>
      </c>
      <c r="D917" s="63" t="s">
        <v>59</v>
      </c>
      <c r="E917" s="63" t="s">
        <v>605</v>
      </c>
      <c r="F917" s="63" t="s">
        <v>1311</v>
      </c>
      <c r="G917">
        <v>1</v>
      </c>
      <c r="H917">
        <v>60</v>
      </c>
      <c r="I917">
        <v>1080</v>
      </c>
      <c r="J917">
        <v>1080</v>
      </c>
      <c r="K917">
        <v>34.57</v>
      </c>
      <c r="L917">
        <v>1</v>
      </c>
    </row>
    <row r="918" spans="1:12">
      <c r="A918">
        <v>3300</v>
      </c>
      <c r="B918" s="63" t="s">
        <v>844</v>
      </c>
      <c r="C918" s="63" t="s">
        <v>2500</v>
      </c>
      <c r="D918" s="63" t="s">
        <v>59</v>
      </c>
      <c r="E918" s="63" t="s">
        <v>174</v>
      </c>
      <c r="F918" s="63" t="s">
        <v>1827</v>
      </c>
      <c r="G918">
        <v>1</v>
      </c>
      <c r="H918">
        <v>60</v>
      </c>
      <c r="I918">
        <v>1080</v>
      </c>
      <c r="J918">
        <v>1080</v>
      </c>
      <c r="K918">
        <v>1.45</v>
      </c>
      <c r="L918">
        <v>0</v>
      </c>
    </row>
    <row r="919" spans="1:12">
      <c r="A919">
        <v>3300</v>
      </c>
      <c r="B919" s="63" t="s">
        <v>844</v>
      </c>
      <c r="C919" s="63" t="s">
        <v>2500</v>
      </c>
      <c r="D919" s="63" t="s">
        <v>59</v>
      </c>
      <c r="E919" s="63" t="s">
        <v>175</v>
      </c>
      <c r="F919" s="63" t="s">
        <v>537</v>
      </c>
      <c r="G919">
        <v>1</v>
      </c>
      <c r="H919">
        <v>60</v>
      </c>
      <c r="I919">
        <v>1080</v>
      </c>
      <c r="J919">
        <v>1080</v>
      </c>
      <c r="K919">
        <v>5.03</v>
      </c>
      <c r="L919">
        <v>0</v>
      </c>
    </row>
    <row r="920" spans="1:12">
      <c r="A920">
        <v>3300</v>
      </c>
      <c r="B920" s="63" t="s">
        <v>844</v>
      </c>
      <c r="C920" s="63" t="s">
        <v>2500</v>
      </c>
      <c r="D920" s="63" t="s">
        <v>59</v>
      </c>
      <c r="E920" s="63" t="s">
        <v>175</v>
      </c>
      <c r="F920" s="63" t="s">
        <v>870</v>
      </c>
      <c r="G920">
        <v>1</v>
      </c>
      <c r="H920">
        <v>60</v>
      </c>
      <c r="I920">
        <v>1080</v>
      </c>
      <c r="J920">
        <v>1080</v>
      </c>
      <c r="K920">
        <v>21.65</v>
      </c>
      <c r="L920">
        <v>1</v>
      </c>
    </row>
    <row r="921" spans="1:12">
      <c r="A921">
        <v>3300</v>
      </c>
      <c r="B921" s="63" t="s">
        <v>844</v>
      </c>
      <c r="C921" s="63" t="s">
        <v>2500</v>
      </c>
      <c r="D921" s="63" t="s">
        <v>59</v>
      </c>
      <c r="E921" s="63" t="s">
        <v>175</v>
      </c>
      <c r="F921" s="63" t="s">
        <v>1312</v>
      </c>
      <c r="G921">
        <v>1</v>
      </c>
      <c r="H921">
        <v>60</v>
      </c>
      <c r="I921">
        <v>1080</v>
      </c>
      <c r="J921">
        <v>1080</v>
      </c>
      <c r="K921">
        <v>5.9</v>
      </c>
      <c r="L921">
        <v>0</v>
      </c>
    </row>
    <row r="922" spans="1:12">
      <c r="A922">
        <v>3300</v>
      </c>
      <c r="B922" s="63" t="s">
        <v>844</v>
      </c>
      <c r="C922" s="63" t="s">
        <v>2500</v>
      </c>
      <c r="D922" s="63" t="s">
        <v>59</v>
      </c>
      <c r="E922" s="63" t="s">
        <v>175</v>
      </c>
      <c r="F922" s="63" t="s">
        <v>1269</v>
      </c>
      <c r="G922">
        <v>1</v>
      </c>
      <c r="H922">
        <v>60</v>
      </c>
      <c r="I922">
        <v>1080</v>
      </c>
      <c r="J922">
        <v>1080</v>
      </c>
      <c r="K922">
        <v>26.62</v>
      </c>
      <c r="L922">
        <v>1</v>
      </c>
    </row>
    <row r="923" spans="1:12">
      <c r="A923">
        <v>3300</v>
      </c>
      <c r="B923" s="63" t="s">
        <v>844</v>
      </c>
      <c r="C923" s="63" t="s">
        <v>2500</v>
      </c>
      <c r="D923" s="63" t="s">
        <v>59</v>
      </c>
      <c r="E923" s="63" t="s">
        <v>175</v>
      </c>
      <c r="F923" s="63" t="s">
        <v>1238</v>
      </c>
      <c r="G923">
        <v>1</v>
      </c>
      <c r="H923">
        <v>60</v>
      </c>
      <c r="I923">
        <v>1080</v>
      </c>
      <c r="J923">
        <v>1080</v>
      </c>
      <c r="K923">
        <v>25.25</v>
      </c>
      <c r="L923">
        <v>1</v>
      </c>
    </row>
    <row r="924" spans="1:12">
      <c r="A924">
        <v>3300</v>
      </c>
      <c r="B924" s="63" t="s">
        <v>844</v>
      </c>
      <c r="C924" s="63" t="s">
        <v>2500</v>
      </c>
      <c r="D924" s="63" t="s">
        <v>59</v>
      </c>
      <c r="E924" s="63" t="s">
        <v>175</v>
      </c>
      <c r="F924" s="63" t="s">
        <v>1323</v>
      </c>
      <c r="G924">
        <v>1</v>
      </c>
      <c r="H924">
        <v>60</v>
      </c>
      <c r="I924">
        <v>1080</v>
      </c>
      <c r="J924">
        <v>1080</v>
      </c>
      <c r="K924">
        <v>29.35</v>
      </c>
      <c r="L924">
        <v>2</v>
      </c>
    </row>
    <row r="925" spans="1:12">
      <c r="A925">
        <v>3300</v>
      </c>
      <c r="B925" s="63" t="s">
        <v>844</v>
      </c>
      <c r="C925" s="63" t="s">
        <v>2500</v>
      </c>
      <c r="D925" s="63" t="s">
        <v>59</v>
      </c>
      <c r="E925" s="63" t="s">
        <v>175</v>
      </c>
      <c r="F925" s="63" t="s">
        <v>2093</v>
      </c>
      <c r="G925">
        <v>1</v>
      </c>
      <c r="H925">
        <v>60</v>
      </c>
      <c r="I925">
        <v>1078</v>
      </c>
      <c r="J925">
        <v>1078</v>
      </c>
      <c r="K925">
        <v>24.92</v>
      </c>
      <c r="L925">
        <v>1</v>
      </c>
    </row>
    <row r="926" spans="1:12">
      <c r="A926">
        <v>3300</v>
      </c>
      <c r="B926" s="63" t="s">
        <v>844</v>
      </c>
      <c r="C926" s="63" t="s">
        <v>2500</v>
      </c>
      <c r="D926" s="63" t="s">
        <v>59</v>
      </c>
      <c r="E926" s="63" t="s">
        <v>175</v>
      </c>
      <c r="F926" s="63" t="s">
        <v>1991</v>
      </c>
      <c r="G926">
        <v>1</v>
      </c>
      <c r="H926">
        <v>60</v>
      </c>
      <c r="I926">
        <v>1080</v>
      </c>
      <c r="J926">
        <v>1080</v>
      </c>
      <c r="K926">
        <v>4.5999999999999996</v>
      </c>
      <c r="L926">
        <v>0</v>
      </c>
    </row>
    <row r="927" spans="1:12">
      <c r="A927">
        <v>3300</v>
      </c>
      <c r="B927" s="63" t="s">
        <v>844</v>
      </c>
      <c r="C927" s="63" t="s">
        <v>2500</v>
      </c>
      <c r="D927" s="63" t="s">
        <v>59</v>
      </c>
      <c r="E927" s="63" t="s">
        <v>175</v>
      </c>
      <c r="F927" s="63" t="s">
        <v>971</v>
      </c>
      <c r="G927">
        <v>1</v>
      </c>
      <c r="H927">
        <v>60</v>
      </c>
      <c r="I927">
        <v>1080</v>
      </c>
      <c r="J927">
        <v>1080</v>
      </c>
      <c r="K927">
        <v>6.18</v>
      </c>
      <c r="L927">
        <v>0</v>
      </c>
    </row>
    <row r="928" spans="1:12">
      <c r="A928">
        <v>3300</v>
      </c>
      <c r="B928" s="63" t="s">
        <v>844</v>
      </c>
      <c r="C928" s="63" t="s">
        <v>2500</v>
      </c>
      <c r="D928" s="63" t="s">
        <v>59</v>
      </c>
      <c r="E928" s="63" t="s">
        <v>175</v>
      </c>
      <c r="F928" s="63" t="s">
        <v>1271</v>
      </c>
      <c r="G928">
        <v>1</v>
      </c>
      <c r="H928">
        <v>40</v>
      </c>
      <c r="I928">
        <v>720</v>
      </c>
      <c r="J928">
        <v>720</v>
      </c>
      <c r="K928">
        <v>10.47</v>
      </c>
      <c r="L928">
        <v>0</v>
      </c>
    </row>
    <row r="929" spans="1:12">
      <c r="A929">
        <v>3300</v>
      </c>
      <c r="B929" s="63" t="s">
        <v>844</v>
      </c>
      <c r="C929" s="63" t="s">
        <v>2500</v>
      </c>
      <c r="D929" s="63" t="s">
        <v>59</v>
      </c>
      <c r="E929" s="63" t="s">
        <v>175</v>
      </c>
      <c r="F929" s="63" t="s">
        <v>1534</v>
      </c>
      <c r="G929">
        <v>1</v>
      </c>
      <c r="H929">
        <v>60</v>
      </c>
      <c r="I929">
        <v>1079</v>
      </c>
      <c r="J929">
        <v>1079</v>
      </c>
      <c r="K929">
        <v>21.33</v>
      </c>
      <c r="L929">
        <v>1</v>
      </c>
    </row>
    <row r="930" spans="1:12">
      <c r="A930">
        <v>3300</v>
      </c>
      <c r="B930" s="63" t="s">
        <v>844</v>
      </c>
      <c r="C930" s="63" t="s">
        <v>2500</v>
      </c>
      <c r="D930" s="63" t="s">
        <v>59</v>
      </c>
      <c r="E930" s="63" t="s">
        <v>175</v>
      </c>
      <c r="F930" s="63" t="s">
        <v>613</v>
      </c>
      <c r="G930">
        <v>1</v>
      </c>
      <c r="H930">
        <v>60</v>
      </c>
      <c r="I930">
        <v>1080</v>
      </c>
      <c r="J930">
        <v>1080</v>
      </c>
      <c r="K930">
        <v>27.95</v>
      </c>
      <c r="L930">
        <v>1</v>
      </c>
    </row>
    <row r="931" spans="1:12">
      <c r="A931">
        <v>3300</v>
      </c>
      <c r="B931" s="63" t="s">
        <v>844</v>
      </c>
      <c r="C931" s="63" t="s">
        <v>2500</v>
      </c>
      <c r="D931" s="63" t="s">
        <v>59</v>
      </c>
      <c r="E931" s="63" t="s">
        <v>175</v>
      </c>
      <c r="F931" s="63" t="s">
        <v>879</v>
      </c>
      <c r="G931">
        <v>1</v>
      </c>
      <c r="H931">
        <v>60</v>
      </c>
      <c r="I931">
        <v>1080</v>
      </c>
      <c r="J931">
        <v>1080</v>
      </c>
      <c r="K931">
        <v>22.72</v>
      </c>
      <c r="L931">
        <v>1</v>
      </c>
    </row>
    <row r="932" spans="1:12">
      <c r="A932">
        <v>3300</v>
      </c>
      <c r="B932" s="63" t="s">
        <v>844</v>
      </c>
      <c r="C932" s="63" t="s">
        <v>2500</v>
      </c>
      <c r="D932" s="63" t="s">
        <v>59</v>
      </c>
      <c r="E932" s="63" t="s">
        <v>175</v>
      </c>
      <c r="F932" s="63" t="s">
        <v>1604</v>
      </c>
      <c r="G932">
        <v>1</v>
      </c>
      <c r="H932">
        <v>20</v>
      </c>
      <c r="I932">
        <v>360</v>
      </c>
      <c r="J932">
        <v>360</v>
      </c>
      <c r="K932">
        <v>9.18</v>
      </c>
      <c r="L932">
        <v>0</v>
      </c>
    </row>
    <row r="933" spans="1:12">
      <c r="A933">
        <v>3300</v>
      </c>
      <c r="B933" s="63" t="s">
        <v>844</v>
      </c>
      <c r="C933" s="63" t="s">
        <v>2500</v>
      </c>
      <c r="D933" s="63" t="s">
        <v>59</v>
      </c>
      <c r="E933" s="63" t="s">
        <v>175</v>
      </c>
      <c r="F933" s="63" t="s">
        <v>1289</v>
      </c>
      <c r="G933">
        <v>1</v>
      </c>
      <c r="H933">
        <v>60</v>
      </c>
      <c r="I933">
        <v>1080</v>
      </c>
      <c r="J933">
        <v>1080</v>
      </c>
      <c r="K933">
        <v>30.47</v>
      </c>
      <c r="L933">
        <v>1</v>
      </c>
    </row>
    <row r="934" spans="1:12">
      <c r="A934">
        <v>3300</v>
      </c>
      <c r="B934" s="63" t="s">
        <v>844</v>
      </c>
      <c r="C934" s="63" t="s">
        <v>2500</v>
      </c>
      <c r="D934" s="63" t="s">
        <v>59</v>
      </c>
      <c r="E934" s="63" t="s">
        <v>175</v>
      </c>
      <c r="F934" s="63" t="s">
        <v>538</v>
      </c>
      <c r="G934">
        <v>1</v>
      </c>
      <c r="H934">
        <v>60</v>
      </c>
      <c r="I934">
        <v>1080</v>
      </c>
      <c r="J934">
        <v>1080</v>
      </c>
      <c r="K934">
        <v>7.77</v>
      </c>
      <c r="L934">
        <v>0</v>
      </c>
    </row>
    <row r="935" spans="1:12">
      <c r="A935">
        <v>3300</v>
      </c>
      <c r="B935" s="63" t="s">
        <v>844</v>
      </c>
      <c r="C935" s="63" t="s">
        <v>2500</v>
      </c>
      <c r="D935" s="63" t="s">
        <v>59</v>
      </c>
      <c r="E935" s="63" t="s">
        <v>175</v>
      </c>
      <c r="F935" s="63" t="s">
        <v>2561</v>
      </c>
      <c r="G935">
        <v>1</v>
      </c>
      <c r="H935">
        <v>60</v>
      </c>
      <c r="I935">
        <v>1080</v>
      </c>
      <c r="J935">
        <v>1080</v>
      </c>
      <c r="K935">
        <v>23.8</v>
      </c>
      <c r="L935">
        <v>1</v>
      </c>
    </row>
    <row r="936" spans="1:12">
      <c r="A936">
        <v>3300</v>
      </c>
      <c r="B936" s="63" t="s">
        <v>844</v>
      </c>
      <c r="C936" s="63" t="s">
        <v>2500</v>
      </c>
      <c r="D936" s="63" t="s">
        <v>59</v>
      </c>
      <c r="E936" s="63" t="s">
        <v>175</v>
      </c>
      <c r="F936" s="63" t="s">
        <v>602</v>
      </c>
      <c r="G936">
        <v>1</v>
      </c>
      <c r="H936">
        <v>60</v>
      </c>
      <c r="I936">
        <v>1080</v>
      </c>
      <c r="J936">
        <v>1080</v>
      </c>
      <c r="K936">
        <v>30.18</v>
      </c>
      <c r="L936">
        <v>1</v>
      </c>
    </row>
    <row r="937" spans="1:12">
      <c r="A937">
        <v>3300</v>
      </c>
      <c r="B937" s="63" t="s">
        <v>844</v>
      </c>
      <c r="C937" s="63" t="s">
        <v>2500</v>
      </c>
      <c r="D937" s="63" t="s">
        <v>59</v>
      </c>
      <c r="E937" s="63" t="s">
        <v>175</v>
      </c>
      <c r="F937" s="63" t="s">
        <v>1527</v>
      </c>
      <c r="G937">
        <v>1</v>
      </c>
      <c r="H937">
        <v>60</v>
      </c>
      <c r="I937">
        <v>1080</v>
      </c>
      <c r="J937">
        <v>1080</v>
      </c>
      <c r="K937">
        <v>9.48</v>
      </c>
      <c r="L937">
        <v>0</v>
      </c>
    </row>
    <row r="938" spans="1:12">
      <c r="A938">
        <v>3300</v>
      </c>
      <c r="B938" s="63" t="s">
        <v>844</v>
      </c>
      <c r="C938" s="63" t="s">
        <v>2500</v>
      </c>
      <c r="D938" s="63" t="s">
        <v>59</v>
      </c>
      <c r="E938" s="63" t="s">
        <v>175</v>
      </c>
      <c r="F938" s="63" t="s">
        <v>772</v>
      </c>
      <c r="G938">
        <v>1</v>
      </c>
      <c r="H938">
        <v>60</v>
      </c>
      <c r="I938">
        <v>1080</v>
      </c>
      <c r="J938">
        <v>1080</v>
      </c>
      <c r="K938">
        <v>28.8</v>
      </c>
      <c r="L938">
        <v>1</v>
      </c>
    </row>
    <row r="939" spans="1:12">
      <c r="A939">
        <v>3300</v>
      </c>
      <c r="B939" s="63" t="s">
        <v>844</v>
      </c>
      <c r="C939" s="63" t="s">
        <v>2500</v>
      </c>
      <c r="D939" s="63" t="s">
        <v>59</v>
      </c>
      <c r="E939" s="63" t="s">
        <v>175</v>
      </c>
      <c r="F939" s="63" t="s">
        <v>577</v>
      </c>
      <c r="G939">
        <v>1</v>
      </c>
      <c r="H939">
        <v>60</v>
      </c>
      <c r="I939">
        <v>1080</v>
      </c>
      <c r="J939">
        <v>1080</v>
      </c>
      <c r="K939">
        <v>2.37</v>
      </c>
      <c r="L939">
        <v>0</v>
      </c>
    </row>
    <row r="940" spans="1:12">
      <c r="A940">
        <v>3300</v>
      </c>
      <c r="B940" s="63" t="s">
        <v>844</v>
      </c>
      <c r="C940" s="63" t="s">
        <v>2500</v>
      </c>
      <c r="D940" s="63" t="s">
        <v>59</v>
      </c>
      <c r="E940" s="63" t="s">
        <v>175</v>
      </c>
      <c r="F940" s="63" t="s">
        <v>1039</v>
      </c>
      <c r="G940">
        <v>1</v>
      </c>
      <c r="H940">
        <v>60</v>
      </c>
      <c r="I940">
        <v>1080</v>
      </c>
      <c r="J940">
        <v>1080</v>
      </c>
      <c r="K940">
        <v>10.25</v>
      </c>
      <c r="L940">
        <v>1</v>
      </c>
    </row>
    <row r="941" spans="1:12">
      <c r="A941">
        <v>3300</v>
      </c>
      <c r="B941" s="63" t="s">
        <v>844</v>
      </c>
      <c r="C941" s="63" t="s">
        <v>2500</v>
      </c>
      <c r="D941" s="63" t="s">
        <v>59</v>
      </c>
      <c r="E941" s="63" t="s">
        <v>175</v>
      </c>
      <c r="F941" s="63" t="s">
        <v>851</v>
      </c>
      <c r="G941">
        <v>1</v>
      </c>
      <c r="H941">
        <v>60</v>
      </c>
      <c r="I941">
        <v>1080</v>
      </c>
      <c r="J941">
        <v>1080</v>
      </c>
      <c r="K941">
        <v>19.149999999999999</v>
      </c>
      <c r="L941">
        <v>1</v>
      </c>
    </row>
    <row r="942" spans="1:12">
      <c r="A942">
        <v>3300</v>
      </c>
      <c r="B942" s="63" t="s">
        <v>844</v>
      </c>
      <c r="C942" s="63" t="s">
        <v>2500</v>
      </c>
      <c r="D942" s="63" t="s">
        <v>59</v>
      </c>
      <c r="E942" s="63" t="s">
        <v>175</v>
      </c>
      <c r="F942" s="63" t="s">
        <v>1332</v>
      </c>
      <c r="G942">
        <v>1</v>
      </c>
      <c r="H942">
        <v>60</v>
      </c>
      <c r="I942">
        <v>1080</v>
      </c>
      <c r="J942">
        <v>1080</v>
      </c>
      <c r="K942">
        <v>20.95</v>
      </c>
      <c r="L942">
        <v>1</v>
      </c>
    </row>
    <row r="943" spans="1:12">
      <c r="A943">
        <v>3300</v>
      </c>
      <c r="B943" s="63" t="s">
        <v>844</v>
      </c>
      <c r="C943" s="63" t="s">
        <v>2500</v>
      </c>
      <c r="D943" s="63" t="s">
        <v>59</v>
      </c>
      <c r="E943" s="63" t="s">
        <v>175</v>
      </c>
      <c r="F943" s="63" t="s">
        <v>1392</v>
      </c>
      <c r="G943">
        <v>1</v>
      </c>
      <c r="H943">
        <v>60</v>
      </c>
      <c r="I943">
        <v>1080</v>
      </c>
      <c r="J943">
        <v>1080</v>
      </c>
      <c r="K943">
        <v>24.98</v>
      </c>
      <c r="L943">
        <v>1</v>
      </c>
    </row>
    <row r="944" spans="1:12">
      <c r="A944">
        <v>3300</v>
      </c>
      <c r="B944" s="63" t="s">
        <v>844</v>
      </c>
      <c r="C944" s="63" t="s">
        <v>2500</v>
      </c>
      <c r="D944" s="63" t="s">
        <v>59</v>
      </c>
      <c r="E944" s="63" t="s">
        <v>175</v>
      </c>
      <c r="F944" s="63" t="s">
        <v>1828</v>
      </c>
      <c r="G944">
        <v>1</v>
      </c>
      <c r="H944">
        <v>38</v>
      </c>
      <c r="I944">
        <v>684</v>
      </c>
      <c r="J944">
        <v>684</v>
      </c>
      <c r="K944">
        <v>20.28</v>
      </c>
      <c r="L944">
        <v>1</v>
      </c>
    </row>
    <row r="945" spans="1:12">
      <c r="A945">
        <v>3300</v>
      </c>
      <c r="B945" s="63" t="s">
        <v>844</v>
      </c>
      <c r="C945" s="63" t="s">
        <v>2500</v>
      </c>
      <c r="D945" s="63" t="s">
        <v>59</v>
      </c>
      <c r="E945" s="63" t="s">
        <v>175</v>
      </c>
      <c r="F945" s="63" t="s">
        <v>482</v>
      </c>
      <c r="G945">
        <v>1</v>
      </c>
      <c r="H945">
        <v>60</v>
      </c>
      <c r="I945">
        <v>1080</v>
      </c>
      <c r="J945">
        <v>1080</v>
      </c>
      <c r="K945">
        <v>6.98</v>
      </c>
      <c r="L945">
        <v>0</v>
      </c>
    </row>
    <row r="946" spans="1:12">
      <c r="A946">
        <v>3300</v>
      </c>
      <c r="B946" s="63" t="s">
        <v>844</v>
      </c>
      <c r="C946" s="63" t="s">
        <v>2500</v>
      </c>
      <c r="D946" s="63" t="s">
        <v>59</v>
      </c>
      <c r="E946" s="63" t="s">
        <v>175</v>
      </c>
      <c r="F946" s="63" t="s">
        <v>1218</v>
      </c>
      <c r="G946">
        <v>1</v>
      </c>
      <c r="H946">
        <v>60</v>
      </c>
      <c r="I946">
        <v>1080</v>
      </c>
      <c r="J946">
        <v>1080</v>
      </c>
      <c r="K946">
        <v>0.7</v>
      </c>
      <c r="L946">
        <v>0</v>
      </c>
    </row>
    <row r="947" spans="1:12">
      <c r="A947">
        <v>3300</v>
      </c>
      <c r="B947" s="63" t="s">
        <v>844</v>
      </c>
      <c r="C947" s="63" t="s">
        <v>2500</v>
      </c>
      <c r="D947" s="63" t="s">
        <v>374</v>
      </c>
      <c r="G947">
        <v>1</v>
      </c>
      <c r="H947">
        <v>2</v>
      </c>
      <c r="I947">
        <v>36</v>
      </c>
      <c r="J947">
        <v>36</v>
      </c>
      <c r="K947">
        <v>3.63</v>
      </c>
      <c r="L947">
        <v>1</v>
      </c>
    </row>
    <row r="948" spans="1:12">
      <c r="A948">
        <v>3300</v>
      </c>
      <c r="B948" s="63" t="s">
        <v>844</v>
      </c>
      <c r="C948" s="63" t="s">
        <v>2500</v>
      </c>
      <c r="D948" s="63" t="s">
        <v>374</v>
      </c>
      <c r="E948" s="63" t="s">
        <v>175</v>
      </c>
      <c r="F948" s="63" t="s">
        <v>2562</v>
      </c>
      <c r="G948">
        <v>1</v>
      </c>
      <c r="H948">
        <v>55</v>
      </c>
      <c r="I948">
        <v>990</v>
      </c>
      <c r="J948">
        <v>990</v>
      </c>
      <c r="K948">
        <v>30.32</v>
      </c>
      <c r="L948">
        <v>1</v>
      </c>
    </row>
    <row r="949" spans="1:12">
      <c r="A949">
        <v>3300</v>
      </c>
      <c r="B949" s="63" t="s">
        <v>1796</v>
      </c>
      <c r="C949" s="63" t="s">
        <v>2509</v>
      </c>
      <c r="D949" s="63" t="s">
        <v>285</v>
      </c>
      <c r="G949">
        <v>1</v>
      </c>
      <c r="H949">
        <v>5</v>
      </c>
      <c r="I949">
        <v>15</v>
      </c>
      <c r="J949">
        <v>15</v>
      </c>
      <c r="K949">
        <v>4.5199999999999996</v>
      </c>
      <c r="L949">
        <v>0</v>
      </c>
    </row>
    <row r="950" spans="1:12">
      <c r="A950">
        <v>3300</v>
      </c>
      <c r="B950" s="63" t="s">
        <v>1796</v>
      </c>
      <c r="C950" s="63" t="s">
        <v>2509</v>
      </c>
      <c r="D950" s="63" t="s">
        <v>285</v>
      </c>
      <c r="E950" s="63" t="s">
        <v>993</v>
      </c>
      <c r="F950" s="63" t="s">
        <v>1346</v>
      </c>
      <c r="G950">
        <v>1</v>
      </c>
      <c r="H950">
        <v>27</v>
      </c>
      <c r="I950">
        <v>81</v>
      </c>
      <c r="J950">
        <v>81</v>
      </c>
      <c r="K950">
        <v>2.8</v>
      </c>
      <c r="L950">
        <v>0</v>
      </c>
    </row>
    <row r="951" spans="1:12">
      <c r="A951">
        <v>3300</v>
      </c>
      <c r="B951" s="63" t="s">
        <v>1796</v>
      </c>
      <c r="C951" s="63" t="s">
        <v>2509</v>
      </c>
      <c r="D951" s="63" t="s">
        <v>285</v>
      </c>
      <c r="E951" s="63" t="s">
        <v>993</v>
      </c>
      <c r="F951" s="63" t="s">
        <v>1161</v>
      </c>
      <c r="G951">
        <v>1</v>
      </c>
      <c r="H951">
        <v>60</v>
      </c>
      <c r="I951">
        <v>180</v>
      </c>
      <c r="J951">
        <v>180</v>
      </c>
      <c r="K951">
        <v>3.18</v>
      </c>
      <c r="L951">
        <v>0</v>
      </c>
    </row>
    <row r="952" spans="1:12">
      <c r="A952">
        <v>3310</v>
      </c>
      <c r="B952" s="63" t="s">
        <v>844</v>
      </c>
      <c r="C952" s="63" t="s">
        <v>2500</v>
      </c>
      <c r="D952" s="63" t="s">
        <v>59</v>
      </c>
      <c r="E952" s="63" t="s">
        <v>173</v>
      </c>
      <c r="F952" s="63" t="s">
        <v>902</v>
      </c>
      <c r="G952">
        <v>1</v>
      </c>
      <c r="H952">
        <v>37</v>
      </c>
      <c r="I952">
        <v>666</v>
      </c>
      <c r="J952">
        <v>666</v>
      </c>
      <c r="K952">
        <v>1.43</v>
      </c>
      <c r="L952">
        <v>1</v>
      </c>
    </row>
    <row r="953" spans="1:12">
      <c r="A953">
        <v>3310</v>
      </c>
      <c r="B953" s="63" t="s">
        <v>2563</v>
      </c>
      <c r="C953" s="63" t="s">
        <v>2564</v>
      </c>
      <c r="D953" s="63" t="s">
        <v>285</v>
      </c>
      <c r="E953" s="63" t="s">
        <v>173</v>
      </c>
      <c r="F953" s="63" t="s">
        <v>479</v>
      </c>
      <c r="G953">
        <v>1</v>
      </c>
      <c r="H953">
        <v>19</v>
      </c>
      <c r="I953">
        <v>114</v>
      </c>
      <c r="J953">
        <v>114</v>
      </c>
      <c r="K953">
        <v>4.18</v>
      </c>
      <c r="L953">
        <v>0</v>
      </c>
    </row>
    <row r="954" spans="1:12">
      <c r="A954">
        <v>3330</v>
      </c>
      <c r="B954" s="63" t="s">
        <v>844</v>
      </c>
      <c r="C954" s="63" t="s">
        <v>2500</v>
      </c>
      <c r="D954" s="63" t="s">
        <v>59</v>
      </c>
      <c r="E954" s="63" t="s">
        <v>172</v>
      </c>
      <c r="F954" s="63" t="s">
        <v>1941</v>
      </c>
      <c r="G954">
        <v>1</v>
      </c>
      <c r="H954">
        <v>60</v>
      </c>
      <c r="I954">
        <v>1080</v>
      </c>
      <c r="J954">
        <v>1080</v>
      </c>
      <c r="K954">
        <v>1.27</v>
      </c>
      <c r="L954">
        <v>1</v>
      </c>
    </row>
    <row r="955" spans="1:12">
      <c r="A955">
        <v>3350</v>
      </c>
      <c r="B955" s="63" t="s">
        <v>844</v>
      </c>
      <c r="C955" s="63" t="s">
        <v>2500</v>
      </c>
      <c r="D955" s="63" t="s">
        <v>59</v>
      </c>
      <c r="E955" s="63" t="s">
        <v>172</v>
      </c>
      <c r="F955" s="63" t="s">
        <v>2031</v>
      </c>
      <c r="G955">
        <v>1</v>
      </c>
      <c r="H955">
        <v>59</v>
      </c>
      <c r="I955">
        <v>1062</v>
      </c>
      <c r="J955">
        <v>1062</v>
      </c>
      <c r="K955">
        <v>3.92</v>
      </c>
      <c r="L955">
        <v>0</v>
      </c>
    </row>
    <row r="956" spans="1:12">
      <c r="A956">
        <v>3350</v>
      </c>
      <c r="B956" s="63" t="s">
        <v>1796</v>
      </c>
      <c r="C956" s="63" t="s">
        <v>2509</v>
      </c>
      <c r="D956" s="63" t="s">
        <v>285</v>
      </c>
      <c r="E956" s="63" t="s">
        <v>173</v>
      </c>
      <c r="F956" s="63" t="s">
        <v>1414</v>
      </c>
      <c r="G956">
        <v>1</v>
      </c>
      <c r="H956">
        <v>3</v>
      </c>
      <c r="I956">
        <v>9</v>
      </c>
      <c r="J956">
        <v>9</v>
      </c>
      <c r="K956">
        <v>1.58</v>
      </c>
      <c r="L956">
        <v>0</v>
      </c>
    </row>
    <row r="957" spans="1:12">
      <c r="A957">
        <v>3390</v>
      </c>
      <c r="B957" s="63" t="s">
        <v>844</v>
      </c>
      <c r="C957" s="63" t="s">
        <v>2500</v>
      </c>
      <c r="D957" s="63" t="s">
        <v>59</v>
      </c>
      <c r="E957" s="63" t="s">
        <v>175</v>
      </c>
      <c r="F957" s="63" t="s">
        <v>1021</v>
      </c>
      <c r="G957">
        <v>1</v>
      </c>
      <c r="H957">
        <v>60</v>
      </c>
      <c r="I957">
        <v>1080</v>
      </c>
      <c r="J957">
        <v>1080</v>
      </c>
      <c r="K957">
        <v>2.85</v>
      </c>
      <c r="L957">
        <v>1</v>
      </c>
    </row>
    <row r="958" spans="1:12">
      <c r="A958">
        <v>3560</v>
      </c>
      <c r="B958" s="63" t="s">
        <v>256</v>
      </c>
      <c r="C958" s="63" t="s">
        <v>350</v>
      </c>
      <c r="D958" s="63" t="s">
        <v>59</v>
      </c>
      <c r="G958">
        <v>1</v>
      </c>
      <c r="H958">
        <v>60</v>
      </c>
      <c r="I958">
        <v>360</v>
      </c>
      <c r="J958">
        <v>7198</v>
      </c>
      <c r="K958">
        <v>0.42</v>
      </c>
      <c r="L958">
        <v>3</v>
      </c>
    </row>
    <row r="959" spans="1:12">
      <c r="A959">
        <v>3560</v>
      </c>
      <c r="B959" s="63" t="s">
        <v>256</v>
      </c>
      <c r="C959" s="63" t="s">
        <v>373</v>
      </c>
      <c r="D959" s="63" t="s">
        <v>59</v>
      </c>
      <c r="E959" s="63" t="s">
        <v>1193</v>
      </c>
      <c r="F959" s="63" t="s">
        <v>1833</v>
      </c>
      <c r="G959">
        <v>1</v>
      </c>
      <c r="H959">
        <v>60</v>
      </c>
      <c r="I959">
        <v>348</v>
      </c>
      <c r="J959">
        <v>6959</v>
      </c>
      <c r="K959">
        <v>0.73</v>
      </c>
      <c r="L959">
        <v>2</v>
      </c>
    </row>
    <row r="960" spans="1:12">
      <c r="A960">
        <v>4300</v>
      </c>
      <c r="B960" s="63" t="s">
        <v>256</v>
      </c>
      <c r="C960" s="63" t="s">
        <v>350</v>
      </c>
      <c r="D960" s="63" t="s">
        <v>59</v>
      </c>
      <c r="G960">
        <v>1</v>
      </c>
      <c r="H960">
        <v>113</v>
      </c>
      <c r="I960">
        <v>678</v>
      </c>
      <c r="J960">
        <v>13560</v>
      </c>
      <c r="K960">
        <v>3.53</v>
      </c>
      <c r="L960">
        <v>2</v>
      </c>
    </row>
    <row r="961" spans="1:12">
      <c r="A961">
        <v>4300</v>
      </c>
      <c r="B961" s="63" t="s">
        <v>256</v>
      </c>
      <c r="C961" s="63" t="s">
        <v>350</v>
      </c>
      <c r="D961" s="63" t="s">
        <v>59</v>
      </c>
      <c r="E961" s="63" t="s">
        <v>1962</v>
      </c>
      <c r="F961" s="63" t="s">
        <v>1472</v>
      </c>
      <c r="G961">
        <v>1</v>
      </c>
      <c r="H961">
        <v>60</v>
      </c>
      <c r="I961">
        <v>360</v>
      </c>
      <c r="J961">
        <v>7185</v>
      </c>
      <c r="K961">
        <v>30.6</v>
      </c>
      <c r="L961">
        <v>2</v>
      </c>
    </row>
    <row r="962" spans="1:12">
      <c r="A962">
        <v>4300</v>
      </c>
      <c r="B962" s="63" t="s">
        <v>256</v>
      </c>
      <c r="C962" s="63" t="s">
        <v>350</v>
      </c>
      <c r="D962" s="63" t="s">
        <v>59</v>
      </c>
      <c r="E962" s="63" t="s">
        <v>173</v>
      </c>
      <c r="F962" s="63" t="s">
        <v>1048</v>
      </c>
      <c r="G962">
        <v>1</v>
      </c>
      <c r="H962">
        <v>60</v>
      </c>
      <c r="I962">
        <v>360</v>
      </c>
      <c r="J962">
        <v>7200</v>
      </c>
      <c r="K962">
        <v>18.73</v>
      </c>
      <c r="L962">
        <v>2</v>
      </c>
    </row>
    <row r="963" spans="1:12">
      <c r="A963">
        <v>4300</v>
      </c>
      <c r="B963" s="63" t="s">
        <v>256</v>
      </c>
      <c r="C963" s="63" t="s">
        <v>350</v>
      </c>
      <c r="D963" s="63" t="s">
        <v>59</v>
      </c>
      <c r="E963" s="63" t="s">
        <v>173</v>
      </c>
      <c r="F963" s="63" t="s">
        <v>708</v>
      </c>
      <c r="G963">
        <v>1</v>
      </c>
      <c r="H963">
        <v>60</v>
      </c>
      <c r="I963">
        <v>360</v>
      </c>
      <c r="J963">
        <v>7200</v>
      </c>
      <c r="K963">
        <v>11.62</v>
      </c>
      <c r="L963">
        <v>1</v>
      </c>
    </row>
    <row r="964" spans="1:12">
      <c r="A964">
        <v>4300</v>
      </c>
      <c r="B964" s="63" t="s">
        <v>256</v>
      </c>
      <c r="C964" s="63" t="s">
        <v>350</v>
      </c>
      <c r="D964" s="63" t="s">
        <v>59</v>
      </c>
      <c r="E964" s="63" t="s">
        <v>173</v>
      </c>
      <c r="F964" s="63" t="s">
        <v>1830</v>
      </c>
      <c r="G964">
        <v>1</v>
      </c>
      <c r="H964">
        <v>60</v>
      </c>
      <c r="I964">
        <v>360</v>
      </c>
      <c r="J964">
        <v>7198</v>
      </c>
      <c r="K964">
        <v>35.020000000000003</v>
      </c>
      <c r="L964">
        <v>2</v>
      </c>
    </row>
    <row r="965" spans="1:12">
      <c r="A965">
        <v>4300</v>
      </c>
      <c r="B965" s="63" t="s">
        <v>256</v>
      </c>
      <c r="C965" s="63" t="s">
        <v>350</v>
      </c>
      <c r="D965" s="63" t="s">
        <v>59</v>
      </c>
      <c r="E965" s="63" t="s">
        <v>173</v>
      </c>
      <c r="F965" s="63" t="s">
        <v>662</v>
      </c>
      <c r="G965">
        <v>1</v>
      </c>
      <c r="H965">
        <v>60</v>
      </c>
      <c r="I965">
        <v>360</v>
      </c>
      <c r="J965">
        <v>7200</v>
      </c>
      <c r="K965">
        <v>27.98</v>
      </c>
      <c r="L965">
        <v>3</v>
      </c>
    </row>
    <row r="966" spans="1:12">
      <c r="A966">
        <v>4300</v>
      </c>
      <c r="B966" s="63" t="s">
        <v>256</v>
      </c>
      <c r="C966" s="63" t="s">
        <v>350</v>
      </c>
      <c r="D966" s="63" t="s">
        <v>59</v>
      </c>
      <c r="E966" s="63" t="s">
        <v>173</v>
      </c>
      <c r="F966" s="63" t="s">
        <v>1948</v>
      </c>
      <c r="G966">
        <v>1</v>
      </c>
      <c r="H966">
        <v>60</v>
      </c>
      <c r="I966">
        <v>360</v>
      </c>
      <c r="J966">
        <v>7199</v>
      </c>
      <c r="K966">
        <v>18.02</v>
      </c>
      <c r="L966">
        <v>1</v>
      </c>
    </row>
    <row r="967" spans="1:12">
      <c r="A967">
        <v>4300</v>
      </c>
      <c r="B967" s="63" t="s">
        <v>256</v>
      </c>
      <c r="C967" s="63" t="s">
        <v>350</v>
      </c>
      <c r="D967" s="63" t="s">
        <v>59</v>
      </c>
      <c r="E967" s="63" t="s">
        <v>173</v>
      </c>
      <c r="F967" s="63" t="s">
        <v>1298</v>
      </c>
      <c r="G967">
        <v>1</v>
      </c>
      <c r="H967">
        <v>60</v>
      </c>
      <c r="I967">
        <v>348</v>
      </c>
      <c r="J967">
        <v>6960</v>
      </c>
      <c r="K967">
        <v>27.93</v>
      </c>
      <c r="L967">
        <v>2</v>
      </c>
    </row>
    <row r="968" spans="1:12">
      <c r="A968">
        <v>4300</v>
      </c>
      <c r="B968" s="63" t="s">
        <v>256</v>
      </c>
      <c r="C968" s="63" t="s">
        <v>350</v>
      </c>
      <c r="D968" s="63" t="s">
        <v>59</v>
      </c>
      <c r="E968" s="63" t="s">
        <v>173</v>
      </c>
      <c r="F968" s="63" t="s">
        <v>2004</v>
      </c>
      <c r="G968">
        <v>1</v>
      </c>
      <c r="H968">
        <v>60</v>
      </c>
      <c r="I968">
        <v>360</v>
      </c>
      <c r="J968">
        <v>7200</v>
      </c>
      <c r="K968">
        <v>12.17</v>
      </c>
      <c r="L968">
        <v>1</v>
      </c>
    </row>
    <row r="969" spans="1:12">
      <c r="A969">
        <v>4300</v>
      </c>
      <c r="B969" s="63" t="s">
        <v>256</v>
      </c>
      <c r="C969" s="63" t="s">
        <v>350</v>
      </c>
      <c r="D969" s="63" t="s">
        <v>59</v>
      </c>
      <c r="E969" s="63" t="s">
        <v>173</v>
      </c>
      <c r="F969" s="63" t="s">
        <v>2026</v>
      </c>
      <c r="G969">
        <v>1</v>
      </c>
      <c r="H969">
        <v>60</v>
      </c>
      <c r="I969">
        <v>360</v>
      </c>
      <c r="J969">
        <v>7200</v>
      </c>
      <c r="K969">
        <v>19.8</v>
      </c>
      <c r="L969">
        <v>2</v>
      </c>
    </row>
    <row r="970" spans="1:12">
      <c r="A970">
        <v>4300</v>
      </c>
      <c r="B970" s="63" t="s">
        <v>256</v>
      </c>
      <c r="C970" s="63" t="s">
        <v>350</v>
      </c>
      <c r="D970" s="63" t="s">
        <v>59</v>
      </c>
      <c r="E970" s="63" t="s">
        <v>173</v>
      </c>
      <c r="F970" s="63" t="s">
        <v>1468</v>
      </c>
      <c r="G970">
        <v>1</v>
      </c>
      <c r="H970">
        <v>60</v>
      </c>
      <c r="I970">
        <v>360</v>
      </c>
      <c r="J970">
        <v>7196</v>
      </c>
      <c r="K970">
        <v>30.05</v>
      </c>
      <c r="L970">
        <v>3</v>
      </c>
    </row>
    <row r="971" spans="1:12">
      <c r="A971">
        <v>4300</v>
      </c>
      <c r="B971" s="63" t="s">
        <v>256</v>
      </c>
      <c r="C971" s="63" t="s">
        <v>350</v>
      </c>
      <c r="D971" s="63" t="s">
        <v>59</v>
      </c>
      <c r="E971" s="63" t="s">
        <v>173</v>
      </c>
      <c r="F971" s="63" t="s">
        <v>1354</v>
      </c>
      <c r="G971">
        <v>1</v>
      </c>
      <c r="H971">
        <v>60</v>
      </c>
      <c r="I971">
        <v>360</v>
      </c>
      <c r="J971">
        <v>7200</v>
      </c>
      <c r="K971">
        <v>22.63</v>
      </c>
      <c r="L971">
        <v>2</v>
      </c>
    </row>
    <row r="972" spans="1:12">
      <c r="A972">
        <v>4300</v>
      </c>
      <c r="B972" s="63" t="s">
        <v>256</v>
      </c>
      <c r="C972" s="63" t="s">
        <v>350</v>
      </c>
      <c r="D972" s="63" t="s">
        <v>59</v>
      </c>
      <c r="E972" s="63" t="s">
        <v>173</v>
      </c>
      <c r="F972" s="63" t="s">
        <v>1442</v>
      </c>
      <c r="G972">
        <v>1</v>
      </c>
      <c r="H972">
        <v>60</v>
      </c>
      <c r="I972">
        <v>360</v>
      </c>
      <c r="J972">
        <v>7200</v>
      </c>
      <c r="K972">
        <v>25.65</v>
      </c>
      <c r="L972">
        <v>2</v>
      </c>
    </row>
    <row r="973" spans="1:12">
      <c r="A973">
        <v>4300</v>
      </c>
      <c r="B973" s="63" t="s">
        <v>256</v>
      </c>
      <c r="C973" s="63" t="s">
        <v>350</v>
      </c>
      <c r="D973" s="63" t="s">
        <v>59</v>
      </c>
      <c r="E973" s="63" t="s">
        <v>173</v>
      </c>
      <c r="F973" s="63" t="s">
        <v>458</v>
      </c>
      <c r="G973">
        <v>1</v>
      </c>
      <c r="H973">
        <v>52</v>
      </c>
      <c r="I973">
        <v>312</v>
      </c>
      <c r="J973">
        <v>6240</v>
      </c>
      <c r="K973">
        <v>0.5</v>
      </c>
      <c r="L973">
        <v>2</v>
      </c>
    </row>
    <row r="974" spans="1:12">
      <c r="A974">
        <v>4300</v>
      </c>
      <c r="B974" s="63" t="s">
        <v>256</v>
      </c>
      <c r="C974" s="63" t="s">
        <v>350</v>
      </c>
      <c r="D974" s="63" t="s">
        <v>59</v>
      </c>
      <c r="E974" s="63" t="s">
        <v>173</v>
      </c>
      <c r="F974" s="63" t="s">
        <v>1456</v>
      </c>
      <c r="G974">
        <v>1</v>
      </c>
      <c r="H974">
        <v>60</v>
      </c>
      <c r="I974">
        <v>360</v>
      </c>
      <c r="J974">
        <v>7200</v>
      </c>
      <c r="K974">
        <v>24.4</v>
      </c>
      <c r="L974">
        <v>2</v>
      </c>
    </row>
    <row r="975" spans="1:12">
      <c r="A975">
        <v>4300</v>
      </c>
      <c r="B975" s="63" t="s">
        <v>256</v>
      </c>
      <c r="C975" s="63" t="s">
        <v>350</v>
      </c>
      <c r="D975" s="63" t="s">
        <v>59</v>
      </c>
      <c r="E975" s="63" t="s">
        <v>173</v>
      </c>
      <c r="F975" s="63" t="s">
        <v>2069</v>
      </c>
      <c r="G975">
        <v>1</v>
      </c>
      <c r="H975">
        <v>60</v>
      </c>
      <c r="I975">
        <v>360</v>
      </c>
      <c r="J975">
        <v>7200</v>
      </c>
      <c r="K975">
        <v>23.53</v>
      </c>
      <c r="L975">
        <v>2</v>
      </c>
    </row>
    <row r="976" spans="1:12">
      <c r="A976">
        <v>4300</v>
      </c>
      <c r="B976" s="63" t="s">
        <v>256</v>
      </c>
      <c r="C976" s="63" t="s">
        <v>350</v>
      </c>
      <c r="D976" s="63" t="s">
        <v>59</v>
      </c>
      <c r="E976" s="63" t="s">
        <v>173</v>
      </c>
      <c r="F976" s="63" t="s">
        <v>1265</v>
      </c>
      <c r="G976">
        <v>1</v>
      </c>
      <c r="H976">
        <v>60</v>
      </c>
      <c r="I976">
        <v>360</v>
      </c>
      <c r="J976">
        <v>7102</v>
      </c>
      <c r="K976">
        <v>27.33</v>
      </c>
      <c r="L976">
        <v>2</v>
      </c>
    </row>
    <row r="977" spans="1:12">
      <c r="A977">
        <v>4300</v>
      </c>
      <c r="B977" s="63" t="s">
        <v>256</v>
      </c>
      <c r="C977" s="63" t="s">
        <v>350</v>
      </c>
      <c r="D977" s="63" t="s">
        <v>59</v>
      </c>
      <c r="E977" s="63" t="s">
        <v>173</v>
      </c>
      <c r="F977" s="63" t="s">
        <v>1411</v>
      </c>
      <c r="G977">
        <v>1</v>
      </c>
      <c r="H977">
        <v>60</v>
      </c>
      <c r="I977">
        <v>360</v>
      </c>
      <c r="J977">
        <v>7200</v>
      </c>
      <c r="K977">
        <v>20.38</v>
      </c>
      <c r="L977">
        <v>2</v>
      </c>
    </row>
    <row r="978" spans="1:12">
      <c r="A978">
        <v>4300</v>
      </c>
      <c r="B978" s="63" t="s">
        <v>256</v>
      </c>
      <c r="C978" s="63" t="s">
        <v>350</v>
      </c>
      <c r="D978" s="63" t="s">
        <v>59</v>
      </c>
      <c r="E978" s="63" t="s">
        <v>173</v>
      </c>
      <c r="F978" s="63" t="s">
        <v>1389</v>
      </c>
      <c r="G978">
        <v>1</v>
      </c>
      <c r="H978">
        <v>60</v>
      </c>
      <c r="I978">
        <v>360</v>
      </c>
      <c r="J978">
        <v>7200</v>
      </c>
      <c r="K978">
        <v>42.03</v>
      </c>
      <c r="L978">
        <v>2</v>
      </c>
    </row>
    <row r="979" spans="1:12">
      <c r="A979">
        <v>4300</v>
      </c>
      <c r="B979" s="63" t="s">
        <v>256</v>
      </c>
      <c r="C979" s="63" t="s">
        <v>350</v>
      </c>
      <c r="D979" s="63" t="s">
        <v>59</v>
      </c>
      <c r="E979" s="63" t="s">
        <v>173</v>
      </c>
      <c r="F979" s="63" t="s">
        <v>1363</v>
      </c>
      <c r="G979">
        <v>1</v>
      </c>
      <c r="H979">
        <v>60</v>
      </c>
      <c r="I979">
        <v>360</v>
      </c>
      <c r="J979">
        <v>7200</v>
      </c>
      <c r="K979">
        <v>12.1</v>
      </c>
      <c r="L979">
        <v>1</v>
      </c>
    </row>
    <row r="980" spans="1:12">
      <c r="A980">
        <v>4300</v>
      </c>
      <c r="B980" s="63" t="s">
        <v>256</v>
      </c>
      <c r="C980" s="63" t="s">
        <v>373</v>
      </c>
      <c r="D980" s="63" t="s">
        <v>59</v>
      </c>
      <c r="G980">
        <v>1</v>
      </c>
      <c r="H980">
        <v>111</v>
      </c>
      <c r="I980">
        <v>666</v>
      </c>
      <c r="J980">
        <v>13320</v>
      </c>
      <c r="K980">
        <v>4.1500000000000004</v>
      </c>
      <c r="L980">
        <v>2</v>
      </c>
    </row>
    <row r="981" spans="1:12">
      <c r="A981">
        <v>4300</v>
      </c>
      <c r="B981" s="63" t="s">
        <v>256</v>
      </c>
      <c r="C981" s="63" t="s">
        <v>373</v>
      </c>
      <c r="D981" s="63" t="s">
        <v>59</v>
      </c>
      <c r="E981" s="63" t="s">
        <v>1962</v>
      </c>
      <c r="F981" s="63" t="s">
        <v>2565</v>
      </c>
      <c r="G981">
        <v>1</v>
      </c>
      <c r="H981">
        <v>60</v>
      </c>
      <c r="I981">
        <v>360</v>
      </c>
      <c r="J981">
        <v>7200</v>
      </c>
      <c r="K981">
        <v>17</v>
      </c>
      <c r="L981">
        <v>1</v>
      </c>
    </row>
    <row r="982" spans="1:12">
      <c r="A982">
        <v>4300</v>
      </c>
      <c r="B982" s="63" t="s">
        <v>256</v>
      </c>
      <c r="C982" s="63" t="s">
        <v>373</v>
      </c>
      <c r="D982" s="63" t="s">
        <v>59</v>
      </c>
      <c r="E982" s="63" t="s">
        <v>173</v>
      </c>
      <c r="F982" s="63" t="s">
        <v>2078</v>
      </c>
      <c r="G982">
        <v>1</v>
      </c>
      <c r="H982">
        <v>60</v>
      </c>
      <c r="I982">
        <v>360</v>
      </c>
      <c r="J982">
        <v>7200</v>
      </c>
      <c r="K982">
        <v>11.95</v>
      </c>
      <c r="L982">
        <v>3</v>
      </c>
    </row>
    <row r="983" spans="1:12">
      <c r="A983">
        <v>4300</v>
      </c>
      <c r="B983" s="63" t="s">
        <v>256</v>
      </c>
      <c r="C983" s="63" t="s">
        <v>373</v>
      </c>
      <c r="D983" s="63" t="s">
        <v>59</v>
      </c>
      <c r="E983" s="63" t="s">
        <v>173</v>
      </c>
      <c r="F983" s="63" t="s">
        <v>1388</v>
      </c>
      <c r="G983">
        <v>1</v>
      </c>
      <c r="H983">
        <v>60</v>
      </c>
      <c r="I983">
        <v>360</v>
      </c>
      <c r="J983">
        <v>7200</v>
      </c>
      <c r="K983">
        <v>16.920000000000002</v>
      </c>
      <c r="L983">
        <v>3</v>
      </c>
    </row>
    <row r="984" spans="1:12">
      <c r="A984">
        <v>4300</v>
      </c>
      <c r="B984" s="63" t="s">
        <v>256</v>
      </c>
      <c r="C984" s="63" t="s">
        <v>373</v>
      </c>
      <c r="D984" s="63" t="s">
        <v>59</v>
      </c>
      <c r="E984" s="63" t="s">
        <v>173</v>
      </c>
      <c r="F984" s="63" t="s">
        <v>2566</v>
      </c>
      <c r="G984">
        <v>1</v>
      </c>
      <c r="H984">
        <v>36</v>
      </c>
      <c r="I984">
        <v>216</v>
      </c>
      <c r="J984">
        <v>4319</v>
      </c>
      <c r="K984">
        <v>2.4500000000000002</v>
      </c>
      <c r="L984">
        <v>2</v>
      </c>
    </row>
    <row r="985" spans="1:12">
      <c r="A985">
        <v>4300</v>
      </c>
      <c r="B985" s="63" t="s">
        <v>256</v>
      </c>
      <c r="C985" s="63" t="s">
        <v>373</v>
      </c>
      <c r="D985" s="63" t="s">
        <v>59</v>
      </c>
      <c r="E985" s="63" t="s">
        <v>173</v>
      </c>
      <c r="F985" s="63" t="s">
        <v>2567</v>
      </c>
      <c r="G985">
        <v>1</v>
      </c>
      <c r="H985">
        <v>20</v>
      </c>
      <c r="I985">
        <v>120</v>
      </c>
      <c r="J985">
        <v>2399</v>
      </c>
      <c r="K985">
        <v>13.83</v>
      </c>
      <c r="L985">
        <v>1</v>
      </c>
    </row>
    <row r="986" spans="1:12">
      <c r="A986">
        <v>4300</v>
      </c>
      <c r="B986" s="63" t="s">
        <v>256</v>
      </c>
      <c r="C986" s="63" t="s">
        <v>373</v>
      </c>
      <c r="D986" s="63" t="s">
        <v>59</v>
      </c>
      <c r="E986" s="63" t="s">
        <v>173</v>
      </c>
      <c r="F986" s="63" t="s">
        <v>2568</v>
      </c>
      <c r="G986">
        <v>1</v>
      </c>
      <c r="H986">
        <v>60</v>
      </c>
      <c r="I986">
        <v>360</v>
      </c>
      <c r="J986">
        <v>7200</v>
      </c>
      <c r="K986">
        <v>15.22</v>
      </c>
      <c r="L986">
        <v>1</v>
      </c>
    </row>
    <row r="987" spans="1:12">
      <c r="A987">
        <v>4300</v>
      </c>
      <c r="B987" s="63" t="s">
        <v>256</v>
      </c>
      <c r="C987" s="63" t="s">
        <v>373</v>
      </c>
      <c r="D987" s="63" t="s">
        <v>59</v>
      </c>
      <c r="E987" s="63" t="s">
        <v>173</v>
      </c>
      <c r="F987" s="63" t="s">
        <v>1403</v>
      </c>
      <c r="G987">
        <v>1</v>
      </c>
      <c r="H987">
        <v>60</v>
      </c>
      <c r="I987">
        <v>360</v>
      </c>
      <c r="J987">
        <v>7200</v>
      </c>
      <c r="K987">
        <v>7.85</v>
      </c>
      <c r="L987">
        <v>3</v>
      </c>
    </row>
    <row r="988" spans="1:12">
      <c r="A988">
        <v>4300</v>
      </c>
      <c r="B988" s="63" t="s">
        <v>256</v>
      </c>
      <c r="C988" s="63" t="s">
        <v>373</v>
      </c>
      <c r="D988" s="63" t="s">
        <v>59</v>
      </c>
      <c r="E988" s="63" t="s">
        <v>173</v>
      </c>
      <c r="F988" s="63" t="s">
        <v>980</v>
      </c>
      <c r="G988">
        <v>1</v>
      </c>
      <c r="H988">
        <v>60</v>
      </c>
      <c r="I988">
        <v>360</v>
      </c>
      <c r="J988">
        <v>7200</v>
      </c>
      <c r="K988">
        <v>16.13</v>
      </c>
      <c r="L988">
        <v>1</v>
      </c>
    </row>
    <row r="989" spans="1:12">
      <c r="A989">
        <v>4300</v>
      </c>
      <c r="B989" s="63" t="s">
        <v>256</v>
      </c>
      <c r="C989" s="63" t="s">
        <v>373</v>
      </c>
      <c r="D989" s="63" t="s">
        <v>59</v>
      </c>
      <c r="E989" s="63" t="s">
        <v>173</v>
      </c>
      <c r="F989" s="63" t="s">
        <v>1545</v>
      </c>
      <c r="G989">
        <v>1</v>
      </c>
      <c r="H989">
        <v>60</v>
      </c>
      <c r="I989">
        <v>360</v>
      </c>
      <c r="J989">
        <v>7200</v>
      </c>
      <c r="K989">
        <v>12.43</v>
      </c>
      <c r="L989">
        <v>3</v>
      </c>
    </row>
    <row r="990" spans="1:12">
      <c r="A990">
        <v>4300</v>
      </c>
      <c r="B990" s="63" t="s">
        <v>256</v>
      </c>
      <c r="C990" s="63" t="s">
        <v>373</v>
      </c>
      <c r="D990" s="63" t="s">
        <v>59</v>
      </c>
      <c r="E990" s="63" t="s">
        <v>173</v>
      </c>
      <c r="F990" s="63" t="s">
        <v>1668</v>
      </c>
      <c r="G990">
        <v>1</v>
      </c>
      <c r="H990">
        <v>53</v>
      </c>
      <c r="I990">
        <v>312</v>
      </c>
      <c r="J990">
        <v>6240</v>
      </c>
      <c r="K990">
        <v>16.18</v>
      </c>
      <c r="L990">
        <v>3</v>
      </c>
    </row>
    <row r="991" spans="1:12">
      <c r="A991">
        <v>4300</v>
      </c>
      <c r="B991" s="63" t="s">
        <v>256</v>
      </c>
      <c r="C991" s="63" t="s">
        <v>373</v>
      </c>
      <c r="D991" s="63" t="s">
        <v>59</v>
      </c>
      <c r="E991" s="63" t="s">
        <v>173</v>
      </c>
      <c r="F991" s="63" t="s">
        <v>990</v>
      </c>
      <c r="G991">
        <v>1</v>
      </c>
      <c r="H991">
        <v>60</v>
      </c>
      <c r="I991">
        <v>360</v>
      </c>
      <c r="J991">
        <v>7200</v>
      </c>
      <c r="K991">
        <v>21.53</v>
      </c>
      <c r="L991">
        <v>2</v>
      </c>
    </row>
    <row r="992" spans="1:12">
      <c r="A992">
        <v>4300</v>
      </c>
      <c r="B992" s="63" t="s">
        <v>256</v>
      </c>
      <c r="C992" s="63" t="s">
        <v>373</v>
      </c>
      <c r="D992" s="63" t="s">
        <v>59</v>
      </c>
      <c r="E992" s="63" t="s">
        <v>173</v>
      </c>
      <c r="F992" s="63" t="s">
        <v>1845</v>
      </c>
      <c r="G992">
        <v>1</v>
      </c>
      <c r="H992">
        <v>60</v>
      </c>
      <c r="I992">
        <v>354</v>
      </c>
      <c r="J992">
        <v>7080</v>
      </c>
      <c r="K992">
        <v>8.65</v>
      </c>
      <c r="L992">
        <v>2</v>
      </c>
    </row>
    <row r="993" spans="1:12">
      <c r="A993">
        <v>4300</v>
      </c>
      <c r="B993" s="63" t="s">
        <v>256</v>
      </c>
      <c r="C993" s="63" t="s">
        <v>373</v>
      </c>
      <c r="D993" s="63" t="s">
        <v>59</v>
      </c>
      <c r="E993" s="63" t="s">
        <v>173</v>
      </c>
      <c r="F993" s="63" t="s">
        <v>1740</v>
      </c>
      <c r="G993">
        <v>1</v>
      </c>
      <c r="H993">
        <v>60</v>
      </c>
      <c r="I993">
        <v>360</v>
      </c>
      <c r="J993">
        <v>7200</v>
      </c>
      <c r="K993">
        <v>11.78</v>
      </c>
      <c r="L993">
        <v>1</v>
      </c>
    </row>
    <row r="994" spans="1:12">
      <c r="A994">
        <v>4300</v>
      </c>
      <c r="B994" s="63" t="s">
        <v>844</v>
      </c>
      <c r="C994" s="63" t="s">
        <v>2500</v>
      </c>
      <c r="D994" s="63" t="s">
        <v>59</v>
      </c>
      <c r="E994" s="63" t="s">
        <v>173</v>
      </c>
      <c r="F994" s="63" t="s">
        <v>1279</v>
      </c>
      <c r="G994">
        <v>1</v>
      </c>
      <c r="H994">
        <v>60</v>
      </c>
      <c r="I994">
        <v>1080</v>
      </c>
      <c r="J994">
        <v>1080</v>
      </c>
      <c r="K994">
        <v>3.92</v>
      </c>
      <c r="L994">
        <v>0</v>
      </c>
    </row>
    <row r="995" spans="1:12">
      <c r="A995">
        <v>4300</v>
      </c>
      <c r="B995" s="63" t="s">
        <v>844</v>
      </c>
      <c r="C995" s="63" t="s">
        <v>2500</v>
      </c>
      <c r="D995" s="63" t="s">
        <v>59</v>
      </c>
      <c r="E995" s="63" t="s">
        <v>174</v>
      </c>
      <c r="F995" s="63" t="s">
        <v>1250</v>
      </c>
      <c r="G995">
        <v>1</v>
      </c>
      <c r="H995">
        <v>60</v>
      </c>
      <c r="I995">
        <v>1080</v>
      </c>
      <c r="J995">
        <v>1080</v>
      </c>
      <c r="K995">
        <v>2.13</v>
      </c>
      <c r="L995">
        <v>0</v>
      </c>
    </row>
    <row r="996" spans="1:12">
      <c r="A996">
        <v>4300</v>
      </c>
      <c r="B996" s="63" t="s">
        <v>844</v>
      </c>
      <c r="C996" s="63" t="s">
        <v>2500</v>
      </c>
      <c r="D996" s="63" t="s">
        <v>59</v>
      </c>
      <c r="E996" s="63" t="s">
        <v>174</v>
      </c>
      <c r="F996" s="63" t="s">
        <v>1832</v>
      </c>
      <c r="G996">
        <v>1</v>
      </c>
      <c r="H996">
        <v>60</v>
      </c>
      <c r="I996">
        <v>1080</v>
      </c>
      <c r="J996">
        <v>1080</v>
      </c>
      <c r="K996">
        <v>6.35</v>
      </c>
      <c r="L996">
        <v>0</v>
      </c>
    </row>
    <row r="997" spans="1:12">
      <c r="A997">
        <v>4300</v>
      </c>
      <c r="B997" s="63" t="s">
        <v>844</v>
      </c>
      <c r="C997" s="63" t="s">
        <v>2500</v>
      </c>
      <c r="D997" s="63" t="s">
        <v>59</v>
      </c>
      <c r="E997" s="63" t="s">
        <v>174</v>
      </c>
      <c r="F997" s="63" t="s">
        <v>1209</v>
      </c>
      <c r="G997">
        <v>1</v>
      </c>
      <c r="H997">
        <v>60</v>
      </c>
      <c r="I997">
        <v>1077</v>
      </c>
      <c r="J997">
        <v>1077</v>
      </c>
      <c r="K997">
        <v>4.8499999999999996</v>
      </c>
      <c r="L997">
        <v>0</v>
      </c>
    </row>
    <row r="998" spans="1:12">
      <c r="A998">
        <v>4300</v>
      </c>
      <c r="B998" s="63" t="s">
        <v>2563</v>
      </c>
      <c r="C998" s="63" t="s">
        <v>2564</v>
      </c>
      <c r="D998" s="63" t="s">
        <v>285</v>
      </c>
      <c r="E998" s="63" t="s">
        <v>174</v>
      </c>
      <c r="F998" s="63" t="s">
        <v>1990</v>
      </c>
      <c r="G998">
        <v>1</v>
      </c>
      <c r="H998">
        <v>60</v>
      </c>
      <c r="I998">
        <v>360</v>
      </c>
      <c r="J998">
        <v>360</v>
      </c>
      <c r="K998">
        <v>0.48</v>
      </c>
      <c r="L998">
        <v>0</v>
      </c>
    </row>
    <row r="999" spans="1:12">
      <c r="A999">
        <v>4300</v>
      </c>
      <c r="B999" s="63" t="s">
        <v>2563</v>
      </c>
      <c r="C999" s="63" t="s">
        <v>2569</v>
      </c>
      <c r="D999" s="63" t="s">
        <v>285</v>
      </c>
      <c r="E999" s="63" t="s">
        <v>203</v>
      </c>
      <c r="F999" s="63" t="s">
        <v>2124</v>
      </c>
      <c r="G999">
        <v>1</v>
      </c>
      <c r="H999">
        <v>3</v>
      </c>
      <c r="I999">
        <v>18</v>
      </c>
      <c r="J999">
        <v>18</v>
      </c>
      <c r="K999">
        <v>10.220000000000001</v>
      </c>
      <c r="L999">
        <v>0</v>
      </c>
    </row>
    <row r="1000" spans="1:12">
      <c r="A1000">
        <v>4300</v>
      </c>
      <c r="B1000" s="63" t="s">
        <v>2563</v>
      </c>
      <c r="C1000" s="63" t="s">
        <v>2569</v>
      </c>
      <c r="D1000" s="63" t="s">
        <v>285</v>
      </c>
      <c r="E1000" s="63" t="s">
        <v>173</v>
      </c>
      <c r="F1000" s="63" t="s">
        <v>1404</v>
      </c>
      <c r="G1000">
        <v>1</v>
      </c>
      <c r="H1000">
        <v>3</v>
      </c>
      <c r="I1000">
        <v>18</v>
      </c>
      <c r="J1000">
        <v>18</v>
      </c>
      <c r="K1000">
        <v>10.65</v>
      </c>
      <c r="L1000">
        <v>0</v>
      </c>
    </row>
    <row r="1001" spans="1:12">
      <c r="A1001">
        <v>4300</v>
      </c>
      <c r="B1001" s="63" t="s">
        <v>2563</v>
      </c>
      <c r="C1001" s="63" t="s">
        <v>2569</v>
      </c>
      <c r="D1001" s="63" t="s">
        <v>285</v>
      </c>
      <c r="E1001" s="63" t="s">
        <v>173</v>
      </c>
      <c r="F1001" s="63" t="s">
        <v>1426</v>
      </c>
      <c r="G1001">
        <v>1</v>
      </c>
      <c r="H1001">
        <v>3</v>
      </c>
      <c r="I1001">
        <v>18</v>
      </c>
      <c r="J1001">
        <v>18</v>
      </c>
      <c r="K1001">
        <v>6.82</v>
      </c>
      <c r="L1001">
        <v>0</v>
      </c>
    </row>
    <row r="1002" spans="1:12">
      <c r="A1002">
        <v>4300</v>
      </c>
      <c r="B1002" s="63" t="s">
        <v>334</v>
      </c>
      <c r="C1002" s="63" t="s">
        <v>1725</v>
      </c>
      <c r="D1002" s="63" t="s">
        <v>59</v>
      </c>
      <c r="G1002">
        <v>1</v>
      </c>
      <c r="H1002">
        <v>118</v>
      </c>
      <c r="I1002">
        <v>708</v>
      </c>
      <c r="J1002">
        <v>708</v>
      </c>
      <c r="K1002">
        <v>2.52</v>
      </c>
      <c r="L1002">
        <v>1</v>
      </c>
    </row>
    <row r="1003" spans="1:12">
      <c r="A1003">
        <v>4300</v>
      </c>
      <c r="B1003" s="63" t="s">
        <v>334</v>
      </c>
      <c r="C1003" s="63" t="s">
        <v>1725</v>
      </c>
      <c r="D1003" s="63" t="s">
        <v>59</v>
      </c>
      <c r="E1003" s="63" t="s">
        <v>606</v>
      </c>
      <c r="F1003" s="63" t="s">
        <v>1360</v>
      </c>
      <c r="G1003">
        <v>1</v>
      </c>
      <c r="H1003">
        <v>60</v>
      </c>
      <c r="I1003">
        <v>360</v>
      </c>
      <c r="J1003">
        <v>360</v>
      </c>
      <c r="K1003">
        <v>26.23</v>
      </c>
      <c r="L1003">
        <v>1</v>
      </c>
    </row>
    <row r="1004" spans="1:12">
      <c r="A1004">
        <v>4300</v>
      </c>
      <c r="B1004" s="63" t="s">
        <v>334</v>
      </c>
      <c r="C1004" s="63" t="s">
        <v>1725</v>
      </c>
      <c r="D1004" s="63" t="s">
        <v>59</v>
      </c>
      <c r="E1004" s="63" t="s">
        <v>606</v>
      </c>
      <c r="F1004" s="63" t="s">
        <v>1659</v>
      </c>
      <c r="G1004">
        <v>1</v>
      </c>
      <c r="H1004">
        <v>60</v>
      </c>
      <c r="I1004">
        <v>360</v>
      </c>
      <c r="J1004">
        <v>360</v>
      </c>
      <c r="K1004">
        <v>28.23</v>
      </c>
      <c r="L1004">
        <v>1</v>
      </c>
    </row>
    <row r="1005" spans="1:12">
      <c r="A1005">
        <v>4300</v>
      </c>
      <c r="B1005" s="63" t="s">
        <v>334</v>
      </c>
      <c r="C1005" s="63" t="s">
        <v>1725</v>
      </c>
      <c r="D1005" s="63" t="s">
        <v>59</v>
      </c>
      <c r="E1005" s="63" t="s">
        <v>173</v>
      </c>
      <c r="F1005" s="63" t="s">
        <v>1980</v>
      </c>
      <c r="G1005">
        <v>1</v>
      </c>
      <c r="H1005">
        <v>60</v>
      </c>
      <c r="I1005">
        <v>360</v>
      </c>
      <c r="J1005">
        <v>360</v>
      </c>
      <c r="K1005">
        <v>18.02</v>
      </c>
      <c r="L1005">
        <v>1</v>
      </c>
    </row>
    <row r="1006" spans="1:12">
      <c r="A1006">
        <v>4300</v>
      </c>
      <c r="B1006" s="63" t="s">
        <v>334</v>
      </c>
      <c r="C1006" s="63" t="s">
        <v>1725</v>
      </c>
      <c r="D1006" s="63" t="s">
        <v>59</v>
      </c>
      <c r="E1006" s="63" t="s">
        <v>173</v>
      </c>
      <c r="F1006" s="63" t="s">
        <v>2049</v>
      </c>
      <c r="G1006">
        <v>1</v>
      </c>
      <c r="H1006">
        <v>60</v>
      </c>
      <c r="I1006">
        <v>360</v>
      </c>
      <c r="J1006">
        <v>360</v>
      </c>
      <c r="K1006">
        <v>24.65</v>
      </c>
      <c r="L1006">
        <v>1</v>
      </c>
    </row>
    <row r="1007" spans="1:12">
      <c r="A1007">
        <v>4300</v>
      </c>
      <c r="B1007" s="63" t="s">
        <v>334</v>
      </c>
      <c r="C1007" s="63" t="s">
        <v>1725</v>
      </c>
      <c r="D1007" s="63" t="s">
        <v>59</v>
      </c>
      <c r="E1007" s="63" t="s">
        <v>173</v>
      </c>
      <c r="F1007" s="63" t="s">
        <v>2046</v>
      </c>
      <c r="G1007">
        <v>1</v>
      </c>
      <c r="H1007">
        <v>60</v>
      </c>
      <c r="I1007">
        <v>360</v>
      </c>
      <c r="J1007">
        <v>360</v>
      </c>
      <c r="K1007">
        <v>21.3</v>
      </c>
      <c r="L1007">
        <v>1</v>
      </c>
    </row>
    <row r="1008" spans="1:12">
      <c r="A1008">
        <v>4300</v>
      </c>
      <c r="B1008" s="63" t="s">
        <v>334</v>
      </c>
      <c r="C1008" s="63" t="s">
        <v>1725</v>
      </c>
      <c r="D1008" s="63" t="s">
        <v>59</v>
      </c>
      <c r="E1008" s="63" t="s">
        <v>173</v>
      </c>
      <c r="F1008" s="63" t="s">
        <v>1292</v>
      </c>
      <c r="G1008">
        <v>1</v>
      </c>
      <c r="H1008">
        <v>60</v>
      </c>
      <c r="I1008">
        <v>360</v>
      </c>
      <c r="J1008">
        <v>360</v>
      </c>
      <c r="K1008">
        <v>25.3</v>
      </c>
      <c r="L1008">
        <v>1</v>
      </c>
    </row>
    <row r="1009" spans="1:12">
      <c r="A1009">
        <v>4300</v>
      </c>
      <c r="B1009" s="63" t="s">
        <v>334</v>
      </c>
      <c r="C1009" s="63" t="s">
        <v>1725</v>
      </c>
      <c r="D1009" s="63" t="s">
        <v>59</v>
      </c>
      <c r="E1009" s="63" t="s">
        <v>173</v>
      </c>
      <c r="F1009" s="63" t="s">
        <v>1553</v>
      </c>
      <c r="G1009">
        <v>1</v>
      </c>
      <c r="H1009">
        <v>60</v>
      </c>
      <c r="I1009">
        <v>360</v>
      </c>
      <c r="J1009">
        <v>360</v>
      </c>
      <c r="K1009">
        <v>15.23</v>
      </c>
      <c r="L1009">
        <v>1</v>
      </c>
    </row>
    <row r="1010" spans="1:12">
      <c r="A1010">
        <v>4300</v>
      </c>
      <c r="B1010" s="63" t="s">
        <v>334</v>
      </c>
      <c r="C1010" s="63" t="s">
        <v>1725</v>
      </c>
      <c r="D1010" s="63" t="s">
        <v>59</v>
      </c>
      <c r="E1010" s="63" t="s">
        <v>173</v>
      </c>
      <c r="F1010" s="63" t="s">
        <v>487</v>
      </c>
      <c r="G1010">
        <v>1</v>
      </c>
      <c r="H1010">
        <v>60</v>
      </c>
      <c r="I1010">
        <v>360</v>
      </c>
      <c r="J1010">
        <v>360</v>
      </c>
      <c r="K1010">
        <v>16.07</v>
      </c>
      <c r="L1010">
        <v>1</v>
      </c>
    </row>
    <row r="1011" spans="1:12">
      <c r="A1011">
        <v>4300</v>
      </c>
      <c r="B1011" s="63" t="s">
        <v>334</v>
      </c>
      <c r="C1011" s="63" t="s">
        <v>1725</v>
      </c>
      <c r="D1011" s="63" t="s">
        <v>59</v>
      </c>
      <c r="E1011" s="63" t="s">
        <v>173</v>
      </c>
      <c r="F1011" s="63" t="s">
        <v>653</v>
      </c>
      <c r="G1011">
        <v>1</v>
      </c>
      <c r="H1011">
        <v>60</v>
      </c>
      <c r="I1011">
        <v>360</v>
      </c>
      <c r="J1011">
        <v>360</v>
      </c>
      <c r="K1011">
        <v>18.07</v>
      </c>
      <c r="L1011">
        <v>1</v>
      </c>
    </row>
    <row r="1012" spans="1:12">
      <c r="A1012">
        <v>4300</v>
      </c>
      <c r="B1012" s="63" t="s">
        <v>334</v>
      </c>
      <c r="C1012" s="63" t="s">
        <v>1725</v>
      </c>
      <c r="D1012" s="63" t="s">
        <v>59</v>
      </c>
      <c r="E1012" s="63" t="s">
        <v>173</v>
      </c>
      <c r="F1012" s="63" t="s">
        <v>572</v>
      </c>
      <c r="G1012">
        <v>1</v>
      </c>
      <c r="H1012">
        <v>60</v>
      </c>
      <c r="I1012">
        <v>360</v>
      </c>
      <c r="J1012">
        <v>360</v>
      </c>
      <c r="K1012">
        <v>24.03</v>
      </c>
      <c r="L1012">
        <v>1</v>
      </c>
    </row>
    <row r="1013" spans="1:12">
      <c r="A1013">
        <v>4300</v>
      </c>
      <c r="B1013" s="63" t="s">
        <v>334</v>
      </c>
      <c r="C1013" s="63" t="s">
        <v>1725</v>
      </c>
      <c r="D1013" s="63" t="s">
        <v>59</v>
      </c>
      <c r="E1013" s="63" t="s">
        <v>173</v>
      </c>
      <c r="F1013" s="63" t="s">
        <v>1841</v>
      </c>
      <c r="G1013">
        <v>1</v>
      </c>
      <c r="H1013">
        <v>60</v>
      </c>
      <c r="I1013">
        <v>360</v>
      </c>
      <c r="J1013">
        <v>360</v>
      </c>
      <c r="K1013">
        <v>20.12</v>
      </c>
      <c r="L1013">
        <v>1</v>
      </c>
    </row>
    <row r="1014" spans="1:12">
      <c r="A1014">
        <v>4300</v>
      </c>
      <c r="B1014" s="63" t="s">
        <v>334</v>
      </c>
      <c r="C1014" s="63" t="s">
        <v>1725</v>
      </c>
      <c r="D1014" s="63" t="s">
        <v>59</v>
      </c>
      <c r="E1014" s="63" t="s">
        <v>173</v>
      </c>
      <c r="F1014" s="63" t="s">
        <v>2137</v>
      </c>
      <c r="G1014">
        <v>1</v>
      </c>
      <c r="H1014">
        <v>60</v>
      </c>
      <c r="I1014">
        <v>360</v>
      </c>
      <c r="J1014">
        <v>360</v>
      </c>
      <c r="K1014">
        <v>22.62</v>
      </c>
      <c r="L1014">
        <v>1</v>
      </c>
    </row>
    <row r="1015" spans="1:12">
      <c r="A1015">
        <v>4300</v>
      </c>
      <c r="B1015" s="63" t="s">
        <v>334</v>
      </c>
      <c r="C1015" s="63" t="s">
        <v>1725</v>
      </c>
      <c r="D1015" s="63" t="s">
        <v>59</v>
      </c>
      <c r="E1015" s="63" t="s">
        <v>173</v>
      </c>
      <c r="F1015" s="63" t="s">
        <v>1239</v>
      </c>
      <c r="G1015">
        <v>1</v>
      </c>
      <c r="H1015">
        <v>60</v>
      </c>
      <c r="I1015">
        <v>360</v>
      </c>
      <c r="J1015">
        <v>360</v>
      </c>
      <c r="K1015">
        <v>24.33</v>
      </c>
      <c r="L1015">
        <v>1</v>
      </c>
    </row>
    <row r="1016" spans="1:12">
      <c r="A1016">
        <v>4300</v>
      </c>
      <c r="B1016" s="63" t="s">
        <v>334</v>
      </c>
      <c r="C1016" s="63" t="s">
        <v>1725</v>
      </c>
      <c r="D1016" s="63" t="s">
        <v>59</v>
      </c>
      <c r="E1016" s="63" t="s">
        <v>173</v>
      </c>
      <c r="F1016" s="63" t="s">
        <v>862</v>
      </c>
      <c r="G1016">
        <v>1</v>
      </c>
      <c r="H1016">
        <v>60</v>
      </c>
      <c r="I1016">
        <v>360</v>
      </c>
      <c r="J1016">
        <v>360</v>
      </c>
      <c r="K1016">
        <v>19.13</v>
      </c>
      <c r="L1016">
        <v>1</v>
      </c>
    </row>
    <row r="1017" spans="1:12">
      <c r="A1017">
        <v>4300</v>
      </c>
      <c r="B1017" s="63" t="s">
        <v>334</v>
      </c>
      <c r="C1017" s="63" t="s">
        <v>1725</v>
      </c>
      <c r="D1017" s="63" t="s">
        <v>59</v>
      </c>
      <c r="E1017" s="63" t="s">
        <v>173</v>
      </c>
      <c r="F1017" s="63" t="s">
        <v>1187</v>
      </c>
      <c r="G1017">
        <v>1</v>
      </c>
      <c r="H1017">
        <v>6</v>
      </c>
      <c r="I1017">
        <v>36</v>
      </c>
      <c r="J1017">
        <v>36</v>
      </c>
      <c r="K1017">
        <v>15.45</v>
      </c>
      <c r="L1017">
        <v>1</v>
      </c>
    </row>
    <row r="1018" spans="1:12">
      <c r="A1018">
        <v>4300</v>
      </c>
      <c r="B1018" s="63" t="s">
        <v>334</v>
      </c>
      <c r="C1018" s="63" t="s">
        <v>1725</v>
      </c>
      <c r="D1018" s="63" t="s">
        <v>59</v>
      </c>
      <c r="E1018" s="63" t="s">
        <v>173</v>
      </c>
      <c r="F1018" s="63" t="s">
        <v>2112</v>
      </c>
      <c r="G1018">
        <v>1</v>
      </c>
      <c r="H1018">
        <v>60</v>
      </c>
      <c r="I1018">
        <v>360</v>
      </c>
      <c r="J1018">
        <v>360</v>
      </c>
      <c r="K1018">
        <v>18.399999999999999</v>
      </c>
      <c r="L1018">
        <v>1</v>
      </c>
    </row>
    <row r="1019" spans="1:12">
      <c r="A1019">
        <v>4300</v>
      </c>
      <c r="B1019" s="63" t="s">
        <v>334</v>
      </c>
      <c r="C1019" s="63" t="s">
        <v>1725</v>
      </c>
      <c r="D1019" s="63" t="s">
        <v>59</v>
      </c>
      <c r="E1019" s="63" t="s">
        <v>173</v>
      </c>
      <c r="F1019" s="63" t="s">
        <v>1186</v>
      </c>
      <c r="G1019">
        <v>1</v>
      </c>
      <c r="H1019">
        <v>60</v>
      </c>
      <c r="I1019">
        <v>360</v>
      </c>
      <c r="J1019">
        <v>360</v>
      </c>
      <c r="K1019">
        <v>24.22</v>
      </c>
      <c r="L1019">
        <v>1</v>
      </c>
    </row>
    <row r="1020" spans="1:12">
      <c r="A1020">
        <v>4300</v>
      </c>
      <c r="B1020" s="63" t="s">
        <v>1796</v>
      </c>
      <c r="C1020" s="63" t="s">
        <v>2509</v>
      </c>
      <c r="D1020" s="63" t="s">
        <v>285</v>
      </c>
      <c r="E1020" s="63" t="s">
        <v>174</v>
      </c>
      <c r="F1020" s="63" t="s">
        <v>1801</v>
      </c>
      <c r="G1020">
        <v>1</v>
      </c>
      <c r="H1020">
        <v>3</v>
      </c>
      <c r="I1020">
        <v>9</v>
      </c>
      <c r="J1020">
        <v>9</v>
      </c>
      <c r="K1020">
        <v>1.48</v>
      </c>
      <c r="L1020">
        <v>0</v>
      </c>
    </row>
    <row r="1021" spans="1:12">
      <c r="A1021">
        <v>4310</v>
      </c>
      <c r="B1021" s="63" t="s">
        <v>334</v>
      </c>
      <c r="C1021" s="63" t="s">
        <v>1725</v>
      </c>
      <c r="D1021" s="63" t="s">
        <v>59</v>
      </c>
      <c r="E1021" s="63" t="s">
        <v>173</v>
      </c>
      <c r="F1021" s="63" t="s">
        <v>1122</v>
      </c>
      <c r="G1021">
        <v>1</v>
      </c>
      <c r="H1021">
        <v>60</v>
      </c>
      <c r="I1021">
        <v>360</v>
      </c>
      <c r="J1021">
        <v>360</v>
      </c>
      <c r="K1021">
        <v>2.33</v>
      </c>
      <c r="L1021">
        <v>1</v>
      </c>
    </row>
    <row r="1022" spans="1:12">
      <c r="A1022">
        <v>4310</v>
      </c>
      <c r="B1022" s="63" t="s">
        <v>334</v>
      </c>
      <c r="C1022" s="63" t="s">
        <v>1725</v>
      </c>
      <c r="D1022" s="63" t="s">
        <v>59</v>
      </c>
      <c r="E1022" s="63" t="s">
        <v>173</v>
      </c>
      <c r="F1022" s="63" t="s">
        <v>1284</v>
      </c>
      <c r="G1022">
        <v>1</v>
      </c>
      <c r="H1022">
        <v>60</v>
      </c>
      <c r="I1022">
        <v>360</v>
      </c>
      <c r="J1022">
        <v>360</v>
      </c>
      <c r="K1022">
        <v>1.53</v>
      </c>
      <c r="L1022">
        <v>1</v>
      </c>
    </row>
    <row r="1023" spans="1:12">
      <c r="A1023">
        <v>4330</v>
      </c>
      <c r="B1023" s="63" t="s">
        <v>334</v>
      </c>
      <c r="C1023" s="63" t="s">
        <v>1725</v>
      </c>
      <c r="D1023" s="63" t="s">
        <v>59</v>
      </c>
      <c r="E1023" s="63" t="s">
        <v>2570</v>
      </c>
      <c r="F1023" s="63" t="s">
        <v>868</v>
      </c>
      <c r="G1023">
        <v>1</v>
      </c>
      <c r="H1023">
        <v>60</v>
      </c>
      <c r="I1023">
        <v>360</v>
      </c>
      <c r="J1023">
        <v>360</v>
      </c>
      <c r="K1023">
        <v>0.82</v>
      </c>
      <c r="L1023">
        <v>1</v>
      </c>
    </row>
    <row r="1024" spans="1:12">
      <c r="A1024">
        <v>4350</v>
      </c>
      <c r="B1024" s="63" t="s">
        <v>408</v>
      </c>
      <c r="C1024" s="63" t="s">
        <v>2571</v>
      </c>
      <c r="D1024" s="63" t="s">
        <v>59</v>
      </c>
      <c r="E1024" s="63" t="s">
        <v>174</v>
      </c>
      <c r="F1024" s="63" t="s">
        <v>1264</v>
      </c>
      <c r="G1024">
        <v>1</v>
      </c>
      <c r="H1024">
        <v>60</v>
      </c>
      <c r="I1024">
        <v>1200</v>
      </c>
      <c r="J1024">
        <v>1200</v>
      </c>
      <c r="K1024">
        <v>0.43</v>
      </c>
      <c r="L1024">
        <v>3</v>
      </c>
    </row>
    <row r="1025" spans="1:12">
      <c r="A1025">
        <v>4350</v>
      </c>
      <c r="B1025" s="63" t="s">
        <v>408</v>
      </c>
      <c r="C1025" s="63" t="s">
        <v>2571</v>
      </c>
      <c r="D1025" s="63" t="s">
        <v>59</v>
      </c>
      <c r="E1025" s="63" t="s">
        <v>174</v>
      </c>
      <c r="F1025" s="63" t="s">
        <v>2083</v>
      </c>
      <c r="G1025">
        <v>1</v>
      </c>
      <c r="H1025">
        <v>60</v>
      </c>
      <c r="I1025">
        <v>1200</v>
      </c>
      <c r="J1025">
        <v>1200</v>
      </c>
      <c r="K1025">
        <v>23.82</v>
      </c>
      <c r="L1025">
        <v>4</v>
      </c>
    </row>
    <row r="1026" spans="1:12">
      <c r="A1026">
        <v>4390</v>
      </c>
      <c r="B1026" s="63" t="s">
        <v>256</v>
      </c>
      <c r="C1026" s="63" t="s">
        <v>373</v>
      </c>
      <c r="D1026" s="63" t="s">
        <v>59</v>
      </c>
      <c r="E1026" s="63" t="s">
        <v>172</v>
      </c>
      <c r="F1026" s="63" t="s">
        <v>713</v>
      </c>
      <c r="G1026">
        <v>1</v>
      </c>
      <c r="H1026">
        <v>60</v>
      </c>
      <c r="I1026">
        <v>360</v>
      </c>
      <c r="J1026">
        <v>7197</v>
      </c>
      <c r="K1026">
        <v>11.13</v>
      </c>
      <c r="L1026">
        <v>3</v>
      </c>
    </row>
    <row r="1027" spans="1:12">
      <c r="A1027" s="63" t="s">
        <v>2572</v>
      </c>
      <c r="B1027" s="63" t="s">
        <v>408</v>
      </c>
      <c r="C1027" s="63" t="s">
        <v>2573</v>
      </c>
      <c r="D1027" s="63" t="s">
        <v>59</v>
      </c>
      <c r="E1027" s="63" t="s">
        <v>203</v>
      </c>
      <c r="F1027" s="63" t="s">
        <v>539</v>
      </c>
      <c r="G1027">
        <v>1</v>
      </c>
      <c r="H1027">
        <v>60</v>
      </c>
      <c r="I1027">
        <v>1196</v>
      </c>
      <c r="J1027">
        <v>1196</v>
      </c>
      <c r="K1027">
        <v>12.1</v>
      </c>
      <c r="L1027">
        <v>4</v>
      </c>
    </row>
    <row r="1028" spans="1:12">
      <c r="A1028" s="63" t="s">
        <v>2572</v>
      </c>
      <c r="B1028" s="63" t="s">
        <v>408</v>
      </c>
      <c r="C1028" s="63" t="s">
        <v>2573</v>
      </c>
      <c r="D1028" s="63" t="s">
        <v>59</v>
      </c>
      <c r="E1028" s="63" t="s">
        <v>203</v>
      </c>
      <c r="F1028" s="63" t="s">
        <v>2119</v>
      </c>
      <c r="G1028">
        <v>1</v>
      </c>
      <c r="H1028">
        <v>47</v>
      </c>
      <c r="I1028">
        <v>933</v>
      </c>
      <c r="J1028">
        <v>933</v>
      </c>
      <c r="K1028">
        <v>24.03</v>
      </c>
      <c r="L1028">
        <v>4</v>
      </c>
    </row>
    <row r="1029" spans="1:12">
      <c r="A1029" s="63" t="s">
        <v>2572</v>
      </c>
      <c r="B1029" s="63" t="s">
        <v>408</v>
      </c>
      <c r="C1029" s="63" t="s">
        <v>2573</v>
      </c>
      <c r="D1029" s="63" t="s">
        <v>59</v>
      </c>
      <c r="E1029" s="63" t="s">
        <v>203</v>
      </c>
      <c r="F1029" s="63" t="s">
        <v>1994</v>
      </c>
      <c r="G1029">
        <v>1</v>
      </c>
      <c r="H1029">
        <v>60</v>
      </c>
      <c r="I1029">
        <v>1195</v>
      </c>
      <c r="J1029">
        <v>1195</v>
      </c>
      <c r="K1029">
        <v>20</v>
      </c>
      <c r="L1029">
        <v>4</v>
      </c>
    </row>
    <row r="1030" spans="1:12">
      <c r="A1030" s="63" t="s">
        <v>2572</v>
      </c>
      <c r="B1030" s="63" t="s">
        <v>408</v>
      </c>
      <c r="C1030" s="63" t="s">
        <v>2573</v>
      </c>
      <c r="D1030" s="63" t="s">
        <v>59</v>
      </c>
      <c r="E1030" s="63" t="s">
        <v>203</v>
      </c>
      <c r="F1030" s="63" t="s">
        <v>1842</v>
      </c>
      <c r="G1030">
        <v>1</v>
      </c>
      <c r="H1030">
        <v>60</v>
      </c>
      <c r="I1030">
        <v>1168</v>
      </c>
      <c r="J1030">
        <v>1168</v>
      </c>
      <c r="K1030">
        <v>20</v>
      </c>
      <c r="L1030">
        <v>4</v>
      </c>
    </row>
    <row r="1031" spans="1:12">
      <c r="A1031" s="63" t="s">
        <v>2572</v>
      </c>
      <c r="B1031" s="63" t="s">
        <v>408</v>
      </c>
      <c r="C1031" s="63" t="s">
        <v>2573</v>
      </c>
      <c r="D1031" s="63" t="s">
        <v>59</v>
      </c>
      <c r="E1031" s="63" t="s">
        <v>203</v>
      </c>
      <c r="F1031" s="63" t="s">
        <v>2094</v>
      </c>
      <c r="G1031">
        <v>1</v>
      </c>
      <c r="H1031">
        <v>60</v>
      </c>
      <c r="I1031">
        <v>1197</v>
      </c>
      <c r="J1031">
        <v>1197</v>
      </c>
      <c r="K1031">
        <v>7.98</v>
      </c>
      <c r="L1031">
        <v>4</v>
      </c>
    </row>
    <row r="1032" spans="1:12">
      <c r="A1032" s="63" t="s">
        <v>2572</v>
      </c>
      <c r="B1032" s="63" t="s">
        <v>408</v>
      </c>
      <c r="C1032" s="63" t="s">
        <v>2573</v>
      </c>
      <c r="D1032" s="63" t="s">
        <v>59</v>
      </c>
      <c r="E1032" s="63" t="s">
        <v>203</v>
      </c>
      <c r="F1032" s="63" t="s">
        <v>1112</v>
      </c>
      <c r="G1032">
        <v>1</v>
      </c>
      <c r="H1032">
        <v>60</v>
      </c>
      <c r="I1032">
        <v>1196</v>
      </c>
      <c r="J1032">
        <v>1196</v>
      </c>
      <c r="K1032">
        <v>0.27</v>
      </c>
      <c r="L1032">
        <v>4</v>
      </c>
    </row>
    <row r="1033" spans="1:12">
      <c r="A1033" s="63" t="s">
        <v>2572</v>
      </c>
      <c r="B1033" s="63" t="s">
        <v>408</v>
      </c>
      <c r="C1033" s="63" t="s">
        <v>2573</v>
      </c>
      <c r="D1033" s="63" t="s">
        <v>59</v>
      </c>
      <c r="E1033" s="63" t="s">
        <v>203</v>
      </c>
      <c r="F1033" s="63" t="s">
        <v>877</v>
      </c>
      <c r="G1033">
        <v>1</v>
      </c>
      <c r="H1033">
        <v>60</v>
      </c>
      <c r="I1033">
        <v>1199</v>
      </c>
      <c r="J1033">
        <v>1199</v>
      </c>
      <c r="K1033">
        <v>6.5</v>
      </c>
      <c r="L1033">
        <v>4</v>
      </c>
    </row>
    <row r="1034" spans="1:12">
      <c r="A1034" s="63" t="s">
        <v>2572</v>
      </c>
      <c r="B1034" s="63" t="s">
        <v>408</v>
      </c>
      <c r="C1034" s="63" t="s">
        <v>2573</v>
      </c>
      <c r="D1034" s="63" t="s">
        <v>59</v>
      </c>
      <c r="E1034" s="63" t="s">
        <v>174</v>
      </c>
      <c r="F1034" s="63" t="s">
        <v>609</v>
      </c>
      <c r="G1034">
        <v>1</v>
      </c>
      <c r="H1034">
        <v>60</v>
      </c>
      <c r="I1034">
        <v>1200</v>
      </c>
      <c r="J1034">
        <v>1200</v>
      </c>
      <c r="K1034">
        <v>15.75</v>
      </c>
      <c r="L1034">
        <v>4</v>
      </c>
    </row>
    <row r="1035" spans="1:12">
      <c r="A1035">
        <v>4560</v>
      </c>
      <c r="B1035" s="63" t="s">
        <v>256</v>
      </c>
      <c r="C1035" s="63" t="s">
        <v>350</v>
      </c>
      <c r="D1035" s="63" t="s">
        <v>59</v>
      </c>
      <c r="E1035" s="63" t="s">
        <v>173</v>
      </c>
      <c r="F1035" s="63" t="s">
        <v>752</v>
      </c>
      <c r="G1035">
        <v>1</v>
      </c>
      <c r="H1035">
        <v>60</v>
      </c>
      <c r="I1035">
        <v>354</v>
      </c>
      <c r="J1035">
        <v>7077</v>
      </c>
      <c r="K1035">
        <v>1.08</v>
      </c>
      <c r="L1035">
        <v>3</v>
      </c>
    </row>
    <row r="1036" spans="1:12">
      <c r="A1036">
        <v>4560</v>
      </c>
      <c r="B1036" s="63" t="s">
        <v>256</v>
      </c>
      <c r="C1036" s="63" t="s">
        <v>373</v>
      </c>
      <c r="D1036" s="63" t="s">
        <v>59</v>
      </c>
      <c r="E1036" s="63" t="s">
        <v>173</v>
      </c>
      <c r="F1036" s="63" t="s">
        <v>1168</v>
      </c>
      <c r="G1036">
        <v>1</v>
      </c>
      <c r="H1036">
        <v>60</v>
      </c>
      <c r="I1036">
        <v>360</v>
      </c>
      <c r="J1036">
        <v>7199</v>
      </c>
      <c r="K1036">
        <v>1.08</v>
      </c>
      <c r="L1036">
        <v>3</v>
      </c>
    </row>
    <row r="1037" spans="1:12">
      <c r="A1037">
        <v>4560</v>
      </c>
      <c r="B1037" s="63" t="s">
        <v>256</v>
      </c>
      <c r="C1037" s="63" t="s">
        <v>373</v>
      </c>
      <c r="D1037" s="63" t="s">
        <v>59</v>
      </c>
      <c r="E1037" s="63" t="s">
        <v>174</v>
      </c>
      <c r="F1037" s="63" t="s">
        <v>693</v>
      </c>
      <c r="G1037">
        <v>1</v>
      </c>
      <c r="H1037">
        <v>60</v>
      </c>
      <c r="I1037">
        <v>360</v>
      </c>
      <c r="J1037">
        <v>7200</v>
      </c>
      <c r="K1037">
        <v>0.77</v>
      </c>
      <c r="L1037">
        <v>3</v>
      </c>
    </row>
    <row r="1038" spans="1:12">
      <c r="A1038">
        <v>4560</v>
      </c>
      <c r="B1038" s="63" t="s">
        <v>256</v>
      </c>
      <c r="C1038" s="63" t="s">
        <v>373</v>
      </c>
      <c r="D1038" s="63" t="s">
        <v>59</v>
      </c>
      <c r="E1038" s="63" t="s">
        <v>174</v>
      </c>
      <c r="F1038" s="63" t="s">
        <v>2038</v>
      </c>
      <c r="G1038">
        <v>1</v>
      </c>
      <c r="H1038">
        <v>60</v>
      </c>
      <c r="I1038">
        <v>360</v>
      </c>
      <c r="J1038">
        <v>7200</v>
      </c>
      <c r="K1038">
        <v>0.53</v>
      </c>
      <c r="L1038">
        <v>3</v>
      </c>
    </row>
    <row r="1039" spans="1:12">
      <c r="A1039">
        <v>4560</v>
      </c>
      <c r="B1039" s="63" t="s">
        <v>408</v>
      </c>
      <c r="C1039" s="63" t="s">
        <v>2571</v>
      </c>
      <c r="D1039" s="63" t="s">
        <v>59</v>
      </c>
      <c r="F1039" s="63" t="s">
        <v>2574</v>
      </c>
      <c r="G1039">
        <v>1</v>
      </c>
      <c r="H1039">
        <v>1</v>
      </c>
      <c r="I1039">
        <v>20</v>
      </c>
      <c r="J1039">
        <v>20</v>
      </c>
      <c r="K1039">
        <v>5.73</v>
      </c>
      <c r="L1039">
        <v>3</v>
      </c>
    </row>
    <row r="1040" spans="1:12">
      <c r="A1040">
        <v>4560</v>
      </c>
      <c r="B1040" s="63" t="s">
        <v>334</v>
      </c>
      <c r="C1040" s="63" t="s">
        <v>1725</v>
      </c>
      <c r="D1040" s="63" t="s">
        <v>305</v>
      </c>
      <c r="E1040" s="63" t="s">
        <v>203</v>
      </c>
      <c r="F1040" s="63" t="s">
        <v>2575</v>
      </c>
      <c r="G1040">
        <v>1</v>
      </c>
      <c r="H1040">
        <v>13</v>
      </c>
      <c r="I1040">
        <v>78</v>
      </c>
      <c r="J1040">
        <v>78</v>
      </c>
      <c r="K1040">
        <v>198</v>
      </c>
      <c r="L1040">
        <v>9</v>
      </c>
    </row>
    <row r="1041" spans="1:12">
      <c r="A1041">
        <v>4560</v>
      </c>
      <c r="B1041" s="63" t="s">
        <v>334</v>
      </c>
      <c r="C1041" s="63" t="s">
        <v>1071</v>
      </c>
      <c r="D1041" s="63" t="s">
        <v>305</v>
      </c>
      <c r="E1041" s="63" t="s">
        <v>184</v>
      </c>
      <c r="F1041" s="63" t="s">
        <v>1050</v>
      </c>
      <c r="G1041">
        <v>1</v>
      </c>
      <c r="H1041">
        <v>45</v>
      </c>
      <c r="I1041">
        <v>270</v>
      </c>
      <c r="J1041">
        <v>270</v>
      </c>
      <c r="K1041">
        <v>199.23</v>
      </c>
      <c r="L1041">
        <v>9</v>
      </c>
    </row>
    <row r="1042" spans="1:12">
      <c r="A1042">
        <v>4560</v>
      </c>
      <c r="B1042" s="63" t="s">
        <v>334</v>
      </c>
      <c r="C1042" s="63" t="s">
        <v>1071</v>
      </c>
      <c r="D1042" s="63" t="s">
        <v>305</v>
      </c>
      <c r="E1042" s="63" t="s">
        <v>184</v>
      </c>
      <c r="F1042" s="63" t="s">
        <v>1484</v>
      </c>
      <c r="G1042">
        <v>1</v>
      </c>
      <c r="H1042">
        <v>47</v>
      </c>
      <c r="I1042">
        <v>276</v>
      </c>
      <c r="J1042">
        <v>276</v>
      </c>
      <c r="K1042">
        <v>200.75</v>
      </c>
      <c r="L1042">
        <v>9</v>
      </c>
    </row>
    <row r="1043" spans="1:12">
      <c r="A1043">
        <v>4570</v>
      </c>
      <c r="B1043" s="63" t="s">
        <v>408</v>
      </c>
      <c r="C1043" s="63" t="s">
        <v>2571</v>
      </c>
      <c r="D1043" s="63" t="s">
        <v>59</v>
      </c>
      <c r="G1043">
        <v>1</v>
      </c>
      <c r="H1043">
        <v>103</v>
      </c>
      <c r="I1043">
        <v>2059</v>
      </c>
      <c r="J1043">
        <v>2059</v>
      </c>
      <c r="K1043">
        <v>1.77</v>
      </c>
      <c r="L1043">
        <v>3</v>
      </c>
    </row>
    <row r="1044" spans="1:12">
      <c r="A1044">
        <v>4570</v>
      </c>
      <c r="B1044" s="63" t="s">
        <v>334</v>
      </c>
      <c r="C1044" s="63" t="s">
        <v>1071</v>
      </c>
      <c r="D1044" s="63" t="s">
        <v>59</v>
      </c>
      <c r="G1044">
        <v>1</v>
      </c>
      <c r="H1044">
        <v>78</v>
      </c>
      <c r="I1044">
        <v>468</v>
      </c>
      <c r="J1044">
        <v>468</v>
      </c>
      <c r="K1044">
        <v>2.9</v>
      </c>
      <c r="L1044">
        <v>2</v>
      </c>
    </row>
    <row r="1045" spans="1:12">
      <c r="A1045">
        <v>4571</v>
      </c>
      <c r="B1045" s="63" t="s">
        <v>408</v>
      </c>
      <c r="C1045" s="63" t="s">
        <v>2571</v>
      </c>
      <c r="D1045" s="63" t="s">
        <v>59</v>
      </c>
      <c r="E1045" s="63" t="s">
        <v>203</v>
      </c>
      <c r="F1045" s="63" t="s">
        <v>1965</v>
      </c>
      <c r="G1045">
        <v>1</v>
      </c>
      <c r="H1045">
        <v>34</v>
      </c>
      <c r="I1045">
        <v>680</v>
      </c>
      <c r="J1045">
        <v>680</v>
      </c>
      <c r="K1045">
        <v>0.32</v>
      </c>
      <c r="L1045">
        <v>3</v>
      </c>
    </row>
    <row r="1046" spans="1:12">
      <c r="A1046">
        <v>4571</v>
      </c>
      <c r="B1046" s="63" t="s">
        <v>396</v>
      </c>
      <c r="C1046" s="63" t="s">
        <v>2576</v>
      </c>
      <c r="D1046" s="63" t="s">
        <v>305</v>
      </c>
      <c r="E1046" s="63" t="s">
        <v>203</v>
      </c>
      <c r="F1046" s="63" t="s">
        <v>638</v>
      </c>
      <c r="G1046">
        <v>1</v>
      </c>
      <c r="H1046">
        <v>9</v>
      </c>
      <c r="I1046">
        <v>161</v>
      </c>
      <c r="J1046">
        <v>161</v>
      </c>
      <c r="K1046">
        <v>125.28</v>
      </c>
      <c r="L1046">
        <v>7</v>
      </c>
    </row>
    <row r="1047" spans="1:12">
      <c r="A1047">
        <v>4571</v>
      </c>
      <c r="B1047" s="63" t="s">
        <v>334</v>
      </c>
      <c r="C1047" s="63" t="s">
        <v>1725</v>
      </c>
      <c r="D1047" s="63" t="s">
        <v>59</v>
      </c>
      <c r="E1047" s="63" t="s">
        <v>203</v>
      </c>
      <c r="F1047" s="63" t="s">
        <v>1459</v>
      </c>
      <c r="G1047">
        <v>1</v>
      </c>
      <c r="H1047">
        <v>59</v>
      </c>
      <c r="I1047">
        <v>354</v>
      </c>
      <c r="J1047">
        <v>354</v>
      </c>
      <c r="K1047">
        <v>1.93</v>
      </c>
      <c r="L1047">
        <v>1</v>
      </c>
    </row>
    <row r="1048" spans="1:12">
      <c r="A1048">
        <v>4571</v>
      </c>
      <c r="B1048" s="63" t="s">
        <v>334</v>
      </c>
      <c r="C1048" s="63" t="s">
        <v>1725</v>
      </c>
      <c r="D1048" s="63" t="s">
        <v>59</v>
      </c>
      <c r="E1048" s="63" t="s">
        <v>184</v>
      </c>
      <c r="F1048" s="63" t="s">
        <v>654</v>
      </c>
      <c r="G1048">
        <v>1</v>
      </c>
      <c r="H1048">
        <v>60</v>
      </c>
      <c r="I1048">
        <v>360</v>
      </c>
      <c r="J1048">
        <v>360</v>
      </c>
      <c r="K1048">
        <v>1.58</v>
      </c>
      <c r="L1048">
        <v>1</v>
      </c>
    </row>
    <row r="1049" spans="1:12">
      <c r="A1049">
        <v>4571</v>
      </c>
      <c r="B1049" s="63" t="s">
        <v>334</v>
      </c>
      <c r="C1049" s="63" t="s">
        <v>1725</v>
      </c>
      <c r="D1049" s="63" t="s">
        <v>59</v>
      </c>
      <c r="E1049" s="63" t="s">
        <v>184</v>
      </c>
      <c r="F1049" s="63" t="s">
        <v>997</v>
      </c>
      <c r="G1049">
        <v>1</v>
      </c>
      <c r="H1049">
        <v>60</v>
      </c>
      <c r="I1049">
        <v>360</v>
      </c>
      <c r="J1049">
        <v>360</v>
      </c>
      <c r="K1049">
        <v>1.92</v>
      </c>
      <c r="L1049">
        <v>1</v>
      </c>
    </row>
    <row r="1050" spans="1:12">
      <c r="A1050">
        <v>4571</v>
      </c>
      <c r="B1050" s="63" t="s">
        <v>334</v>
      </c>
      <c r="C1050" s="63" t="s">
        <v>1725</v>
      </c>
      <c r="D1050" s="63" t="s">
        <v>59</v>
      </c>
      <c r="E1050" s="63" t="s">
        <v>184</v>
      </c>
      <c r="F1050" s="63" t="s">
        <v>549</v>
      </c>
      <c r="G1050">
        <v>1</v>
      </c>
      <c r="H1050">
        <v>59</v>
      </c>
      <c r="I1050">
        <v>354</v>
      </c>
      <c r="J1050">
        <v>354</v>
      </c>
      <c r="K1050">
        <v>1.02</v>
      </c>
      <c r="L1050">
        <v>1</v>
      </c>
    </row>
    <row r="1051" spans="1:12">
      <c r="A1051">
        <v>4571</v>
      </c>
      <c r="B1051" s="63" t="s">
        <v>334</v>
      </c>
      <c r="C1051" s="63" t="s">
        <v>1071</v>
      </c>
      <c r="D1051" s="63" t="s">
        <v>59</v>
      </c>
      <c r="E1051" s="63" t="s">
        <v>203</v>
      </c>
      <c r="F1051" s="63" t="s">
        <v>1399</v>
      </c>
      <c r="G1051">
        <v>1</v>
      </c>
      <c r="H1051">
        <v>6</v>
      </c>
      <c r="I1051">
        <v>36</v>
      </c>
      <c r="J1051">
        <v>36</v>
      </c>
      <c r="K1051">
        <v>6.75</v>
      </c>
      <c r="L1051">
        <v>2</v>
      </c>
    </row>
    <row r="1052" spans="1:12">
      <c r="A1052">
        <v>4571</v>
      </c>
      <c r="B1052" s="63" t="s">
        <v>334</v>
      </c>
      <c r="C1052" s="63" t="s">
        <v>1071</v>
      </c>
      <c r="D1052" s="63" t="s">
        <v>59</v>
      </c>
      <c r="E1052" s="63" t="s">
        <v>184</v>
      </c>
      <c r="F1052" s="63" t="s">
        <v>1241</v>
      </c>
      <c r="G1052">
        <v>1</v>
      </c>
      <c r="H1052">
        <v>60</v>
      </c>
      <c r="I1052">
        <v>360</v>
      </c>
      <c r="J1052">
        <v>360</v>
      </c>
      <c r="K1052">
        <v>2.62</v>
      </c>
      <c r="L1052">
        <v>2</v>
      </c>
    </row>
    <row r="1053" spans="1:12">
      <c r="A1053">
        <v>4571</v>
      </c>
      <c r="B1053" s="63" t="s">
        <v>334</v>
      </c>
      <c r="C1053" s="63" t="s">
        <v>1071</v>
      </c>
      <c r="D1053" s="63" t="s">
        <v>59</v>
      </c>
      <c r="E1053" s="63" t="s">
        <v>184</v>
      </c>
      <c r="F1053" s="63" t="s">
        <v>1235</v>
      </c>
      <c r="G1053">
        <v>1</v>
      </c>
      <c r="H1053">
        <v>57</v>
      </c>
      <c r="I1053">
        <v>342</v>
      </c>
      <c r="J1053">
        <v>342</v>
      </c>
      <c r="K1053">
        <v>2.27</v>
      </c>
      <c r="L1053">
        <v>2</v>
      </c>
    </row>
    <row r="1054" spans="1:12">
      <c r="A1054">
        <v>4581</v>
      </c>
      <c r="B1054" s="63" t="s">
        <v>408</v>
      </c>
      <c r="C1054" s="63" t="s">
        <v>2571</v>
      </c>
      <c r="D1054" s="63" t="s">
        <v>59</v>
      </c>
      <c r="G1054">
        <v>1</v>
      </c>
      <c r="H1054">
        <v>60</v>
      </c>
      <c r="I1054">
        <v>1199</v>
      </c>
      <c r="J1054">
        <v>1199</v>
      </c>
      <c r="K1054">
        <v>2.4300000000000002</v>
      </c>
      <c r="L1054">
        <v>3</v>
      </c>
    </row>
    <row r="1055" spans="1:12">
      <c r="A1055">
        <v>4581</v>
      </c>
      <c r="B1055" s="63" t="s">
        <v>408</v>
      </c>
      <c r="C1055" s="63" t="s">
        <v>2571</v>
      </c>
      <c r="D1055" s="63" t="s">
        <v>59</v>
      </c>
      <c r="E1055" s="63" t="s">
        <v>1978</v>
      </c>
      <c r="F1055" s="63" t="s">
        <v>1966</v>
      </c>
      <c r="G1055">
        <v>1</v>
      </c>
      <c r="H1055">
        <v>43</v>
      </c>
      <c r="I1055">
        <v>858</v>
      </c>
      <c r="J1055">
        <v>858</v>
      </c>
      <c r="K1055">
        <v>7.72</v>
      </c>
      <c r="L1055">
        <v>4</v>
      </c>
    </row>
    <row r="1056" spans="1:12">
      <c r="A1056">
        <v>4581</v>
      </c>
      <c r="B1056" s="63" t="s">
        <v>408</v>
      </c>
      <c r="C1056" s="63" t="s">
        <v>2571</v>
      </c>
      <c r="D1056" s="63" t="s">
        <v>59</v>
      </c>
      <c r="E1056" s="63" t="s">
        <v>203</v>
      </c>
      <c r="F1056" s="63" t="s">
        <v>2577</v>
      </c>
      <c r="G1056">
        <v>1</v>
      </c>
      <c r="H1056">
        <v>60</v>
      </c>
      <c r="I1056">
        <v>1193</v>
      </c>
      <c r="J1056">
        <v>1193</v>
      </c>
      <c r="K1056">
        <v>0.23</v>
      </c>
      <c r="L1056">
        <v>3</v>
      </c>
    </row>
    <row r="1057" spans="1:12">
      <c r="A1057">
        <v>4581</v>
      </c>
      <c r="B1057" s="63" t="s">
        <v>408</v>
      </c>
      <c r="C1057" s="63" t="s">
        <v>2571</v>
      </c>
      <c r="D1057" s="63" t="s">
        <v>59</v>
      </c>
      <c r="E1057" s="63" t="s">
        <v>203</v>
      </c>
      <c r="F1057" s="63" t="s">
        <v>2025</v>
      </c>
      <c r="G1057">
        <v>1</v>
      </c>
      <c r="H1057">
        <v>60</v>
      </c>
      <c r="I1057">
        <v>1199</v>
      </c>
      <c r="J1057">
        <v>1199</v>
      </c>
      <c r="K1057">
        <v>9.9700000000000006</v>
      </c>
      <c r="L1057">
        <v>4</v>
      </c>
    </row>
    <row r="1058" spans="1:12">
      <c r="A1058">
        <v>4581</v>
      </c>
      <c r="B1058" s="63" t="s">
        <v>334</v>
      </c>
      <c r="C1058" s="63" t="s">
        <v>1071</v>
      </c>
      <c r="D1058" s="63" t="s">
        <v>59</v>
      </c>
      <c r="E1058" s="63" t="s">
        <v>203</v>
      </c>
      <c r="F1058" s="63" t="s">
        <v>1939</v>
      </c>
      <c r="G1058">
        <v>1</v>
      </c>
      <c r="H1058">
        <v>60</v>
      </c>
      <c r="I1058">
        <v>360</v>
      </c>
      <c r="J1058">
        <v>360</v>
      </c>
      <c r="K1058">
        <v>20.100000000000001</v>
      </c>
      <c r="L1058">
        <v>3</v>
      </c>
    </row>
    <row r="1059" spans="1:12">
      <c r="A1059">
        <v>4581</v>
      </c>
      <c r="B1059" s="63" t="s">
        <v>334</v>
      </c>
      <c r="C1059" s="63" t="s">
        <v>1071</v>
      </c>
      <c r="D1059" s="63" t="s">
        <v>59</v>
      </c>
      <c r="E1059" s="63" t="s">
        <v>203</v>
      </c>
      <c r="F1059" s="63" t="s">
        <v>1201</v>
      </c>
      <c r="G1059">
        <v>1</v>
      </c>
      <c r="H1059">
        <v>60</v>
      </c>
      <c r="I1059">
        <v>359</v>
      </c>
      <c r="J1059">
        <v>359</v>
      </c>
      <c r="K1059">
        <v>17.22</v>
      </c>
      <c r="L1059">
        <v>3</v>
      </c>
    </row>
    <row r="1060" spans="1:12">
      <c r="A1060">
        <v>4581</v>
      </c>
      <c r="B1060" s="63" t="s">
        <v>334</v>
      </c>
      <c r="C1060" s="63" t="s">
        <v>1071</v>
      </c>
      <c r="D1060" s="63" t="s">
        <v>59</v>
      </c>
      <c r="E1060" s="63" t="s">
        <v>203</v>
      </c>
      <c r="F1060" s="63" t="s">
        <v>1160</v>
      </c>
      <c r="G1060">
        <v>1</v>
      </c>
      <c r="H1060">
        <v>60</v>
      </c>
      <c r="I1060">
        <v>359</v>
      </c>
      <c r="J1060">
        <v>359</v>
      </c>
      <c r="K1060">
        <v>13.25</v>
      </c>
      <c r="L1060">
        <v>3</v>
      </c>
    </row>
    <row r="1061" spans="1:12">
      <c r="A1061">
        <v>4581</v>
      </c>
      <c r="B1061" s="63" t="s">
        <v>334</v>
      </c>
      <c r="C1061" s="63" t="s">
        <v>1071</v>
      </c>
      <c r="D1061" s="63" t="s">
        <v>59</v>
      </c>
      <c r="E1061" s="63" t="s">
        <v>203</v>
      </c>
      <c r="F1061" s="63" t="s">
        <v>1501</v>
      </c>
      <c r="G1061">
        <v>1</v>
      </c>
      <c r="H1061">
        <v>41</v>
      </c>
      <c r="I1061">
        <v>246</v>
      </c>
      <c r="J1061">
        <v>246</v>
      </c>
      <c r="K1061">
        <v>10</v>
      </c>
      <c r="L1061">
        <v>3</v>
      </c>
    </row>
    <row r="1062" spans="1:12">
      <c r="A1062">
        <v>4588</v>
      </c>
      <c r="B1062" s="63" t="s">
        <v>256</v>
      </c>
      <c r="C1062" s="63" t="s">
        <v>2542</v>
      </c>
      <c r="D1062" s="63" t="s">
        <v>59</v>
      </c>
      <c r="E1062" s="63" t="s">
        <v>203</v>
      </c>
      <c r="F1062" s="63" t="s">
        <v>2578</v>
      </c>
      <c r="G1062">
        <v>1</v>
      </c>
      <c r="H1062">
        <v>59</v>
      </c>
      <c r="I1062">
        <v>354</v>
      </c>
      <c r="J1062">
        <v>7080</v>
      </c>
      <c r="K1062">
        <v>35.6</v>
      </c>
      <c r="L1062">
        <v>1</v>
      </c>
    </row>
    <row r="1063" spans="1:12">
      <c r="A1063">
        <v>4599</v>
      </c>
      <c r="B1063" s="63" t="s">
        <v>408</v>
      </c>
      <c r="C1063" s="63" t="s">
        <v>2571</v>
      </c>
      <c r="D1063" s="63" t="s">
        <v>59</v>
      </c>
      <c r="E1063" s="63" t="s">
        <v>1193</v>
      </c>
      <c r="F1063" s="63" t="s">
        <v>1425</v>
      </c>
      <c r="G1063">
        <v>1</v>
      </c>
      <c r="H1063">
        <v>1</v>
      </c>
      <c r="I1063">
        <v>20</v>
      </c>
      <c r="J1063">
        <v>20</v>
      </c>
      <c r="K1063">
        <v>0.45</v>
      </c>
      <c r="L1063">
        <v>3</v>
      </c>
    </row>
    <row r="1064" spans="1:12">
      <c r="A1064">
        <v>4599</v>
      </c>
      <c r="B1064" s="63" t="s">
        <v>408</v>
      </c>
      <c r="C1064" s="63" t="s">
        <v>2571</v>
      </c>
      <c r="D1064" s="63" t="s">
        <v>59</v>
      </c>
      <c r="E1064" s="63" t="s">
        <v>184</v>
      </c>
      <c r="F1064" s="63" t="s">
        <v>1525</v>
      </c>
      <c r="G1064">
        <v>1</v>
      </c>
      <c r="H1064">
        <v>2</v>
      </c>
      <c r="I1064">
        <v>40</v>
      </c>
      <c r="J1064">
        <v>40</v>
      </c>
      <c r="K1064">
        <v>7.45</v>
      </c>
      <c r="L1064">
        <v>3</v>
      </c>
    </row>
    <row r="1065" spans="1:12">
      <c r="A1065">
        <v>4599</v>
      </c>
      <c r="B1065" s="63" t="s">
        <v>334</v>
      </c>
      <c r="C1065" s="63" t="s">
        <v>1725</v>
      </c>
      <c r="D1065" s="63" t="s">
        <v>59</v>
      </c>
      <c r="E1065" s="63" t="s">
        <v>203</v>
      </c>
      <c r="F1065" s="63" t="s">
        <v>1263</v>
      </c>
      <c r="G1065">
        <v>1</v>
      </c>
      <c r="H1065">
        <v>1</v>
      </c>
      <c r="I1065">
        <v>6</v>
      </c>
      <c r="J1065">
        <v>6</v>
      </c>
      <c r="K1065">
        <v>2.02</v>
      </c>
      <c r="L1065">
        <v>1</v>
      </c>
    </row>
    <row r="1066" spans="1:12">
      <c r="A1066">
        <v>4599</v>
      </c>
      <c r="B1066" s="63" t="s">
        <v>334</v>
      </c>
      <c r="C1066" s="63" t="s">
        <v>1071</v>
      </c>
      <c r="D1066" s="63" t="s">
        <v>59</v>
      </c>
      <c r="E1066" s="63" t="s">
        <v>203</v>
      </c>
      <c r="F1066" s="63" t="s">
        <v>483</v>
      </c>
      <c r="G1066">
        <v>1</v>
      </c>
      <c r="H1066">
        <v>1</v>
      </c>
      <c r="I1066">
        <v>6</v>
      </c>
      <c r="J1066">
        <v>6</v>
      </c>
      <c r="K1066">
        <v>5.0199999999999996</v>
      </c>
      <c r="L1066">
        <v>1</v>
      </c>
    </row>
    <row r="1067" spans="1:12">
      <c r="A1067">
        <v>4599</v>
      </c>
      <c r="B1067" s="63" t="s">
        <v>334</v>
      </c>
      <c r="C1067" s="63" t="s">
        <v>1071</v>
      </c>
      <c r="D1067" s="63" t="s">
        <v>59</v>
      </c>
      <c r="E1067" s="63" t="s">
        <v>184</v>
      </c>
      <c r="F1067" s="63" t="s">
        <v>523</v>
      </c>
      <c r="G1067">
        <v>1</v>
      </c>
      <c r="H1067">
        <v>1</v>
      </c>
      <c r="I1067">
        <v>6</v>
      </c>
      <c r="J1067">
        <v>6</v>
      </c>
      <c r="K1067">
        <v>7.68</v>
      </c>
      <c r="L1067">
        <v>2</v>
      </c>
    </row>
    <row r="1068" spans="1:12">
      <c r="A1068">
        <v>4599</v>
      </c>
      <c r="B1068" s="63" t="s">
        <v>334</v>
      </c>
      <c r="C1068" s="63" t="s">
        <v>1071</v>
      </c>
      <c r="D1068" s="63" t="s">
        <v>59</v>
      </c>
      <c r="E1068" s="63" t="s">
        <v>184</v>
      </c>
      <c r="F1068" s="63" t="s">
        <v>770</v>
      </c>
      <c r="G1068">
        <v>1</v>
      </c>
      <c r="H1068">
        <v>3</v>
      </c>
      <c r="I1068">
        <v>18</v>
      </c>
      <c r="J1068">
        <v>18</v>
      </c>
      <c r="K1068">
        <v>2.87</v>
      </c>
      <c r="L1068">
        <v>2</v>
      </c>
    </row>
    <row r="1069" spans="1:12">
      <c r="A1069">
        <v>5200</v>
      </c>
      <c r="B1069" s="63" t="s">
        <v>320</v>
      </c>
      <c r="C1069" s="63" t="s">
        <v>321</v>
      </c>
      <c r="D1069" s="63" t="s">
        <v>269</v>
      </c>
      <c r="E1069" s="63" t="s">
        <v>174</v>
      </c>
      <c r="F1069" s="63" t="s">
        <v>1413</v>
      </c>
      <c r="G1069">
        <v>1</v>
      </c>
      <c r="H1069">
        <v>52</v>
      </c>
      <c r="I1069">
        <v>52</v>
      </c>
      <c r="J1069">
        <v>52</v>
      </c>
      <c r="K1069">
        <v>623.04999999999995</v>
      </c>
      <c r="L1069">
        <v>25</v>
      </c>
    </row>
    <row r="1070" spans="1:12">
      <c r="A1070">
        <v>5200</v>
      </c>
      <c r="B1070" s="63" t="s">
        <v>2579</v>
      </c>
      <c r="C1070" s="63" t="s">
        <v>2580</v>
      </c>
      <c r="D1070" s="63" t="s">
        <v>59</v>
      </c>
      <c r="E1070" s="63" t="s">
        <v>174</v>
      </c>
      <c r="F1070" s="63" t="s">
        <v>2034</v>
      </c>
      <c r="G1070">
        <v>1</v>
      </c>
      <c r="H1070">
        <v>29</v>
      </c>
      <c r="I1070">
        <v>659</v>
      </c>
      <c r="J1070">
        <v>659</v>
      </c>
      <c r="K1070">
        <v>54.87</v>
      </c>
      <c r="L1070">
        <v>27</v>
      </c>
    </row>
    <row r="1071" spans="1:12">
      <c r="A1071">
        <v>5200</v>
      </c>
      <c r="B1071" s="63" t="s">
        <v>1282</v>
      </c>
      <c r="C1071" s="63" t="s">
        <v>1283</v>
      </c>
      <c r="D1071" s="63" t="s">
        <v>309</v>
      </c>
      <c r="E1071" s="63" t="s">
        <v>174</v>
      </c>
      <c r="F1071" s="63" t="s">
        <v>1343</v>
      </c>
      <c r="G1071">
        <v>1</v>
      </c>
      <c r="H1071">
        <v>8</v>
      </c>
      <c r="I1071">
        <v>185</v>
      </c>
      <c r="J1071">
        <v>185</v>
      </c>
      <c r="K1071">
        <v>2.02</v>
      </c>
      <c r="L1071">
        <v>75</v>
      </c>
    </row>
    <row r="1072" spans="1:12">
      <c r="A1072">
        <v>5200</v>
      </c>
      <c r="B1072" s="63" t="s">
        <v>1282</v>
      </c>
      <c r="C1072" s="63" t="s">
        <v>1283</v>
      </c>
      <c r="D1072" s="63" t="s">
        <v>59</v>
      </c>
      <c r="G1072">
        <v>1</v>
      </c>
      <c r="H1072">
        <v>59</v>
      </c>
      <c r="I1072">
        <v>1381</v>
      </c>
      <c r="J1072">
        <v>1381</v>
      </c>
      <c r="K1072">
        <v>6.35</v>
      </c>
      <c r="L1072">
        <v>2</v>
      </c>
    </row>
    <row r="1073" spans="1:12">
      <c r="A1073">
        <v>5200</v>
      </c>
      <c r="B1073" s="63" t="s">
        <v>1282</v>
      </c>
      <c r="C1073" s="63" t="s">
        <v>1283</v>
      </c>
      <c r="D1073" s="63" t="s">
        <v>59</v>
      </c>
      <c r="E1073" s="63" t="s">
        <v>2581</v>
      </c>
      <c r="F1073" s="63" t="s">
        <v>1299</v>
      </c>
      <c r="G1073">
        <v>1</v>
      </c>
      <c r="H1073">
        <v>59</v>
      </c>
      <c r="I1073">
        <v>1345</v>
      </c>
      <c r="J1073">
        <v>1345</v>
      </c>
      <c r="K1073">
        <v>2.3199999999999998</v>
      </c>
      <c r="L1073">
        <v>2</v>
      </c>
    </row>
    <row r="1074" spans="1:12">
      <c r="A1074">
        <v>5200</v>
      </c>
      <c r="B1074" s="63" t="s">
        <v>2582</v>
      </c>
      <c r="C1074" s="63" t="s">
        <v>2583</v>
      </c>
      <c r="D1074" s="63" t="s">
        <v>205</v>
      </c>
      <c r="E1074" s="63" t="s">
        <v>174</v>
      </c>
      <c r="F1074" s="63" t="s">
        <v>2140</v>
      </c>
      <c r="G1074">
        <v>1</v>
      </c>
      <c r="H1074">
        <v>18</v>
      </c>
      <c r="I1074">
        <v>343</v>
      </c>
      <c r="J1074">
        <v>343</v>
      </c>
      <c r="K1074">
        <v>18.62</v>
      </c>
      <c r="L1074">
        <v>2</v>
      </c>
    </row>
    <row r="1075" spans="1:12">
      <c r="A1075">
        <v>5200</v>
      </c>
      <c r="B1075" s="63" t="s">
        <v>946</v>
      </c>
      <c r="C1075" s="63" t="s">
        <v>947</v>
      </c>
      <c r="D1075" s="63" t="s">
        <v>59</v>
      </c>
      <c r="E1075" s="63" t="s">
        <v>254</v>
      </c>
      <c r="F1075" s="63" t="s">
        <v>2584</v>
      </c>
      <c r="G1075">
        <v>1</v>
      </c>
      <c r="H1075">
        <v>4</v>
      </c>
      <c r="I1075">
        <v>75</v>
      </c>
      <c r="J1075">
        <v>75</v>
      </c>
      <c r="K1075">
        <v>680.78</v>
      </c>
      <c r="L1075">
        <v>50</v>
      </c>
    </row>
    <row r="1076" spans="1:12">
      <c r="A1076">
        <v>5200</v>
      </c>
      <c r="B1076" s="63" t="s">
        <v>260</v>
      </c>
      <c r="C1076" s="63" t="s">
        <v>1043</v>
      </c>
      <c r="D1076" s="63" t="s">
        <v>59</v>
      </c>
      <c r="E1076" s="63" t="s">
        <v>254</v>
      </c>
      <c r="F1076" s="63" t="s">
        <v>1849</v>
      </c>
      <c r="G1076">
        <v>1</v>
      </c>
      <c r="H1076">
        <v>9</v>
      </c>
      <c r="I1076">
        <v>144</v>
      </c>
      <c r="J1076">
        <v>144</v>
      </c>
      <c r="K1076">
        <v>946.37</v>
      </c>
      <c r="L1076">
        <v>58</v>
      </c>
    </row>
    <row r="1077" spans="1:12">
      <c r="A1077">
        <v>5200</v>
      </c>
      <c r="B1077" s="63" t="s">
        <v>815</v>
      </c>
      <c r="C1077" s="63" t="s">
        <v>823</v>
      </c>
      <c r="D1077" s="63" t="s">
        <v>307</v>
      </c>
      <c r="G1077">
        <v>1</v>
      </c>
      <c r="H1077">
        <v>1</v>
      </c>
      <c r="I1077">
        <v>6</v>
      </c>
      <c r="J1077">
        <v>6</v>
      </c>
      <c r="K1077">
        <v>34.380000000000003</v>
      </c>
      <c r="L1077">
        <v>1</v>
      </c>
    </row>
    <row r="1078" spans="1:12">
      <c r="A1078">
        <v>5200</v>
      </c>
      <c r="B1078" s="63" t="s">
        <v>815</v>
      </c>
      <c r="C1078" s="63" t="s">
        <v>823</v>
      </c>
      <c r="D1078" s="63" t="s">
        <v>307</v>
      </c>
      <c r="E1078" s="63" t="s">
        <v>173</v>
      </c>
      <c r="F1078" s="63" t="s">
        <v>1998</v>
      </c>
      <c r="G1078">
        <v>1</v>
      </c>
      <c r="H1078">
        <v>31</v>
      </c>
      <c r="I1078">
        <v>173</v>
      </c>
      <c r="J1078">
        <v>173</v>
      </c>
      <c r="K1078">
        <v>2.98</v>
      </c>
      <c r="L1078">
        <v>1</v>
      </c>
    </row>
    <row r="1079" spans="1:12">
      <c r="A1079">
        <v>5200</v>
      </c>
      <c r="B1079" s="63" t="s">
        <v>815</v>
      </c>
      <c r="C1079" s="63" t="s">
        <v>823</v>
      </c>
      <c r="D1079" s="63" t="s">
        <v>307</v>
      </c>
      <c r="E1079" s="63" t="s">
        <v>174</v>
      </c>
      <c r="F1079" s="63" t="s">
        <v>1547</v>
      </c>
      <c r="G1079">
        <v>1</v>
      </c>
      <c r="H1079">
        <v>46</v>
      </c>
      <c r="I1079">
        <v>262</v>
      </c>
      <c r="J1079">
        <v>262</v>
      </c>
      <c r="K1079">
        <v>0.63</v>
      </c>
      <c r="L1079">
        <v>1</v>
      </c>
    </row>
    <row r="1080" spans="1:12">
      <c r="A1080">
        <v>5200</v>
      </c>
      <c r="B1080" s="63" t="s">
        <v>815</v>
      </c>
      <c r="C1080" s="63" t="s">
        <v>823</v>
      </c>
      <c r="D1080" s="63" t="s">
        <v>307</v>
      </c>
      <c r="E1080" s="63" t="s">
        <v>174</v>
      </c>
      <c r="F1080" s="63" t="s">
        <v>2136</v>
      </c>
      <c r="G1080">
        <v>1</v>
      </c>
      <c r="H1080">
        <v>48</v>
      </c>
      <c r="I1080">
        <v>262</v>
      </c>
      <c r="J1080">
        <v>262</v>
      </c>
      <c r="K1080">
        <v>0.92</v>
      </c>
      <c r="L1080">
        <v>1</v>
      </c>
    </row>
    <row r="1081" spans="1:12">
      <c r="A1081">
        <v>5200</v>
      </c>
      <c r="B1081" s="63" t="s">
        <v>815</v>
      </c>
      <c r="C1081" s="63" t="s">
        <v>823</v>
      </c>
      <c r="D1081" s="63" t="s">
        <v>307</v>
      </c>
      <c r="E1081" s="63" t="s">
        <v>174</v>
      </c>
      <c r="F1081" s="63" t="s">
        <v>2585</v>
      </c>
      <c r="G1081">
        <v>1</v>
      </c>
      <c r="H1081">
        <v>48</v>
      </c>
      <c r="I1081">
        <v>281</v>
      </c>
      <c r="J1081">
        <v>281</v>
      </c>
      <c r="K1081">
        <v>1.2</v>
      </c>
      <c r="L1081">
        <v>1</v>
      </c>
    </row>
    <row r="1082" spans="1:12">
      <c r="A1082">
        <v>5200</v>
      </c>
      <c r="B1082" s="63" t="s">
        <v>815</v>
      </c>
      <c r="C1082" s="63" t="s">
        <v>823</v>
      </c>
      <c r="D1082" s="63" t="s">
        <v>307</v>
      </c>
      <c r="E1082" s="63" t="s">
        <v>174</v>
      </c>
      <c r="F1082" s="63" t="s">
        <v>625</v>
      </c>
      <c r="G1082">
        <v>1</v>
      </c>
      <c r="H1082">
        <v>48</v>
      </c>
      <c r="I1082">
        <v>261</v>
      </c>
      <c r="J1082">
        <v>261</v>
      </c>
      <c r="K1082">
        <v>3.63</v>
      </c>
      <c r="L1082">
        <v>1</v>
      </c>
    </row>
    <row r="1083" spans="1:12">
      <c r="A1083">
        <v>5200</v>
      </c>
      <c r="B1083" s="63" t="s">
        <v>815</v>
      </c>
      <c r="C1083" s="63" t="s">
        <v>823</v>
      </c>
      <c r="D1083" s="63" t="s">
        <v>307</v>
      </c>
      <c r="E1083" s="63" t="s">
        <v>184</v>
      </c>
      <c r="F1083" s="63" t="s">
        <v>453</v>
      </c>
      <c r="G1083">
        <v>1</v>
      </c>
      <c r="H1083">
        <v>2</v>
      </c>
      <c r="I1083">
        <v>12</v>
      </c>
      <c r="J1083">
        <v>12</v>
      </c>
      <c r="K1083">
        <v>37.950000000000003</v>
      </c>
      <c r="L1083">
        <v>2</v>
      </c>
    </row>
    <row r="1084" spans="1:12">
      <c r="A1084">
        <v>5200</v>
      </c>
      <c r="B1084" s="63" t="s">
        <v>1575</v>
      </c>
      <c r="C1084" s="63" t="s">
        <v>1612</v>
      </c>
      <c r="D1084" s="63" t="s">
        <v>309</v>
      </c>
      <c r="E1084" s="63" t="s">
        <v>184</v>
      </c>
      <c r="F1084" s="63" t="s">
        <v>1410</v>
      </c>
      <c r="G1084">
        <v>1</v>
      </c>
      <c r="H1084">
        <v>2</v>
      </c>
      <c r="I1084">
        <v>11</v>
      </c>
      <c r="J1084">
        <v>11</v>
      </c>
      <c r="K1084">
        <v>56.05</v>
      </c>
      <c r="L1084">
        <v>8</v>
      </c>
    </row>
    <row r="1085" spans="1:12">
      <c r="A1085">
        <v>5200</v>
      </c>
      <c r="B1085" s="63" t="s">
        <v>1575</v>
      </c>
      <c r="C1085" s="63" t="s">
        <v>1612</v>
      </c>
      <c r="D1085" s="63" t="s">
        <v>59</v>
      </c>
      <c r="E1085" s="63" t="s">
        <v>184</v>
      </c>
      <c r="F1085" s="63" t="s">
        <v>2048</v>
      </c>
      <c r="G1085">
        <v>1</v>
      </c>
      <c r="H1085">
        <v>3</v>
      </c>
      <c r="I1085">
        <v>16</v>
      </c>
      <c r="J1085">
        <v>16</v>
      </c>
      <c r="K1085">
        <v>269.27999999999997</v>
      </c>
      <c r="L1085">
        <v>14</v>
      </c>
    </row>
    <row r="1086" spans="1:12">
      <c r="A1086">
        <v>5201</v>
      </c>
      <c r="B1086" s="63" t="s">
        <v>402</v>
      </c>
      <c r="C1086" s="63" t="s">
        <v>403</v>
      </c>
      <c r="D1086" s="63" t="s">
        <v>322</v>
      </c>
      <c r="E1086" s="63" t="s">
        <v>372</v>
      </c>
      <c r="F1086" s="63" t="s">
        <v>404</v>
      </c>
      <c r="G1086">
        <v>1</v>
      </c>
      <c r="H1086">
        <v>6</v>
      </c>
      <c r="I1086">
        <v>6</v>
      </c>
      <c r="J1086">
        <v>6</v>
      </c>
      <c r="K1086">
        <v>45098.65</v>
      </c>
      <c r="L1086">
        <v>1900</v>
      </c>
    </row>
    <row r="1087" spans="1:12">
      <c r="A1087">
        <v>5202</v>
      </c>
      <c r="B1087" s="63" t="s">
        <v>356</v>
      </c>
      <c r="C1087" s="63" t="s">
        <v>358</v>
      </c>
      <c r="D1087" s="63" t="s">
        <v>59</v>
      </c>
      <c r="G1087">
        <v>1</v>
      </c>
      <c r="H1087">
        <v>139</v>
      </c>
      <c r="I1087">
        <v>2502</v>
      </c>
      <c r="J1087">
        <v>2502</v>
      </c>
      <c r="K1087">
        <v>3.03</v>
      </c>
      <c r="L1087">
        <v>4</v>
      </c>
    </row>
    <row r="1088" spans="1:12">
      <c r="A1088">
        <v>5202</v>
      </c>
      <c r="B1088" s="63" t="s">
        <v>356</v>
      </c>
      <c r="C1088" s="63" t="s">
        <v>358</v>
      </c>
      <c r="D1088" s="63" t="s">
        <v>59</v>
      </c>
      <c r="E1088" s="63" t="s">
        <v>172</v>
      </c>
      <c r="F1088" s="63" t="s">
        <v>935</v>
      </c>
      <c r="G1088">
        <v>1</v>
      </c>
      <c r="H1088">
        <v>60</v>
      </c>
      <c r="I1088">
        <v>1080</v>
      </c>
      <c r="J1088">
        <v>1080</v>
      </c>
      <c r="K1088">
        <v>23.75</v>
      </c>
      <c r="L1088">
        <v>4</v>
      </c>
    </row>
    <row r="1089" spans="1:12">
      <c r="A1089">
        <v>5202</v>
      </c>
      <c r="B1089" s="63" t="s">
        <v>356</v>
      </c>
      <c r="C1089" s="63" t="s">
        <v>358</v>
      </c>
      <c r="D1089" s="63" t="s">
        <v>59</v>
      </c>
      <c r="E1089" s="63" t="s">
        <v>172</v>
      </c>
      <c r="F1089" s="63" t="s">
        <v>2103</v>
      </c>
      <c r="G1089">
        <v>1</v>
      </c>
      <c r="H1089">
        <v>60</v>
      </c>
      <c r="I1089">
        <v>1080</v>
      </c>
      <c r="J1089">
        <v>1080</v>
      </c>
      <c r="K1089">
        <v>24.42</v>
      </c>
      <c r="L1089">
        <v>4</v>
      </c>
    </row>
    <row r="1090" spans="1:12">
      <c r="A1090">
        <v>5202</v>
      </c>
      <c r="B1090" s="63" t="s">
        <v>356</v>
      </c>
      <c r="C1090" s="63" t="s">
        <v>358</v>
      </c>
      <c r="D1090" s="63" t="s">
        <v>59</v>
      </c>
      <c r="E1090" s="63" t="s">
        <v>172</v>
      </c>
      <c r="F1090" s="63" t="s">
        <v>2122</v>
      </c>
      <c r="G1090">
        <v>1</v>
      </c>
      <c r="H1090">
        <v>60</v>
      </c>
      <c r="I1090">
        <v>1080</v>
      </c>
      <c r="J1090">
        <v>1080</v>
      </c>
      <c r="K1090">
        <v>20</v>
      </c>
      <c r="L1090">
        <v>4</v>
      </c>
    </row>
    <row r="1091" spans="1:12">
      <c r="A1091">
        <v>5202</v>
      </c>
      <c r="B1091" s="63" t="s">
        <v>356</v>
      </c>
      <c r="C1091" s="63" t="s">
        <v>358</v>
      </c>
      <c r="D1091" s="63" t="s">
        <v>59</v>
      </c>
      <c r="E1091" s="63" t="s">
        <v>172</v>
      </c>
      <c r="F1091" s="63" t="s">
        <v>1819</v>
      </c>
      <c r="G1091">
        <v>1</v>
      </c>
      <c r="H1091">
        <v>60</v>
      </c>
      <c r="I1091">
        <v>1080</v>
      </c>
      <c r="J1091">
        <v>1080</v>
      </c>
      <c r="K1091">
        <v>39.33</v>
      </c>
      <c r="L1091">
        <v>4</v>
      </c>
    </row>
    <row r="1092" spans="1:12">
      <c r="A1092">
        <v>5202</v>
      </c>
      <c r="B1092" s="63" t="s">
        <v>356</v>
      </c>
      <c r="C1092" s="63" t="s">
        <v>358</v>
      </c>
      <c r="D1092" s="63" t="s">
        <v>59</v>
      </c>
      <c r="E1092" s="63" t="s">
        <v>172</v>
      </c>
      <c r="F1092" s="63" t="s">
        <v>533</v>
      </c>
      <c r="G1092">
        <v>1</v>
      </c>
      <c r="H1092">
        <v>54</v>
      </c>
      <c r="I1092">
        <v>972</v>
      </c>
      <c r="J1092">
        <v>972</v>
      </c>
      <c r="K1092">
        <v>22.35</v>
      </c>
      <c r="L1092">
        <v>4</v>
      </c>
    </row>
    <row r="1093" spans="1:12">
      <c r="A1093">
        <v>5202</v>
      </c>
      <c r="B1093" s="63" t="s">
        <v>356</v>
      </c>
      <c r="C1093" s="63" t="s">
        <v>358</v>
      </c>
      <c r="D1093" s="63" t="s">
        <v>59</v>
      </c>
      <c r="E1093" s="63" t="s">
        <v>172</v>
      </c>
      <c r="F1093" s="63" t="s">
        <v>2060</v>
      </c>
      <c r="G1093">
        <v>1</v>
      </c>
      <c r="H1093">
        <v>60</v>
      </c>
      <c r="I1093">
        <v>1080</v>
      </c>
      <c r="J1093">
        <v>1080</v>
      </c>
      <c r="K1093">
        <v>39.82</v>
      </c>
      <c r="L1093">
        <v>4</v>
      </c>
    </row>
    <row r="1094" spans="1:12">
      <c r="A1094">
        <v>5202</v>
      </c>
      <c r="B1094" s="63" t="s">
        <v>356</v>
      </c>
      <c r="C1094" s="63" t="s">
        <v>358</v>
      </c>
      <c r="D1094" s="63" t="s">
        <v>59</v>
      </c>
      <c r="E1094" s="63" t="s">
        <v>172</v>
      </c>
      <c r="F1094" s="63" t="s">
        <v>2043</v>
      </c>
      <c r="G1094">
        <v>1</v>
      </c>
      <c r="H1094">
        <v>60</v>
      </c>
      <c r="I1094">
        <v>1079</v>
      </c>
      <c r="J1094">
        <v>1079</v>
      </c>
      <c r="K1094">
        <v>21.18</v>
      </c>
      <c r="L1094">
        <v>4</v>
      </c>
    </row>
    <row r="1095" spans="1:12">
      <c r="A1095">
        <v>5202</v>
      </c>
      <c r="B1095" s="63" t="s">
        <v>356</v>
      </c>
      <c r="C1095" s="63" t="s">
        <v>358</v>
      </c>
      <c r="D1095" s="63" t="s">
        <v>59</v>
      </c>
      <c r="E1095" s="63" t="s">
        <v>203</v>
      </c>
      <c r="F1095" s="63" t="s">
        <v>2586</v>
      </c>
      <c r="G1095">
        <v>1</v>
      </c>
      <c r="H1095">
        <v>60</v>
      </c>
      <c r="I1095">
        <v>1080</v>
      </c>
      <c r="J1095">
        <v>1080</v>
      </c>
      <c r="K1095">
        <v>20.5</v>
      </c>
      <c r="L1095">
        <v>4</v>
      </c>
    </row>
    <row r="1096" spans="1:12">
      <c r="A1096">
        <v>5202</v>
      </c>
      <c r="B1096" s="63" t="s">
        <v>356</v>
      </c>
      <c r="C1096" s="63" t="s">
        <v>358</v>
      </c>
      <c r="D1096" s="63" t="s">
        <v>59</v>
      </c>
      <c r="E1096" s="63" t="s">
        <v>203</v>
      </c>
      <c r="F1096" s="63" t="s">
        <v>1974</v>
      </c>
      <c r="G1096">
        <v>1</v>
      </c>
      <c r="H1096">
        <v>60</v>
      </c>
      <c r="I1096">
        <v>1079</v>
      </c>
      <c r="J1096">
        <v>1079</v>
      </c>
      <c r="K1096">
        <v>43.05</v>
      </c>
      <c r="L1096">
        <v>4</v>
      </c>
    </row>
    <row r="1097" spans="1:12">
      <c r="A1097">
        <v>5202</v>
      </c>
      <c r="B1097" s="63" t="s">
        <v>356</v>
      </c>
      <c r="C1097" s="63" t="s">
        <v>358</v>
      </c>
      <c r="D1097" s="63" t="s">
        <v>59</v>
      </c>
      <c r="E1097" s="63" t="s">
        <v>173</v>
      </c>
      <c r="F1097" s="63" t="s">
        <v>1600</v>
      </c>
      <c r="G1097">
        <v>1</v>
      </c>
      <c r="H1097">
        <v>60</v>
      </c>
      <c r="I1097">
        <v>1080</v>
      </c>
      <c r="J1097">
        <v>1080</v>
      </c>
      <c r="K1097">
        <v>41.28</v>
      </c>
      <c r="L1097">
        <v>4</v>
      </c>
    </row>
    <row r="1098" spans="1:12">
      <c r="A1098">
        <v>5202</v>
      </c>
      <c r="B1098" s="63" t="s">
        <v>356</v>
      </c>
      <c r="C1098" s="63" t="s">
        <v>358</v>
      </c>
      <c r="D1098" s="63" t="s">
        <v>59</v>
      </c>
      <c r="E1098" s="63" t="s">
        <v>173</v>
      </c>
      <c r="F1098" s="63" t="s">
        <v>960</v>
      </c>
      <c r="G1098">
        <v>1</v>
      </c>
      <c r="H1098">
        <v>60</v>
      </c>
      <c r="I1098">
        <v>1080</v>
      </c>
      <c r="J1098">
        <v>1080</v>
      </c>
      <c r="K1098">
        <v>41.97</v>
      </c>
      <c r="L1098">
        <v>4</v>
      </c>
    </row>
    <row r="1099" spans="1:12">
      <c r="A1099">
        <v>5202</v>
      </c>
      <c r="B1099" s="63" t="s">
        <v>356</v>
      </c>
      <c r="C1099" s="63" t="s">
        <v>358</v>
      </c>
      <c r="D1099" s="63" t="s">
        <v>59</v>
      </c>
      <c r="E1099" s="63" t="s">
        <v>173</v>
      </c>
      <c r="F1099" s="63" t="s">
        <v>2126</v>
      </c>
      <c r="G1099">
        <v>1</v>
      </c>
      <c r="H1099">
        <v>60</v>
      </c>
      <c r="I1099">
        <v>1080</v>
      </c>
      <c r="J1099">
        <v>1080</v>
      </c>
      <c r="K1099">
        <v>39.28</v>
      </c>
      <c r="L1099">
        <v>4</v>
      </c>
    </row>
    <row r="1100" spans="1:12">
      <c r="A1100">
        <v>5202</v>
      </c>
      <c r="B1100" s="63" t="s">
        <v>356</v>
      </c>
      <c r="C1100" s="63" t="s">
        <v>358</v>
      </c>
      <c r="D1100" s="63" t="s">
        <v>59</v>
      </c>
      <c r="E1100" s="63" t="s">
        <v>173</v>
      </c>
      <c r="F1100" s="63" t="s">
        <v>1475</v>
      </c>
      <c r="G1100">
        <v>1</v>
      </c>
      <c r="H1100">
        <v>60</v>
      </c>
      <c r="I1100">
        <v>1080</v>
      </c>
      <c r="J1100">
        <v>1080</v>
      </c>
      <c r="K1100">
        <v>44.7</v>
      </c>
      <c r="L1100">
        <v>4</v>
      </c>
    </row>
    <row r="1101" spans="1:12">
      <c r="A1101">
        <v>5202</v>
      </c>
      <c r="B1101" s="63" t="s">
        <v>356</v>
      </c>
      <c r="C1101" s="63" t="s">
        <v>358</v>
      </c>
      <c r="D1101" s="63" t="s">
        <v>59</v>
      </c>
      <c r="E1101" s="63" t="s">
        <v>173</v>
      </c>
      <c r="F1101" s="63" t="s">
        <v>478</v>
      </c>
      <c r="G1101">
        <v>1</v>
      </c>
      <c r="H1101">
        <v>60</v>
      </c>
      <c r="I1101">
        <v>1080</v>
      </c>
      <c r="J1101">
        <v>1080</v>
      </c>
      <c r="K1101">
        <v>50.53</v>
      </c>
      <c r="L1101">
        <v>4</v>
      </c>
    </row>
    <row r="1102" spans="1:12">
      <c r="A1102">
        <v>5202</v>
      </c>
      <c r="B1102" s="63" t="s">
        <v>356</v>
      </c>
      <c r="C1102" s="63" t="s">
        <v>358</v>
      </c>
      <c r="D1102" s="63" t="s">
        <v>59</v>
      </c>
      <c r="E1102" s="63" t="s">
        <v>173</v>
      </c>
      <c r="F1102" s="63" t="s">
        <v>1251</v>
      </c>
      <c r="G1102">
        <v>1</v>
      </c>
      <c r="H1102">
        <v>60</v>
      </c>
      <c r="I1102">
        <v>1080</v>
      </c>
      <c r="J1102">
        <v>1080</v>
      </c>
      <c r="K1102">
        <v>44.02</v>
      </c>
      <c r="L1102">
        <v>4</v>
      </c>
    </row>
    <row r="1103" spans="1:12">
      <c r="A1103">
        <v>5202</v>
      </c>
      <c r="B1103" s="63" t="s">
        <v>356</v>
      </c>
      <c r="C1103" s="63" t="s">
        <v>358</v>
      </c>
      <c r="D1103" s="63" t="s">
        <v>59</v>
      </c>
      <c r="E1103" s="63" t="s">
        <v>174</v>
      </c>
      <c r="F1103" s="63" t="s">
        <v>438</v>
      </c>
      <c r="G1103">
        <v>1</v>
      </c>
      <c r="H1103">
        <v>60</v>
      </c>
      <c r="I1103">
        <v>1080</v>
      </c>
      <c r="J1103">
        <v>1080</v>
      </c>
      <c r="K1103">
        <v>43.33</v>
      </c>
      <c r="L1103">
        <v>4</v>
      </c>
    </row>
    <row r="1104" spans="1:12">
      <c r="A1104">
        <v>5202</v>
      </c>
      <c r="B1104" s="63" t="s">
        <v>356</v>
      </c>
      <c r="C1104" s="63" t="s">
        <v>358</v>
      </c>
      <c r="D1104" s="63" t="s">
        <v>59</v>
      </c>
      <c r="E1104" s="63" t="s">
        <v>174</v>
      </c>
      <c r="F1104" s="63" t="s">
        <v>604</v>
      </c>
      <c r="G1104">
        <v>1</v>
      </c>
      <c r="H1104">
        <v>60</v>
      </c>
      <c r="I1104">
        <v>1080</v>
      </c>
      <c r="J1104">
        <v>1080</v>
      </c>
      <c r="K1104">
        <v>52.65</v>
      </c>
      <c r="L1104">
        <v>4</v>
      </c>
    </row>
    <row r="1105" spans="1:12">
      <c r="A1105">
        <v>5202</v>
      </c>
      <c r="B1105" s="63" t="s">
        <v>356</v>
      </c>
      <c r="C1105" s="63" t="s">
        <v>358</v>
      </c>
      <c r="D1105" s="63" t="s">
        <v>59</v>
      </c>
      <c r="E1105" s="63" t="s">
        <v>174</v>
      </c>
      <c r="F1105" s="63" t="s">
        <v>2076</v>
      </c>
      <c r="G1105">
        <v>1</v>
      </c>
      <c r="H1105">
        <v>59</v>
      </c>
      <c r="I1105">
        <v>1062</v>
      </c>
      <c r="J1105">
        <v>1062</v>
      </c>
      <c r="K1105">
        <v>59.9</v>
      </c>
      <c r="L1105">
        <v>4</v>
      </c>
    </row>
    <row r="1106" spans="1:12">
      <c r="A1106">
        <v>5202</v>
      </c>
      <c r="B1106" s="63" t="s">
        <v>356</v>
      </c>
      <c r="C1106" s="63" t="s">
        <v>358</v>
      </c>
      <c r="D1106" s="63" t="s">
        <v>59</v>
      </c>
      <c r="E1106" s="63" t="s">
        <v>174</v>
      </c>
      <c r="F1106" s="63" t="s">
        <v>2070</v>
      </c>
      <c r="G1106">
        <v>1</v>
      </c>
      <c r="H1106">
        <v>60</v>
      </c>
      <c r="I1106">
        <v>1080</v>
      </c>
      <c r="J1106">
        <v>1080</v>
      </c>
      <c r="K1106">
        <v>39.229999999999997</v>
      </c>
      <c r="L1106">
        <v>4</v>
      </c>
    </row>
    <row r="1107" spans="1:12">
      <c r="A1107">
        <v>5202</v>
      </c>
      <c r="B1107" s="63" t="s">
        <v>356</v>
      </c>
      <c r="C1107" s="63" t="s">
        <v>358</v>
      </c>
      <c r="D1107" s="63" t="s">
        <v>59</v>
      </c>
      <c r="E1107" s="63" t="s">
        <v>174</v>
      </c>
      <c r="F1107" s="63" t="s">
        <v>1371</v>
      </c>
      <c r="G1107">
        <v>1</v>
      </c>
      <c r="H1107">
        <v>60</v>
      </c>
      <c r="I1107">
        <v>1080</v>
      </c>
      <c r="J1107">
        <v>1080</v>
      </c>
      <c r="K1107">
        <v>56.12</v>
      </c>
      <c r="L1107">
        <v>4</v>
      </c>
    </row>
    <row r="1108" spans="1:12">
      <c r="A1108">
        <v>5202</v>
      </c>
      <c r="B1108" s="63" t="s">
        <v>356</v>
      </c>
      <c r="C1108" s="63" t="s">
        <v>358</v>
      </c>
      <c r="D1108" s="63" t="s">
        <v>59</v>
      </c>
      <c r="E1108" s="63" t="s">
        <v>174</v>
      </c>
      <c r="F1108" s="63" t="s">
        <v>1424</v>
      </c>
      <c r="G1108">
        <v>1</v>
      </c>
      <c r="H1108">
        <v>58</v>
      </c>
      <c r="I1108">
        <v>1044</v>
      </c>
      <c r="J1108">
        <v>1044</v>
      </c>
      <c r="K1108">
        <v>11.85</v>
      </c>
      <c r="L1108">
        <v>4</v>
      </c>
    </row>
    <row r="1109" spans="1:12">
      <c r="A1109">
        <v>5202</v>
      </c>
      <c r="B1109" s="63" t="s">
        <v>356</v>
      </c>
      <c r="C1109" s="63" t="s">
        <v>358</v>
      </c>
      <c r="D1109" s="63" t="s">
        <v>59</v>
      </c>
      <c r="E1109" s="63" t="s">
        <v>174</v>
      </c>
      <c r="F1109" s="63" t="s">
        <v>945</v>
      </c>
      <c r="G1109">
        <v>1</v>
      </c>
      <c r="H1109">
        <v>60</v>
      </c>
      <c r="I1109">
        <v>1080</v>
      </c>
      <c r="J1109">
        <v>1080</v>
      </c>
      <c r="K1109">
        <v>54.73</v>
      </c>
      <c r="L1109">
        <v>4</v>
      </c>
    </row>
    <row r="1110" spans="1:12">
      <c r="A1110">
        <v>5202</v>
      </c>
      <c r="B1110" s="63" t="s">
        <v>356</v>
      </c>
      <c r="C1110" s="63" t="s">
        <v>358</v>
      </c>
      <c r="D1110" s="63" t="s">
        <v>59</v>
      </c>
      <c r="E1110" s="63" t="s">
        <v>174</v>
      </c>
      <c r="F1110" s="63" t="s">
        <v>1546</v>
      </c>
      <c r="G1110">
        <v>1</v>
      </c>
      <c r="H1110">
        <v>34</v>
      </c>
      <c r="I1110">
        <v>612</v>
      </c>
      <c r="J1110">
        <v>612</v>
      </c>
      <c r="K1110">
        <v>11.32</v>
      </c>
      <c r="L1110">
        <v>4</v>
      </c>
    </row>
    <row r="1111" spans="1:12">
      <c r="A1111">
        <v>5202</v>
      </c>
      <c r="B1111" s="63" t="s">
        <v>356</v>
      </c>
      <c r="C1111" s="63" t="s">
        <v>358</v>
      </c>
      <c r="D1111" s="63" t="s">
        <v>59</v>
      </c>
      <c r="E1111" s="63" t="s">
        <v>174</v>
      </c>
      <c r="F1111" s="63" t="s">
        <v>2587</v>
      </c>
      <c r="G1111">
        <v>1</v>
      </c>
      <c r="H1111">
        <v>51</v>
      </c>
      <c r="I1111">
        <v>918</v>
      </c>
      <c r="J1111">
        <v>918</v>
      </c>
      <c r="K1111">
        <v>32.5</v>
      </c>
      <c r="L1111">
        <v>4</v>
      </c>
    </row>
    <row r="1112" spans="1:12">
      <c r="A1112">
        <v>5202</v>
      </c>
      <c r="B1112" s="63" t="s">
        <v>356</v>
      </c>
      <c r="C1112" s="63" t="s">
        <v>358</v>
      </c>
      <c r="D1112" s="63" t="s">
        <v>59</v>
      </c>
      <c r="E1112" s="63" t="s">
        <v>175</v>
      </c>
      <c r="F1112" s="63" t="s">
        <v>1816</v>
      </c>
      <c r="G1112">
        <v>1</v>
      </c>
      <c r="H1112">
        <v>60</v>
      </c>
      <c r="I1112">
        <v>1080</v>
      </c>
      <c r="J1112">
        <v>1080</v>
      </c>
      <c r="K1112">
        <v>34.67</v>
      </c>
      <c r="L1112">
        <v>4</v>
      </c>
    </row>
    <row r="1113" spans="1:12">
      <c r="A1113">
        <v>5202</v>
      </c>
      <c r="B1113" s="63" t="s">
        <v>356</v>
      </c>
      <c r="C1113" s="63" t="s">
        <v>358</v>
      </c>
      <c r="D1113" s="63" t="s">
        <v>59</v>
      </c>
      <c r="E1113" s="63" t="s">
        <v>184</v>
      </c>
      <c r="F1113" s="63" t="s">
        <v>2588</v>
      </c>
      <c r="G1113">
        <v>1</v>
      </c>
      <c r="H1113">
        <v>60</v>
      </c>
      <c r="I1113">
        <v>1080</v>
      </c>
      <c r="J1113">
        <v>1080</v>
      </c>
      <c r="K1113">
        <v>48.8</v>
      </c>
      <c r="L1113">
        <v>4</v>
      </c>
    </row>
    <row r="1114" spans="1:12">
      <c r="A1114">
        <v>5220</v>
      </c>
      <c r="B1114" s="63" t="s">
        <v>320</v>
      </c>
      <c r="C1114" s="63" t="s">
        <v>321</v>
      </c>
      <c r="D1114" s="63" t="s">
        <v>269</v>
      </c>
      <c r="E1114" s="63" t="s">
        <v>173</v>
      </c>
      <c r="F1114" s="63" t="s">
        <v>456</v>
      </c>
      <c r="G1114">
        <v>1</v>
      </c>
      <c r="H1114">
        <v>5</v>
      </c>
      <c r="I1114">
        <v>5</v>
      </c>
      <c r="J1114">
        <v>5</v>
      </c>
      <c r="K1114">
        <v>436.93</v>
      </c>
      <c r="L1114">
        <v>108</v>
      </c>
    </row>
    <row r="1115" spans="1:12">
      <c r="A1115">
        <v>5231</v>
      </c>
      <c r="B1115" s="63" t="s">
        <v>1282</v>
      </c>
      <c r="C1115" s="63" t="s">
        <v>1283</v>
      </c>
      <c r="D1115" s="63" t="s">
        <v>59</v>
      </c>
      <c r="E1115" s="63" t="s">
        <v>2589</v>
      </c>
      <c r="F1115" s="63" t="s">
        <v>2590</v>
      </c>
      <c r="G1115">
        <v>1</v>
      </c>
      <c r="H1115">
        <v>60</v>
      </c>
      <c r="I1115">
        <v>1423</v>
      </c>
      <c r="J1115">
        <v>1423</v>
      </c>
      <c r="K1115">
        <v>0.18</v>
      </c>
      <c r="L1115">
        <v>2</v>
      </c>
    </row>
    <row r="1116" spans="1:12">
      <c r="A1116">
        <v>5290</v>
      </c>
      <c r="B1116" s="63" t="s">
        <v>259</v>
      </c>
      <c r="C1116" s="63" t="s">
        <v>406</v>
      </c>
      <c r="D1116" s="63" t="s">
        <v>59</v>
      </c>
      <c r="E1116" s="63" t="s">
        <v>254</v>
      </c>
      <c r="F1116" s="63" t="s">
        <v>2591</v>
      </c>
      <c r="G1116">
        <v>1</v>
      </c>
      <c r="H1116">
        <v>60</v>
      </c>
      <c r="I1116">
        <v>1163</v>
      </c>
      <c r="J1116">
        <v>1163</v>
      </c>
      <c r="K1116">
        <v>0.87</v>
      </c>
      <c r="L1116">
        <v>1</v>
      </c>
    </row>
    <row r="1117" spans="1:12">
      <c r="A1117">
        <v>5290</v>
      </c>
      <c r="B1117" s="63" t="s">
        <v>259</v>
      </c>
      <c r="C1117" s="63" t="s">
        <v>406</v>
      </c>
      <c r="D1117" s="63" t="s">
        <v>59</v>
      </c>
      <c r="E1117" s="63" t="s">
        <v>254</v>
      </c>
      <c r="F1117" s="63" t="s">
        <v>2592</v>
      </c>
      <c r="G1117">
        <v>1</v>
      </c>
      <c r="H1117">
        <v>60</v>
      </c>
      <c r="I1117">
        <v>1130</v>
      </c>
      <c r="J1117">
        <v>1130</v>
      </c>
      <c r="K1117">
        <v>0.53</v>
      </c>
      <c r="L1117">
        <v>0</v>
      </c>
    </row>
    <row r="1118" spans="1:12">
      <c r="A1118" s="63" t="s">
        <v>2118</v>
      </c>
      <c r="B1118" s="63" t="s">
        <v>1282</v>
      </c>
      <c r="C1118" s="63" t="s">
        <v>1283</v>
      </c>
      <c r="D1118" s="63" t="s">
        <v>59</v>
      </c>
      <c r="E1118" s="63" t="s">
        <v>174</v>
      </c>
      <c r="F1118" s="63" t="s">
        <v>2593</v>
      </c>
      <c r="G1118">
        <v>1</v>
      </c>
      <c r="H1118">
        <v>60</v>
      </c>
      <c r="I1118">
        <v>1359</v>
      </c>
      <c r="J1118">
        <v>1359</v>
      </c>
      <c r="K1118">
        <v>3.02</v>
      </c>
      <c r="L1118">
        <v>2</v>
      </c>
    </row>
    <row r="1119" spans="1:12">
      <c r="A1119" s="63" t="s">
        <v>2118</v>
      </c>
      <c r="B1119" s="63" t="s">
        <v>1282</v>
      </c>
      <c r="C1119" s="63" t="s">
        <v>1283</v>
      </c>
      <c r="D1119" s="63" t="s">
        <v>59</v>
      </c>
      <c r="E1119" s="63" t="s">
        <v>174</v>
      </c>
      <c r="F1119" s="63" t="s">
        <v>527</v>
      </c>
      <c r="G1119">
        <v>1</v>
      </c>
      <c r="H1119">
        <v>60</v>
      </c>
      <c r="I1119">
        <v>1381</v>
      </c>
      <c r="J1119">
        <v>1381</v>
      </c>
      <c r="K1119">
        <v>0.37</v>
      </c>
      <c r="L1119">
        <v>2</v>
      </c>
    </row>
    <row r="1120" spans="1:12">
      <c r="A1120" s="63" t="s">
        <v>2118</v>
      </c>
      <c r="B1120" s="63" t="s">
        <v>1282</v>
      </c>
      <c r="C1120" s="63" t="s">
        <v>1283</v>
      </c>
      <c r="D1120" s="63" t="s">
        <v>59</v>
      </c>
      <c r="E1120" s="63" t="s">
        <v>174</v>
      </c>
      <c r="F1120" s="63" t="s">
        <v>899</v>
      </c>
      <c r="G1120">
        <v>1</v>
      </c>
      <c r="H1120">
        <v>60</v>
      </c>
      <c r="I1120">
        <v>1415</v>
      </c>
      <c r="J1120">
        <v>1415</v>
      </c>
      <c r="K1120">
        <v>1</v>
      </c>
      <c r="L1120">
        <v>2</v>
      </c>
    </row>
    <row r="1121" spans="1:12">
      <c r="A1121">
        <v>5560</v>
      </c>
      <c r="B1121" s="63" t="s">
        <v>1282</v>
      </c>
      <c r="C1121" s="63" t="s">
        <v>1283</v>
      </c>
      <c r="D1121" s="63" t="s">
        <v>59</v>
      </c>
      <c r="E1121" s="63" t="s">
        <v>174</v>
      </c>
      <c r="F1121" s="63" t="s">
        <v>542</v>
      </c>
      <c r="G1121">
        <v>1</v>
      </c>
      <c r="H1121">
        <v>60</v>
      </c>
      <c r="I1121">
        <v>1413</v>
      </c>
      <c r="J1121">
        <v>1413</v>
      </c>
      <c r="K1121">
        <v>0.37</v>
      </c>
      <c r="L1121">
        <v>2</v>
      </c>
    </row>
    <row r="1122" spans="1:12">
      <c r="A1122">
        <v>5560</v>
      </c>
      <c r="B1122" s="63" t="s">
        <v>259</v>
      </c>
      <c r="C1122" s="63" t="s">
        <v>406</v>
      </c>
      <c r="D1122" s="63" t="s">
        <v>59</v>
      </c>
      <c r="E1122" s="63" t="s">
        <v>174</v>
      </c>
      <c r="F1122" s="63" t="s">
        <v>1465</v>
      </c>
      <c r="G1122">
        <v>1</v>
      </c>
      <c r="H1122">
        <v>60</v>
      </c>
      <c r="I1122">
        <v>1138</v>
      </c>
      <c r="J1122">
        <v>1138</v>
      </c>
      <c r="K1122">
        <v>8.43</v>
      </c>
      <c r="L1122">
        <v>1</v>
      </c>
    </row>
    <row r="1123" spans="1:12">
      <c r="A1123">
        <v>5601</v>
      </c>
      <c r="B1123" s="63" t="s">
        <v>259</v>
      </c>
      <c r="C1123" s="63" t="s">
        <v>406</v>
      </c>
      <c r="D1123" s="63" t="s">
        <v>59</v>
      </c>
      <c r="G1123">
        <v>1</v>
      </c>
      <c r="H1123">
        <v>59</v>
      </c>
      <c r="I1123">
        <v>1147</v>
      </c>
      <c r="J1123">
        <v>1147</v>
      </c>
      <c r="K1123">
        <v>0.72</v>
      </c>
      <c r="L1123">
        <v>1</v>
      </c>
    </row>
    <row r="1124" spans="1:12">
      <c r="A1124">
        <v>5603</v>
      </c>
      <c r="B1124" s="63" t="s">
        <v>356</v>
      </c>
      <c r="C1124" s="63" t="s">
        <v>358</v>
      </c>
      <c r="D1124" s="63" t="s">
        <v>59</v>
      </c>
      <c r="G1124">
        <v>1</v>
      </c>
      <c r="H1124">
        <v>60</v>
      </c>
      <c r="I1124">
        <v>1080</v>
      </c>
      <c r="J1124">
        <v>1080</v>
      </c>
      <c r="K1124">
        <v>0.6</v>
      </c>
      <c r="L1124">
        <v>4</v>
      </c>
    </row>
    <row r="1125" spans="1:12">
      <c r="A1125">
        <v>5603</v>
      </c>
      <c r="B1125" s="63" t="s">
        <v>356</v>
      </c>
      <c r="C1125" s="63" t="s">
        <v>358</v>
      </c>
      <c r="D1125" s="63" t="s">
        <v>59</v>
      </c>
      <c r="E1125" s="63" t="s">
        <v>2086</v>
      </c>
      <c r="F1125" s="63" t="s">
        <v>1473</v>
      </c>
      <c r="G1125">
        <v>1</v>
      </c>
      <c r="H1125">
        <v>60</v>
      </c>
      <c r="I1125">
        <v>1080</v>
      </c>
      <c r="J1125">
        <v>1080</v>
      </c>
      <c r="K1125">
        <v>0.38</v>
      </c>
      <c r="L1125">
        <v>4</v>
      </c>
    </row>
    <row r="1126" spans="1:12">
      <c r="A1126">
        <v>5603</v>
      </c>
      <c r="B1126" s="63" t="s">
        <v>356</v>
      </c>
      <c r="C1126" s="63" t="s">
        <v>358</v>
      </c>
      <c r="D1126" s="63" t="s">
        <v>59</v>
      </c>
      <c r="E1126" s="63" t="s">
        <v>172</v>
      </c>
      <c r="F1126" s="63" t="s">
        <v>1418</v>
      </c>
      <c r="G1126">
        <v>1</v>
      </c>
      <c r="H1126">
        <v>1</v>
      </c>
      <c r="I1126">
        <v>18</v>
      </c>
      <c r="J1126">
        <v>18</v>
      </c>
      <c r="K1126">
        <v>26.52</v>
      </c>
      <c r="L1126">
        <v>4</v>
      </c>
    </row>
    <row r="1127" spans="1:12">
      <c r="A1127">
        <v>5620</v>
      </c>
      <c r="B1127" s="63" t="s">
        <v>356</v>
      </c>
      <c r="C1127" s="63" t="s">
        <v>358</v>
      </c>
      <c r="D1127" s="63" t="s">
        <v>59</v>
      </c>
      <c r="G1127">
        <v>1</v>
      </c>
      <c r="H1127">
        <v>79</v>
      </c>
      <c r="I1127">
        <v>1422</v>
      </c>
      <c r="J1127">
        <v>1422</v>
      </c>
      <c r="K1127">
        <v>0.67</v>
      </c>
      <c r="L1127">
        <v>4</v>
      </c>
    </row>
    <row r="1128" spans="1:12">
      <c r="A1128" s="63" t="s">
        <v>1267</v>
      </c>
      <c r="B1128" s="63" t="s">
        <v>356</v>
      </c>
      <c r="C1128" s="63" t="s">
        <v>358</v>
      </c>
      <c r="D1128" s="63" t="s">
        <v>59</v>
      </c>
      <c r="E1128" s="63" t="s">
        <v>174</v>
      </c>
      <c r="F1128" s="63" t="s">
        <v>2594</v>
      </c>
      <c r="G1128">
        <v>1</v>
      </c>
      <c r="H1128">
        <v>43</v>
      </c>
      <c r="I1128">
        <v>774</v>
      </c>
      <c r="J1128">
        <v>774</v>
      </c>
      <c r="K1128">
        <v>4.18</v>
      </c>
      <c r="L1128">
        <v>4</v>
      </c>
    </row>
    <row r="1129" spans="1:12">
      <c r="A1129" s="63" t="s">
        <v>1267</v>
      </c>
      <c r="B1129" s="63" t="s">
        <v>356</v>
      </c>
      <c r="C1129" s="63" t="s">
        <v>358</v>
      </c>
      <c r="D1129" s="63" t="s">
        <v>59</v>
      </c>
      <c r="E1129" s="63" t="s">
        <v>174</v>
      </c>
      <c r="F1129" s="63" t="s">
        <v>1829</v>
      </c>
      <c r="G1129">
        <v>1</v>
      </c>
      <c r="H1129">
        <v>60</v>
      </c>
      <c r="I1129">
        <v>1080</v>
      </c>
      <c r="J1129">
        <v>1080</v>
      </c>
      <c r="K1129">
        <v>1.07</v>
      </c>
      <c r="L1129">
        <v>4</v>
      </c>
    </row>
    <row r="1130" spans="1:12">
      <c r="A1130" s="63" t="s">
        <v>1267</v>
      </c>
      <c r="B1130" s="63" t="s">
        <v>356</v>
      </c>
      <c r="C1130" s="63" t="s">
        <v>358</v>
      </c>
      <c r="D1130" s="63" t="s">
        <v>59</v>
      </c>
      <c r="E1130" s="63" t="s">
        <v>184</v>
      </c>
      <c r="F1130" s="63" t="s">
        <v>1840</v>
      </c>
      <c r="G1130">
        <v>1</v>
      </c>
      <c r="H1130">
        <v>60</v>
      </c>
      <c r="I1130">
        <v>1080</v>
      </c>
      <c r="J1130">
        <v>1080</v>
      </c>
      <c r="K1130">
        <v>0.5</v>
      </c>
      <c r="L1130">
        <v>4</v>
      </c>
    </row>
    <row r="1131" spans="1:12">
      <c r="A1131">
        <v>5801</v>
      </c>
      <c r="B1131" s="63" t="s">
        <v>359</v>
      </c>
      <c r="C1131" s="63" t="s">
        <v>360</v>
      </c>
      <c r="D1131" s="63" t="s">
        <v>285</v>
      </c>
      <c r="F1131" s="63" t="s">
        <v>1742</v>
      </c>
      <c r="G1131">
        <v>1</v>
      </c>
      <c r="H1131">
        <v>38</v>
      </c>
      <c r="I1131">
        <v>227</v>
      </c>
      <c r="J1131">
        <v>227</v>
      </c>
      <c r="K1131">
        <v>892.68</v>
      </c>
      <c r="L1131">
        <v>130</v>
      </c>
    </row>
    <row r="1132" spans="1:12">
      <c r="A1132">
        <v>5801</v>
      </c>
      <c r="B1132" s="63" t="s">
        <v>359</v>
      </c>
      <c r="C1132" s="63" t="s">
        <v>360</v>
      </c>
      <c r="D1132" s="63" t="s">
        <v>285</v>
      </c>
      <c r="E1132" s="63" t="s">
        <v>302</v>
      </c>
      <c r="F1132" s="63" t="s">
        <v>2595</v>
      </c>
      <c r="G1132">
        <v>1</v>
      </c>
      <c r="H1132">
        <v>5</v>
      </c>
      <c r="I1132">
        <v>30</v>
      </c>
      <c r="J1132">
        <v>30</v>
      </c>
      <c r="K1132">
        <v>892.68</v>
      </c>
      <c r="L1132">
        <v>130</v>
      </c>
    </row>
    <row r="1133" spans="1:12">
      <c r="A1133">
        <v>5803</v>
      </c>
      <c r="B1133" s="63" t="s">
        <v>1761</v>
      </c>
      <c r="C1133" s="63" t="s">
        <v>1762</v>
      </c>
      <c r="D1133" s="63" t="s">
        <v>59</v>
      </c>
      <c r="E1133" s="63" t="s">
        <v>504</v>
      </c>
      <c r="F1133" s="63" t="s">
        <v>1763</v>
      </c>
      <c r="G1133">
        <v>1</v>
      </c>
      <c r="H1133">
        <v>2</v>
      </c>
      <c r="I1133">
        <v>70</v>
      </c>
      <c r="J1133">
        <v>70</v>
      </c>
      <c r="K1133">
        <v>1115.83</v>
      </c>
      <c r="L1133">
        <v>47</v>
      </c>
    </row>
    <row r="1134" spans="1:12">
      <c r="A1134">
        <v>5803</v>
      </c>
      <c r="B1134" s="63" t="s">
        <v>1196</v>
      </c>
      <c r="C1134" s="63" t="s">
        <v>1197</v>
      </c>
      <c r="D1134" s="63" t="s">
        <v>59</v>
      </c>
      <c r="E1134" s="63" t="s">
        <v>176</v>
      </c>
      <c r="F1134" s="63" t="s">
        <v>2596</v>
      </c>
      <c r="G1134">
        <v>1</v>
      </c>
      <c r="H1134">
        <v>7</v>
      </c>
      <c r="I1134">
        <v>255</v>
      </c>
      <c r="J1134">
        <v>255</v>
      </c>
      <c r="K1134">
        <v>17.18</v>
      </c>
      <c r="L1134">
        <v>35</v>
      </c>
    </row>
    <row r="1135" spans="1:12">
      <c r="A1135">
        <v>5803</v>
      </c>
      <c r="B1135" s="63" t="s">
        <v>815</v>
      </c>
      <c r="C1135" s="63" t="s">
        <v>823</v>
      </c>
      <c r="D1135" s="63" t="s">
        <v>307</v>
      </c>
      <c r="E1135" s="63" t="s">
        <v>254</v>
      </c>
      <c r="F1135" s="63" t="s">
        <v>2597</v>
      </c>
      <c r="G1135">
        <v>1</v>
      </c>
      <c r="H1135">
        <v>1</v>
      </c>
      <c r="I1135">
        <v>4</v>
      </c>
      <c r="J1135">
        <v>4</v>
      </c>
      <c r="K1135">
        <v>40.619999999999997</v>
      </c>
      <c r="L1135">
        <v>3</v>
      </c>
    </row>
    <row r="1136" spans="1:12">
      <c r="A1136">
        <v>5804</v>
      </c>
      <c r="B1136" s="63" t="s">
        <v>2598</v>
      </c>
      <c r="C1136" s="63" t="s">
        <v>2599</v>
      </c>
      <c r="D1136" s="63" t="s">
        <v>59</v>
      </c>
      <c r="E1136" s="63" t="s">
        <v>504</v>
      </c>
      <c r="F1136" s="63" t="s">
        <v>1987</v>
      </c>
      <c r="G1136">
        <v>1</v>
      </c>
      <c r="H1136">
        <v>60</v>
      </c>
      <c r="I1136">
        <v>360</v>
      </c>
      <c r="J1136">
        <v>4504</v>
      </c>
      <c r="K1136">
        <v>4.58</v>
      </c>
      <c r="L1136">
        <v>0</v>
      </c>
    </row>
    <row r="1137" spans="1:12">
      <c r="A1137">
        <v>5804</v>
      </c>
      <c r="B1137" s="63" t="s">
        <v>2598</v>
      </c>
      <c r="C1137" s="63" t="s">
        <v>2599</v>
      </c>
      <c r="D1137" s="63" t="s">
        <v>59</v>
      </c>
      <c r="E1137" s="63" t="s">
        <v>504</v>
      </c>
      <c r="F1137" s="63" t="s">
        <v>1562</v>
      </c>
      <c r="G1137">
        <v>1</v>
      </c>
      <c r="H1137">
        <v>60</v>
      </c>
      <c r="I1137">
        <v>360</v>
      </c>
      <c r="J1137">
        <v>4491</v>
      </c>
      <c r="K1137">
        <v>4.58</v>
      </c>
      <c r="L1137">
        <v>0</v>
      </c>
    </row>
    <row r="1138" spans="1:12">
      <c r="A1138">
        <v>5804</v>
      </c>
      <c r="B1138" s="63" t="s">
        <v>2598</v>
      </c>
      <c r="C1138" s="63" t="s">
        <v>2599</v>
      </c>
      <c r="D1138" s="63" t="s">
        <v>59</v>
      </c>
      <c r="E1138" s="63" t="s">
        <v>504</v>
      </c>
      <c r="F1138" s="63" t="s">
        <v>2600</v>
      </c>
      <c r="G1138">
        <v>1</v>
      </c>
      <c r="H1138">
        <v>59</v>
      </c>
      <c r="I1138">
        <v>354</v>
      </c>
      <c r="J1138">
        <v>4481</v>
      </c>
      <c r="K1138">
        <v>4.58</v>
      </c>
      <c r="L1138">
        <v>0</v>
      </c>
    </row>
    <row r="1139" spans="1:12">
      <c r="A1139">
        <v>5804</v>
      </c>
      <c r="B1139" s="63" t="s">
        <v>2598</v>
      </c>
      <c r="C1139" s="63" t="s">
        <v>2599</v>
      </c>
      <c r="D1139" s="63" t="s">
        <v>59</v>
      </c>
      <c r="E1139" s="63" t="s">
        <v>459</v>
      </c>
      <c r="F1139" s="63" t="s">
        <v>1301</v>
      </c>
      <c r="G1139">
        <v>1</v>
      </c>
      <c r="H1139">
        <v>60</v>
      </c>
      <c r="I1139">
        <v>360</v>
      </c>
      <c r="J1139">
        <v>4429</v>
      </c>
      <c r="K1139">
        <v>4.58</v>
      </c>
      <c r="L1139">
        <v>0</v>
      </c>
    </row>
    <row r="1140" spans="1:12">
      <c r="A1140">
        <v>5804</v>
      </c>
      <c r="B1140" s="63" t="s">
        <v>2598</v>
      </c>
      <c r="C1140" s="63" t="s">
        <v>2599</v>
      </c>
      <c r="D1140" s="63" t="s">
        <v>59</v>
      </c>
      <c r="E1140" s="63" t="s">
        <v>459</v>
      </c>
      <c r="F1140" s="63" t="s">
        <v>2601</v>
      </c>
      <c r="G1140">
        <v>1</v>
      </c>
      <c r="H1140">
        <v>59</v>
      </c>
      <c r="I1140">
        <v>354</v>
      </c>
      <c r="J1140">
        <v>4463</v>
      </c>
      <c r="K1140">
        <v>4.58</v>
      </c>
      <c r="L1140">
        <v>0</v>
      </c>
    </row>
    <row r="1141" spans="1:12">
      <c r="A1141">
        <v>5804</v>
      </c>
      <c r="B1141" s="63" t="s">
        <v>2598</v>
      </c>
      <c r="C1141" s="63" t="s">
        <v>2599</v>
      </c>
      <c r="D1141" s="63" t="s">
        <v>59</v>
      </c>
      <c r="E1141" s="63" t="s">
        <v>459</v>
      </c>
      <c r="F1141" s="63" t="s">
        <v>509</v>
      </c>
      <c r="G1141">
        <v>1</v>
      </c>
      <c r="H1141">
        <v>60</v>
      </c>
      <c r="I1141">
        <v>360</v>
      </c>
      <c r="J1141">
        <v>4560</v>
      </c>
      <c r="K1141">
        <v>4.58</v>
      </c>
      <c r="L1141">
        <v>0</v>
      </c>
    </row>
    <row r="1142" spans="1:12">
      <c r="A1142">
        <v>5804</v>
      </c>
      <c r="B1142" s="63" t="s">
        <v>2598</v>
      </c>
      <c r="C1142" s="63" t="s">
        <v>2599</v>
      </c>
      <c r="D1142" s="63" t="s">
        <v>59</v>
      </c>
      <c r="E1142" s="63" t="s">
        <v>459</v>
      </c>
      <c r="F1142" s="63" t="s">
        <v>2602</v>
      </c>
      <c r="G1142">
        <v>1</v>
      </c>
      <c r="H1142">
        <v>60</v>
      </c>
      <c r="I1142">
        <v>360</v>
      </c>
      <c r="J1142">
        <v>4557</v>
      </c>
      <c r="K1142">
        <v>4.58</v>
      </c>
      <c r="L1142">
        <v>0</v>
      </c>
    </row>
    <row r="1143" spans="1:12">
      <c r="A1143">
        <v>5804</v>
      </c>
      <c r="B1143" s="63" t="s">
        <v>2598</v>
      </c>
      <c r="C1143" s="63" t="s">
        <v>2599</v>
      </c>
      <c r="D1143" s="63" t="s">
        <v>59</v>
      </c>
      <c r="E1143" s="63" t="s">
        <v>508</v>
      </c>
      <c r="F1143" s="63" t="s">
        <v>2603</v>
      </c>
      <c r="G1143">
        <v>1</v>
      </c>
      <c r="H1143">
        <v>60</v>
      </c>
      <c r="I1143">
        <v>360</v>
      </c>
      <c r="J1143">
        <v>4522</v>
      </c>
      <c r="K1143">
        <v>4.58</v>
      </c>
      <c r="L1143">
        <v>0</v>
      </c>
    </row>
    <row r="1144" spans="1:12">
      <c r="A1144">
        <v>5804</v>
      </c>
      <c r="B1144" s="63" t="s">
        <v>2598</v>
      </c>
      <c r="C1144" s="63" t="s">
        <v>2599</v>
      </c>
      <c r="D1144" s="63" t="s">
        <v>59</v>
      </c>
      <c r="E1144" s="63" t="s">
        <v>508</v>
      </c>
      <c r="F1144" s="63" t="s">
        <v>2061</v>
      </c>
      <c r="G1144">
        <v>1</v>
      </c>
      <c r="H1144">
        <v>60</v>
      </c>
      <c r="I1144">
        <v>360</v>
      </c>
      <c r="J1144">
        <v>4514</v>
      </c>
      <c r="K1144">
        <v>4.58</v>
      </c>
      <c r="L1144">
        <v>0</v>
      </c>
    </row>
    <row r="1145" spans="1:12">
      <c r="A1145">
        <v>5804</v>
      </c>
      <c r="B1145" s="63" t="s">
        <v>985</v>
      </c>
      <c r="C1145" s="63" t="s">
        <v>986</v>
      </c>
      <c r="D1145" s="63" t="s">
        <v>309</v>
      </c>
      <c r="E1145" s="63" t="s">
        <v>299</v>
      </c>
      <c r="F1145" s="63" t="s">
        <v>2604</v>
      </c>
      <c r="G1145">
        <v>1</v>
      </c>
      <c r="H1145">
        <v>6</v>
      </c>
      <c r="I1145">
        <v>36</v>
      </c>
      <c r="J1145">
        <v>364</v>
      </c>
      <c r="K1145">
        <v>52.6</v>
      </c>
      <c r="L1145">
        <v>2</v>
      </c>
    </row>
    <row r="1146" spans="1:12">
      <c r="A1146">
        <v>5804</v>
      </c>
      <c r="B1146" s="63" t="s">
        <v>1758</v>
      </c>
      <c r="C1146" s="63" t="s">
        <v>1759</v>
      </c>
      <c r="D1146" s="63" t="s">
        <v>307</v>
      </c>
      <c r="E1146" s="63" t="s">
        <v>299</v>
      </c>
      <c r="F1146" s="63" t="s">
        <v>2605</v>
      </c>
      <c r="G1146">
        <v>1</v>
      </c>
      <c r="H1146">
        <v>2</v>
      </c>
      <c r="I1146">
        <v>74</v>
      </c>
      <c r="J1146">
        <v>74</v>
      </c>
      <c r="K1146">
        <v>134.13</v>
      </c>
      <c r="L1146">
        <v>5</v>
      </c>
    </row>
    <row r="1147" spans="1:12">
      <c r="A1147">
        <v>5804</v>
      </c>
      <c r="B1147" s="63" t="s">
        <v>1758</v>
      </c>
      <c r="C1147" s="63" t="s">
        <v>1759</v>
      </c>
      <c r="D1147" s="63" t="s">
        <v>307</v>
      </c>
      <c r="E1147" s="63" t="s">
        <v>299</v>
      </c>
      <c r="F1147" s="63" t="s">
        <v>2606</v>
      </c>
      <c r="G1147">
        <v>1</v>
      </c>
      <c r="H1147">
        <v>3</v>
      </c>
      <c r="I1147">
        <v>117</v>
      </c>
      <c r="J1147">
        <v>117</v>
      </c>
      <c r="K1147">
        <v>134.13</v>
      </c>
      <c r="L1147">
        <v>5</v>
      </c>
    </row>
    <row r="1148" spans="1:12">
      <c r="A1148">
        <v>5804</v>
      </c>
      <c r="B1148" s="63" t="s">
        <v>2607</v>
      </c>
      <c r="C1148" s="63" t="s">
        <v>2608</v>
      </c>
      <c r="D1148" s="63" t="s">
        <v>309</v>
      </c>
      <c r="E1148" s="63" t="s">
        <v>299</v>
      </c>
      <c r="F1148" s="63" t="s">
        <v>2609</v>
      </c>
      <c r="G1148">
        <v>1</v>
      </c>
      <c r="H1148">
        <v>1</v>
      </c>
      <c r="I1148">
        <v>6</v>
      </c>
      <c r="J1148">
        <v>47</v>
      </c>
      <c r="K1148">
        <v>373.43</v>
      </c>
      <c r="L1148">
        <v>15</v>
      </c>
    </row>
    <row r="1149" spans="1:12">
      <c r="A1149">
        <v>5804</v>
      </c>
      <c r="B1149" s="63" t="s">
        <v>2610</v>
      </c>
      <c r="C1149" s="63" t="s">
        <v>2611</v>
      </c>
      <c r="D1149" s="63" t="s">
        <v>59</v>
      </c>
      <c r="E1149" s="63" t="s">
        <v>299</v>
      </c>
      <c r="F1149" s="63" t="s">
        <v>2612</v>
      </c>
      <c r="G1149">
        <v>1</v>
      </c>
      <c r="H1149">
        <v>9</v>
      </c>
      <c r="I1149">
        <v>337</v>
      </c>
      <c r="J1149">
        <v>337</v>
      </c>
      <c r="K1149">
        <v>497.67</v>
      </c>
      <c r="L1149">
        <v>20</v>
      </c>
    </row>
    <row r="1150" spans="1:12">
      <c r="A1150">
        <v>5804</v>
      </c>
      <c r="B1150" s="63" t="s">
        <v>1194</v>
      </c>
      <c r="C1150" s="63" t="s">
        <v>1195</v>
      </c>
      <c r="D1150" s="63" t="s">
        <v>59</v>
      </c>
      <c r="E1150" s="63" t="s">
        <v>299</v>
      </c>
      <c r="F1150" s="63" t="s">
        <v>2613</v>
      </c>
      <c r="G1150">
        <v>1</v>
      </c>
      <c r="H1150">
        <v>9</v>
      </c>
      <c r="I1150">
        <v>344</v>
      </c>
      <c r="J1150">
        <v>344</v>
      </c>
      <c r="K1150">
        <v>134.16999999999999</v>
      </c>
      <c r="L1150">
        <v>5</v>
      </c>
    </row>
    <row r="1151" spans="1:12">
      <c r="A1151">
        <v>5804</v>
      </c>
      <c r="B1151" s="63" t="s">
        <v>649</v>
      </c>
      <c r="C1151" s="63" t="s">
        <v>650</v>
      </c>
      <c r="D1151" s="63" t="s">
        <v>309</v>
      </c>
      <c r="E1151" s="63" t="s">
        <v>299</v>
      </c>
      <c r="F1151" s="63" t="s">
        <v>2614</v>
      </c>
      <c r="G1151">
        <v>1</v>
      </c>
      <c r="H1151">
        <v>1</v>
      </c>
      <c r="I1151">
        <v>26</v>
      </c>
      <c r="J1151">
        <v>26</v>
      </c>
      <c r="K1151">
        <v>281.08</v>
      </c>
      <c r="L1151">
        <v>11</v>
      </c>
    </row>
    <row r="1152" spans="1:12">
      <c r="A1152">
        <v>5804</v>
      </c>
      <c r="B1152" s="63" t="s">
        <v>826</v>
      </c>
      <c r="C1152" s="63" t="s">
        <v>827</v>
      </c>
      <c r="D1152" s="63" t="s">
        <v>205</v>
      </c>
      <c r="E1152" s="63" t="s">
        <v>294</v>
      </c>
      <c r="F1152" s="63" t="s">
        <v>828</v>
      </c>
      <c r="G1152">
        <v>1</v>
      </c>
      <c r="H1152">
        <v>4</v>
      </c>
      <c r="I1152">
        <v>100</v>
      </c>
      <c r="J1152">
        <v>100</v>
      </c>
      <c r="K1152">
        <v>2768.98</v>
      </c>
      <c r="L1152">
        <v>115</v>
      </c>
    </row>
    <row r="1153" spans="1:12">
      <c r="A1153">
        <v>5804</v>
      </c>
      <c r="B1153" s="63" t="s">
        <v>2615</v>
      </c>
      <c r="C1153" s="63" t="s">
        <v>2616</v>
      </c>
      <c r="D1153" s="63" t="s">
        <v>205</v>
      </c>
      <c r="E1153" s="63" t="s">
        <v>299</v>
      </c>
      <c r="F1153" s="63" t="s">
        <v>2617</v>
      </c>
      <c r="G1153">
        <v>1</v>
      </c>
      <c r="H1153">
        <v>1</v>
      </c>
      <c r="I1153">
        <v>26</v>
      </c>
      <c r="J1153">
        <v>26</v>
      </c>
      <c r="K1153">
        <v>203.57</v>
      </c>
      <c r="L1153">
        <v>8</v>
      </c>
    </row>
    <row r="1154" spans="1:12">
      <c r="A1154">
        <v>5804</v>
      </c>
      <c r="B1154" s="63" t="s">
        <v>2615</v>
      </c>
      <c r="C1154" s="63" t="s">
        <v>2616</v>
      </c>
      <c r="D1154" s="63" t="s">
        <v>205</v>
      </c>
      <c r="E1154" s="63" t="s">
        <v>299</v>
      </c>
      <c r="F1154" s="63" t="s">
        <v>2618</v>
      </c>
      <c r="G1154">
        <v>1</v>
      </c>
      <c r="H1154">
        <v>4</v>
      </c>
      <c r="I1154">
        <v>125</v>
      </c>
      <c r="J1154">
        <v>125</v>
      </c>
      <c r="K1154">
        <v>203.57</v>
      </c>
      <c r="L1154">
        <v>8</v>
      </c>
    </row>
    <row r="1155" spans="1:12">
      <c r="A1155">
        <v>5804</v>
      </c>
      <c r="B1155" s="63" t="s">
        <v>1769</v>
      </c>
      <c r="C1155" s="63" t="s">
        <v>1770</v>
      </c>
      <c r="D1155" s="63" t="s">
        <v>309</v>
      </c>
      <c r="E1155" s="63" t="s">
        <v>299</v>
      </c>
      <c r="F1155" s="63" t="s">
        <v>1771</v>
      </c>
      <c r="G1155">
        <v>1</v>
      </c>
      <c r="H1155">
        <v>13</v>
      </c>
      <c r="I1155">
        <v>296</v>
      </c>
      <c r="J1155">
        <v>296</v>
      </c>
      <c r="K1155">
        <v>1545.15</v>
      </c>
      <c r="L1155">
        <v>64</v>
      </c>
    </row>
    <row r="1156" spans="1:12">
      <c r="A1156">
        <v>5804</v>
      </c>
      <c r="B1156" s="63" t="s">
        <v>1282</v>
      </c>
      <c r="C1156" s="63" t="s">
        <v>1283</v>
      </c>
      <c r="D1156" s="63" t="s">
        <v>309</v>
      </c>
      <c r="E1156" s="63" t="s">
        <v>299</v>
      </c>
      <c r="F1156" s="63" t="s">
        <v>2619</v>
      </c>
      <c r="G1156">
        <v>1</v>
      </c>
      <c r="H1156">
        <v>2</v>
      </c>
      <c r="I1156">
        <v>48</v>
      </c>
      <c r="J1156">
        <v>48</v>
      </c>
      <c r="K1156">
        <v>74.63</v>
      </c>
      <c r="L1156">
        <v>3</v>
      </c>
    </row>
    <row r="1157" spans="1:12">
      <c r="A1157">
        <v>5804</v>
      </c>
      <c r="B1157" s="63" t="s">
        <v>2620</v>
      </c>
      <c r="C1157" s="63" t="s">
        <v>2621</v>
      </c>
      <c r="D1157" s="63" t="s">
        <v>59</v>
      </c>
      <c r="E1157" s="63" t="s">
        <v>299</v>
      </c>
      <c r="F1157" s="63" t="s">
        <v>1596</v>
      </c>
      <c r="G1157">
        <v>1</v>
      </c>
      <c r="H1157">
        <v>20</v>
      </c>
      <c r="I1157">
        <v>120</v>
      </c>
      <c r="J1157">
        <v>469</v>
      </c>
      <c r="K1157">
        <v>1.5</v>
      </c>
      <c r="L1157">
        <v>0</v>
      </c>
    </row>
    <row r="1158" spans="1:12">
      <c r="A1158">
        <v>5804</v>
      </c>
      <c r="B1158" s="63" t="s">
        <v>2620</v>
      </c>
      <c r="C1158" s="63" t="s">
        <v>2621</v>
      </c>
      <c r="D1158" s="63" t="s">
        <v>59</v>
      </c>
      <c r="E1158" s="63" t="s">
        <v>299</v>
      </c>
      <c r="F1158" s="63" t="s">
        <v>2622</v>
      </c>
      <c r="G1158">
        <v>1</v>
      </c>
      <c r="H1158">
        <v>20</v>
      </c>
      <c r="I1158">
        <v>120</v>
      </c>
      <c r="J1158">
        <v>464</v>
      </c>
      <c r="K1158">
        <v>1.5</v>
      </c>
      <c r="L1158">
        <v>0</v>
      </c>
    </row>
    <row r="1159" spans="1:12">
      <c r="A1159">
        <v>5804</v>
      </c>
      <c r="B1159" s="63" t="s">
        <v>2620</v>
      </c>
      <c r="C1159" s="63" t="s">
        <v>2621</v>
      </c>
      <c r="D1159" s="63" t="s">
        <v>59</v>
      </c>
      <c r="E1159" s="63" t="s">
        <v>299</v>
      </c>
      <c r="F1159" s="63" t="s">
        <v>2623</v>
      </c>
      <c r="G1159">
        <v>1</v>
      </c>
      <c r="H1159">
        <v>20</v>
      </c>
      <c r="I1159">
        <v>120</v>
      </c>
      <c r="J1159">
        <v>474</v>
      </c>
      <c r="K1159">
        <v>1.5</v>
      </c>
      <c r="L1159">
        <v>0</v>
      </c>
    </row>
    <row r="1160" spans="1:12">
      <c r="A1160">
        <v>5804</v>
      </c>
      <c r="B1160" s="63" t="s">
        <v>2620</v>
      </c>
      <c r="C1160" s="63" t="s">
        <v>2621</v>
      </c>
      <c r="D1160" s="63" t="s">
        <v>59</v>
      </c>
      <c r="E1160" s="63" t="s">
        <v>299</v>
      </c>
      <c r="F1160" s="63" t="s">
        <v>2624</v>
      </c>
      <c r="G1160">
        <v>1</v>
      </c>
      <c r="H1160">
        <v>20</v>
      </c>
      <c r="I1160">
        <v>120</v>
      </c>
      <c r="J1160">
        <v>459</v>
      </c>
      <c r="K1160">
        <v>1.5</v>
      </c>
      <c r="L1160">
        <v>0</v>
      </c>
    </row>
    <row r="1161" spans="1:12">
      <c r="A1161">
        <v>5804</v>
      </c>
      <c r="B1161" s="63" t="s">
        <v>2620</v>
      </c>
      <c r="C1161" s="63" t="s">
        <v>2621</v>
      </c>
      <c r="D1161" s="63" t="s">
        <v>59</v>
      </c>
      <c r="E1161" s="63" t="s">
        <v>299</v>
      </c>
      <c r="F1161" s="63" t="s">
        <v>2625</v>
      </c>
      <c r="G1161">
        <v>1</v>
      </c>
      <c r="H1161">
        <v>20</v>
      </c>
      <c r="I1161">
        <v>120</v>
      </c>
      <c r="J1161">
        <v>462</v>
      </c>
      <c r="K1161">
        <v>1.5</v>
      </c>
      <c r="L1161">
        <v>0</v>
      </c>
    </row>
    <row r="1162" spans="1:12">
      <c r="A1162">
        <v>5804</v>
      </c>
      <c r="B1162" s="63" t="s">
        <v>2620</v>
      </c>
      <c r="C1162" s="63" t="s">
        <v>2621</v>
      </c>
      <c r="D1162" s="63" t="s">
        <v>59</v>
      </c>
      <c r="E1162" s="63" t="s">
        <v>299</v>
      </c>
      <c r="F1162" s="63" t="s">
        <v>2626</v>
      </c>
      <c r="G1162">
        <v>1</v>
      </c>
      <c r="H1162">
        <v>20</v>
      </c>
      <c r="I1162">
        <v>120</v>
      </c>
      <c r="J1162">
        <v>472</v>
      </c>
      <c r="K1162">
        <v>1.5</v>
      </c>
      <c r="L1162">
        <v>0</v>
      </c>
    </row>
    <row r="1163" spans="1:12">
      <c r="A1163">
        <v>5804</v>
      </c>
      <c r="B1163" s="63" t="s">
        <v>2620</v>
      </c>
      <c r="C1163" s="63" t="s">
        <v>2621</v>
      </c>
      <c r="D1163" s="63" t="s">
        <v>59</v>
      </c>
      <c r="E1163" s="63" t="s">
        <v>299</v>
      </c>
      <c r="F1163" s="63" t="s">
        <v>2627</v>
      </c>
      <c r="G1163">
        <v>1</v>
      </c>
      <c r="H1163">
        <v>20</v>
      </c>
      <c r="I1163">
        <v>120</v>
      </c>
      <c r="J1163">
        <v>446</v>
      </c>
      <c r="K1163">
        <v>1.5</v>
      </c>
      <c r="L1163">
        <v>0</v>
      </c>
    </row>
    <row r="1164" spans="1:12">
      <c r="A1164">
        <v>5804</v>
      </c>
      <c r="B1164" s="63" t="s">
        <v>2620</v>
      </c>
      <c r="C1164" s="63" t="s">
        <v>2621</v>
      </c>
      <c r="D1164" s="63" t="s">
        <v>59</v>
      </c>
      <c r="E1164" s="63" t="s">
        <v>299</v>
      </c>
      <c r="F1164" s="63" t="s">
        <v>2628</v>
      </c>
      <c r="G1164">
        <v>1</v>
      </c>
      <c r="H1164">
        <v>20</v>
      </c>
      <c r="I1164">
        <v>120</v>
      </c>
      <c r="J1164">
        <v>467</v>
      </c>
      <c r="K1164">
        <v>1.5</v>
      </c>
      <c r="L1164">
        <v>0</v>
      </c>
    </row>
    <row r="1165" spans="1:12">
      <c r="A1165">
        <v>5804</v>
      </c>
      <c r="B1165" s="63" t="s">
        <v>952</v>
      </c>
      <c r="C1165" s="63" t="s">
        <v>953</v>
      </c>
      <c r="D1165" s="63" t="s">
        <v>205</v>
      </c>
      <c r="E1165" s="63" t="s">
        <v>299</v>
      </c>
      <c r="F1165" s="63" t="s">
        <v>2629</v>
      </c>
      <c r="G1165">
        <v>1</v>
      </c>
      <c r="H1165">
        <v>5</v>
      </c>
      <c r="I1165">
        <v>121</v>
      </c>
      <c r="J1165">
        <v>121</v>
      </c>
      <c r="K1165">
        <v>252.05</v>
      </c>
      <c r="L1165">
        <v>10</v>
      </c>
    </row>
    <row r="1166" spans="1:12">
      <c r="A1166">
        <v>5804</v>
      </c>
      <c r="B1166" s="63" t="s">
        <v>259</v>
      </c>
      <c r="C1166" s="63" t="s">
        <v>406</v>
      </c>
      <c r="D1166" s="63" t="s">
        <v>59</v>
      </c>
      <c r="E1166" s="63" t="s">
        <v>2630</v>
      </c>
      <c r="F1166" s="63" t="s">
        <v>624</v>
      </c>
      <c r="G1166">
        <v>1</v>
      </c>
      <c r="H1166">
        <v>2</v>
      </c>
      <c r="I1166">
        <v>40</v>
      </c>
      <c r="J1166">
        <v>40</v>
      </c>
      <c r="K1166">
        <v>470.8</v>
      </c>
      <c r="L1166">
        <v>20</v>
      </c>
    </row>
    <row r="1167" spans="1:12">
      <c r="A1167">
        <v>5804</v>
      </c>
      <c r="B1167" s="63" t="s">
        <v>259</v>
      </c>
      <c r="C1167" s="63" t="s">
        <v>406</v>
      </c>
      <c r="D1167" s="63" t="s">
        <v>59</v>
      </c>
      <c r="E1167" s="63" t="s">
        <v>299</v>
      </c>
      <c r="F1167" s="63" t="s">
        <v>2631</v>
      </c>
      <c r="G1167">
        <v>1</v>
      </c>
      <c r="H1167">
        <v>6</v>
      </c>
      <c r="I1167">
        <v>116</v>
      </c>
      <c r="J1167">
        <v>116</v>
      </c>
      <c r="K1167">
        <v>300.38</v>
      </c>
      <c r="L1167">
        <v>12</v>
      </c>
    </row>
    <row r="1168" spans="1:12">
      <c r="A1168">
        <v>5804</v>
      </c>
      <c r="B1168" s="63" t="s">
        <v>259</v>
      </c>
      <c r="C1168" s="63" t="s">
        <v>406</v>
      </c>
      <c r="D1168" s="63" t="s">
        <v>59</v>
      </c>
      <c r="E1168" s="63" t="s">
        <v>299</v>
      </c>
      <c r="F1168" s="63" t="s">
        <v>1772</v>
      </c>
      <c r="G1168">
        <v>1</v>
      </c>
      <c r="H1168">
        <v>2</v>
      </c>
      <c r="I1168">
        <v>37</v>
      </c>
      <c r="J1168">
        <v>37</v>
      </c>
      <c r="K1168">
        <v>876.52</v>
      </c>
      <c r="L1168">
        <v>36</v>
      </c>
    </row>
    <row r="1169" spans="1:12">
      <c r="A1169">
        <v>5804</v>
      </c>
      <c r="B1169" s="63" t="s">
        <v>259</v>
      </c>
      <c r="C1169" s="63" t="s">
        <v>406</v>
      </c>
      <c r="D1169" s="63" t="s">
        <v>59</v>
      </c>
      <c r="E1169" s="63" t="s">
        <v>299</v>
      </c>
      <c r="F1169" s="63" t="s">
        <v>584</v>
      </c>
      <c r="G1169">
        <v>1</v>
      </c>
      <c r="H1169">
        <v>1</v>
      </c>
      <c r="I1169">
        <v>19</v>
      </c>
      <c r="J1169">
        <v>19</v>
      </c>
      <c r="K1169">
        <v>3132.62</v>
      </c>
      <c r="L1169">
        <v>130</v>
      </c>
    </row>
    <row r="1170" spans="1:12">
      <c r="A1170">
        <v>5804</v>
      </c>
      <c r="B1170" s="63" t="s">
        <v>259</v>
      </c>
      <c r="C1170" s="63" t="s">
        <v>406</v>
      </c>
      <c r="D1170" s="63" t="s">
        <v>59</v>
      </c>
      <c r="E1170" s="63" t="s">
        <v>299</v>
      </c>
      <c r="F1170" s="63" t="s">
        <v>2632</v>
      </c>
      <c r="G1170">
        <v>1</v>
      </c>
      <c r="H1170">
        <v>20</v>
      </c>
      <c r="I1170">
        <v>380</v>
      </c>
      <c r="J1170">
        <v>380</v>
      </c>
      <c r="K1170">
        <v>158.52000000000001</v>
      </c>
      <c r="L1170">
        <v>6</v>
      </c>
    </row>
    <row r="1171" spans="1:12">
      <c r="A1171">
        <v>5804</v>
      </c>
      <c r="B1171" s="63" t="s">
        <v>259</v>
      </c>
      <c r="C1171" s="63" t="s">
        <v>406</v>
      </c>
      <c r="D1171" s="63" t="s">
        <v>59</v>
      </c>
      <c r="E1171" s="63" t="s">
        <v>299</v>
      </c>
      <c r="F1171" s="63" t="s">
        <v>2633</v>
      </c>
      <c r="G1171">
        <v>1</v>
      </c>
      <c r="H1171">
        <v>20</v>
      </c>
      <c r="I1171">
        <v>387</v>
      </c>
      <c r="J1171">
        <v>387</v>
      </c>
      <c r="K1171">
        <v>158.52000000000001</v>
      </c>
      <c r="L1171">
        <v>6</v>
      </c>
    </row>
    <row r="1172" spans="1:12">
      <c r="A1172">
        <v>5804</v>
      </c>
      <c r="B1172" s="63" t="s">
        <v>259</v>
      </c>
      <c r="C1172" s="63" t="s">
        <v>406</v>
      </c>
      <c r="D1172" s="63" t="s">
        <v>59</v>
      </c>
      <c r="E1172" s="63" t="s">
        <v>299</v>
      </c>
      <c r="F1172" s="63" t="s">
        <v>2634</v>
      </c>
      <c r="G1172">
        <v>1</v>
      </c>
      <c r="H1172">
        <v>13</v>
      </c>
      <c r="I1172">
        <v>251</v>
      </c>
      <c r="J1172">
        <v>251</v>
      </c>
      <c r="K1172">
        <v>300.38</v>
      </c>
      <c r="L1172">
        <v>12</v>
      </c>
    </row>
    <row r="1173" spans="1:12">
      <c r="A1173">
        <v>5804</v>
      </c>
      <c r="B1173" s="63" t="s">
        <v>2635</v>
      </c>
      <c r="C1173" s="63" t="s">
        <v>2636</v>
      </c>
      <c r="D1173" s="63" t="s">
        <v>205</v>
      </c>
      <c r="E1173" s="63" t="s">
        <v>299</v>
      </c>
      <c r="F1173" s="63" t="s">
        <v>2637</v>
      </c>
      <c r="G1173">
        <v>1</v>
      </c>
      <c r="H1173">
        <v>6</v>
      </c>
      <c r="I1173">
        <v>116</v>
      </c>
      <c r="J1173">
        <v>116</v>
      </c>
      <c r="K1173">
        <v>252.05</v>
      </c>
      <c r="L1173">
        <v>10</v>
      </c>
    </row>
    <row r="1174" spans="1:12">
      <c r="A1174">
        <v>5804</v>
      </c>
      <c r="B1174" s="63" t="s">
        <v>2638</v>
      </c>
      <c r="C1174" s="63" t="s">
        <v>2639</v>
      </c>
      <c r="D1174" s="63" t="s">
        <v>309</v>
      </c>
      <c r="E1174" s="63" t="s">
        <v>299</v>
      </c>
      <c r="F1174" s="63" t="s">
        <v>2640</v>
      </c>
      <c r="G1174">
        <v>1</v>
      </c>
      <c r="H1174">
        <v>5</v>
      </c>
      <c r="I1174">
        <v>85</v>
      </c>
      <c r="J1174">
        <v>85</v>
      </c>
      <c r="K1174">
        <v>467</v>
      </c>
      <c r="L1174">
        <v>19</v>
      </c>
    </row>
    <row r="1175" spans="1:12">
      <c r="A1175">
        <v>5804</v>
      </c>
      <c r="B1175" s="63" t="s">
        <v>2638</v>
      </c>
      <c r="C1175" s="63" t="s">
        <v>2639</v>
      </c>
      <c r="D1175" s="63" t="s">
        <v>309</v>
      </c>
      <c r="E1175" s="63" t="s">
        <v>299</v>
      </c>
      <c r="F1175" s="63" t="s">
        <v>1755</v>
      </c>
      <c r="G1175">
        <v>1</v>
      </c>
      <c r="H1175">
        <v>8</v>
      </c>
      <c r="I1175">
        <v>139</v>
      </c>
      <c r="J1175">
        <v>139</v>
      </c>
      <c r="K1175">
        <v>467</v>
      </c>
      <c r="L1175">
        <v>19</v>
      </c>
    </row>
    <row r="1176" spans="1:12">
      <c r="A1176">
        <v>5804</v>
      </c>
      <c r="B1176" s="63" t="s">
        <v>2638</v>
      </c>
      <c r="C1176" s="63" t="s">
        <v>2639</v>
      </c>
      <c r="D1176" s="63" t="s">
        <v>309</v>
      </c>
      <c r="E1176" s="63" t="s">
        <v>299</v>
      </c>
      <c r="F1176" s="63" t="s">
        <v>2641</v>
      </c>
      <c r="G1176">
        <v>1</v>
      </c>
      <c r="H1176">
        <v>1</v>
      </c>
      <c r="I1176">
        <v>16</v>
      </c>
      <c r="J1176">
        <v>16</v>
      </c>
      <c r="K1176">
        <v>467</v>
      </c>
      <c r="L1176">
        <v>19</v>
      </c>
    </row>
    <row r="1177" spans="1:12">
      <c r="A1177">
        <v>5804</v>
      </c>
      <c r="B1177" s="63" t="s">
        <v>2642</v>
      </c>
      <c r="C1177" s="63" t="s">
        <v>2643</v>
      </c>
      <c r="D1177" s="63" t="s">
        <v>309</v>
      </c>
      <c r="E1177" s="63" t="s">
        <v>299</v>
      </c>
      <c r="F1177" s="63" t="s">
        <v>2644</v>
      </c>
      <c r="G1177">
        <v>1</v>
      </c>
      <c r="H1177">
        <v>3</v>
      </c>
      <c r="I1177">
        <v>52</v>
      </c>
      <c r="J1177">
        <v>52</v>
      </c>
      <c r="K1177">
        <v>755.87</v>
      </c>
      <c r="L1177">
        <v>31</v>
      </c>
    </row>
    <row r="1178" spans="1:12">
      <c r="A1178">
        <v>5804</v>
      </c>
      <c r="B1178" s="63" t="s">
        <v>2642</v>
      </c>
      <c r="C1178" s="63" t="s">
        <v>2643</v>
      </c>
      <c r="D1178" s="63" t="s">
        <v>309</v>
      </c>
      <c r="E1178" s="63" t="s">
        <v>299</v>
      </c>
      <c r="F1178" s="63" t="s">
        <v>2645</v>
      </c>
      <c r="G1178">
        <v>1</v>
      </c>
      <c r="H1178">
        <v>5</v>
      </c>
      <c r="I1178">
        <v>88</v>
      </c>
      <c r="J1178">
        <v>88</v>
      </c>
      <c r="K1178">
        <v>755.87</v>
      </c>
      <c r="L1178">
        <v>31</v>
      </c>
    </row>
    <row r="1179" spans="1:12">
      <c r="A1179">
        <v>5804</v>
      </c>
      <c r="B1179" s="63" t="s">
        <v>337</v>
      </c>
      <c r="C1179" s="63" t="s">
        <v>338</v>
      </c>
      <c r="D1179" s="63" t="s">
        <v>309</v>
      </c>
      <c r="E1179" s="63" t="s">
        <v>299</v>
      </c>
      <c r="F1179" s="63" t="s">
        <v>2646</v>
      </c>
      <c r="G1179">
        <v>1</v>
      </c>
      <c r="H1179">
        <v>3</v>
      </c>
      <c r="I1179">
        <v>52</v>
      </c>
      <c r="J1179">
        <v>52</v>
      </c>
      <c r="K1179">
        <v>596.88</v>
      </c>
      <c r="L1179">
        <v>24</v>
      </c>
    </row>
    <row r="1180" spans="1:12">
      <c r="A1180">
        <v>5804</v>
      </c>
      <c r="B1180" s="63" t="s">
        <v>337</v>
      </c>
      <c r="C1180" s="63" t="s">
        <v>338</v>
      </c>
      <c r="D1180" s="63" t="s">
        <v>309</v>
      </c>
      <c r="E1180" s="63" t="s">
        <v>299</v>
      </c>
      <c r="F1180" s="63" t="s">
        <v>2647</v>
      </c>
      <c r="G1180">
        <v>1</v>
      </c>
      <c r="H1180">
        <v>11</v>
      </c>
      <c r="I1180">
        <v>191</v>
      </c>
      <c r="J1180">
        <v>191</v>
      </c>
      <c r="K1180">
        <v>596.88</v>
      </c>
      <c r="L1180">
        <v>24</v>
      </c>
    </row>
    <row r="1181" spans="1:12">
      <c r="A1181">
        <v>5804</v>
      </c>
      <c r="B1181" s="63" t="s">
        <v>260</v>
      </c>
      <c r="C1181" s="63" t="s">
        <v>1043</v>
      </c>
      <c r="D1181" s="63" t="s">
        <v>59</v>
      </c>
      <c r="E1181" s="63" t="s">
        <v>299</v>
      </c>
      <c r="F1181" s="63" t="s">
        <v>2648</v>
      </c>
      <c r="G1181">
        <v>1</v>
      </c>
      <c r="H1181">
        <v>12</v>
      </c>
      <c r="I1181">
        <v>192</v>
      </c>
      <c r="J1181">
        <v>192</v>
      </c>
      <c r="K1181">
        <v>144.75</v>
      </c>
      <c r="L1181">
        <v>6</v>
      </c>
    </row>
    <row r="1182" spans="1:12">
      <c r="A1182">
        <v>5804</v>
      </c>
      <c r="B1182" s="63" t="s">
        <v>260</v>
      </c>
      <c r="C1182" s="63" t="s">
        <v>1043</v>
      </c>
      <c r="D1182" s="63" t="s">
        <v>59</v>
      </c>
      <c r="E1182" s="63" t="s">
        <v>299</v>
      </c>
      <c r="F1182" s="63" t="s">
        <v>2649</v>
      </c>
      <c r="G1182">
        <v>1</v>
      </c>
      <c r="H1182">
        <v>1</v>
      </c>
      <c r="I1182">
        <v>17</v>
      </c>
      <c r="J1182">
        <v>17</v>
      </c>
      <c r="K1182">
        <v>144.75</v>
      </c>
      <c r="L1182">
        <v>6</v>
      </c>
    </row>
    <row r="1183" spans="1:12">
      <c r="A1183">
        <v>5804</v>
      </c>
      <c r="B1183" s="63" t="s">
        <v>240</v>
      </c>
      <c r="C1183" s="63" t="s">
        <v>308</v>
      </c>
      <c r="D1183" s="63" t="s">
        <v>309</v>
      </c>
      <c r="E1183" s="63" t="s">
        <v>299</v>
      </c>
      <c r="F1183" s="63" t="s">
        <v>1774</v>
      </c>
      <c r="G1183">
        <v>1</v>
      </c>
      <c r="H1183">
        <v>1</v>
      </c>
      <c r="I1183">
        <v>12</v>
      </c>
      <c r="J1183">
        <v>12</v>
      </c>
      <c r="K1183">
        <v>1420.73</v>
      </c>
      <c r="L1183">
        <v>59</v>
      </c>
    </row>
    <row r="1184" spans="1:12">
      <c r="A1184">
        <v>5804</v>
      </c>
      <c r="B1184" s="63" t="s">
        <v>240</v>
      </c>
      <c r="C1184" s="63" t="s">
        <v>308</v>
      </c>
      <c r="D1184" s="63" t="s">
        <v>309</v>
      </c>
      <c r="E1184" s="63" t="s">
        <v>299</v>
      </c>
      <c r="F1184" s="63" t="s">
        <v>1775</v>
      </c>
      <c r="G1184">
        <v>1</v>
      </c>
      <c r="H1184">
        <v>4</v>
      </c>
      <c r="I1184">
        <v>55</v>
      </c>
      <c r="J1184">
        <v>55</v>
      </c>
      <c r="K1184">
        <v>1693.3</v>
      </c>
      <c r="L1184">
        <v>70</v>
      </c>
    </row>
    <row r="1185" spans="1:12">
      <c r="A1185">
        <v>5804</v>
      </c>
      <c r="B1185" s="63" t="s">
        <v>815</v>
      </c>
      <c r="C1185" s="63" t="s">
        <v>823</v>
      </c>
      <c r="D1185" s="63" t="s">
        <v>309</v>
      </c>
      <c r="E1185" s="63" t="s">
        <v>299</v>
      </c>
      <c r="F1185" s="63" t="s">
        <v>2650</v>
      </c>
      <c r="G1185">
        <v>1</v>
      </c>
      <c r="H1185">
        <v>10</v>
      </c>
      <c r="I1185">
        <v>53</v>
      </c>
      <c r="J1185">
        <v>53</v>
      </c>
      <c r="K1185">
        <v>68.930000000000007</v>
      </c>
      <c r="L1185">
        <v>2</v>
      </c>
    </row>
    <row r="1186" spans="1:12">
      <c r="A1186">
        <v>5804</v>
      </c>
      <c r="B1186" s="63" t="s">
        <v>815</v>
      </c>
      <c r="C1186" s="63" t="s">
        <v>823</v>
      </c>
      <c r="D1186" s="63" t="s">
        <v>309</v>
      </c>
      <c r="E1186" s="63" t="s">
        <v>299</v>
      </c>
      <c r="F1186" s="63" t="s">
        <v>2651</v>
      </c>
      <c r="G1186">
        <v>1</v>
      </c>
      <c r="H1186">
        <v>12</v>
      </c>
      <c r="I1186">
        <v>65</v>
      </c>
      <c r="J1186">
        <v>65</v>
      </c>
      <c r="K1186">
        <v>68.930000000000007</v>
      </c>
      <c r="L1186">
        <v>2</v>
      </c>
    </row>
    <row r="1187" spans="1:12">
      <c r="A1187">
        <v>5804</v>
      </c>
      <c r="B1187" s="63" t="s">
        <v>815</v>
      </c>
      <c r="C1187" s="63" t="s">
        <v>823</v>
      </c>
      <c r="D1187" s="63" t="s">
        <v>309</v>
      </c>
      <c r="E1187" s="63" t="s">
        <v>299</v>
      </c>
      <c r="F1187" s="63" t="s">
        <v>1776</v>
      </c>
      <c r="G1187">
        <v>1</v>
      </c>
      <c r="H1187">
        <v>14</v>
      </c>
      <c r="I1187">
        <v>79</v>
      </c>
      <c r="J1187">
        <v>79</v>
      </c>
      <c r="K1187">
        <v>1345.53</v>
      </c>
      <c r="L1187">
        <v>56</v>
      </c>
    </row>
    <row r="1188" spans="1:12">
      <c r="A1188">
        <v>5804</v>
      </c>
      <c r="B1188" s="63" t="s">
        <v>815</v>
      </c>
      <c r="C1188" s="63" t="s">
        <v>823</v>
      </c>
      <c r="D1188" s="63" t="s">
        <v>309</v>
      </c>
      <c r="E1188" s="63" t="s">
        <v>299</v>
      </c>
      <c r="F1188" s="63" t="s">
        <v>2652</v>
      </c>
      <c r="G1188">
        <v>1</v>
      </c>
      <c r="H1188">
        <v>4</v>
      </c>
      <c r="I1188">
        <v>23</v>
      </c>
      <c r="J1188">
        <v>23</v>
      </c>
      <c r="K1188">
        <v>68.930000000000007</v>
      </c>
      <c r="L1188">
        <v>2</v>
      </c>
    </row>
    <row r="1189" spans="1:12">
      <c r="A1189">
        <v>5804</v>
      </c>
      <c r="B1189" s="63" t="s">
        <v>815</v>
      </c>
      <c r="C1189" s="63" t="s">
        <v>823</v>
      </c>
      <c r="D1189" s="63" t="s">
        <v>309</v>
      </c>
      <c r="E1189" s="63" t="s">
        <v>299</v>
      </c>
      <c r="F1189" s="63" t="s">
        <v>2653</v>
      </c>
      <c r="G1189">
        <v>1</v>
      </c>
      <c r="H1189">
        <v>20</v>
      </c>
      <c r="I1189">
        <v>114</v>
      </c>
      <c r="J1189">
        <v>114</v>
      </c>
      <c r="K1189">
        <v>13.87</v>
      </c>
      <c r="L1189">
        <v>0</v>
      </c>
    </row>
    <row r="1190" spans="1:12">
      <c r="A1190">
        <v>5804</v>
      </c>
      <c r="B1190" s="63" t="s">
        <v>204</v>
      </c>
      <c r="C1190" s="63" t="s">
        <v>310</v>
      </c>
      <c r="D1190" s="63" t="s">
        <v>309</v>
      </c>
      <c r="E1190" s="63" t="s">
        <v>299</v>
      </c>
      <c r="F1190" s="63" t="s">
        <v>560</v>
      </c>
      <c r="G1190">
        <v>1</v>
      </c>
      <c r="H1190">
        <v>5</v>
      </c>
      <c r="I1190">
        <v>28</v>
      </c>
      <c r="J1190">
        <v>28</v>
      </c>
      <c r="K1190">
        <v>281.08</v>
      </c>
      <c r="L1190">
        <v>11</v>
      </c>
    </row>
    <row r="1191" spans="1:12">
      <c r="A1191">
        <v>5804</v>
      </c>
      <c r="B1191" s="63" t="s">
        <v>204</v>
      </c>
      <c r="C1191" s="63" t="s">
        <v>310</v>
      </c>
      <c r="D1191" s="63" t="s">
        <v>309</v>
      </c>
      <c r="E1191" s="63" t="s">
        <v>299</v>
      </c>
      <c r="F1191" s="63" t="s">
        <v>2654</v>
      </c>
      <c r="G1191">
        <v>1</v>
      </c>
      <c r="H1191">
        <v>7</v>
      </c>
      <c r="I1191">
        <v>32</v>
      </c>
      <c r="J1191">
        <v>32</v>
      </c>
      <c r="K1191">
        <v>109.37</v>
      </c>
      <c r="L1191">
        <v>4</v>
      </c>
    </row>
    <row r="1192" spans="1:12">
      <c r="A1192">
        <v>5804</v>
      </c>
      <c r="B1192" s="63" t="s">
        <v>204</v>
      </c>
      <c r="C1192" s="63" t="s">
        <v>310</v>
      </c>
      <c r="D1192" s="63" t="s">
        <v>309</v>
      </c>
      <c r="E1192" s="63" t="s">
        <v>299</v>
      </c>
      <c r="F1192" s="63" t="s">
        <v>2655</v>
      </c>
      <c r="G1192">
        <v>1</v>
      </c>
      <c r="H1192">
        <v>2</v>
      </c>
      <c r="I1192">
        <v>12</v>
      </c>
      <c r="J1192">
        <v>12</v>
      </c>
      <c r="K1192">
        <v>228.4</v>
      </c>
      <c r="L1192">
        <v>9</v>
      </c>
    </row>
    <row r="1193" spans="1:12">
      <c r="A1193">
        <v>5804</v>
      </c>
      <c r="B1193" s="63" t="s">
        <v>204</v>
      </c>
      <c r="C1193" s="63" t="s">
        <v>310</v>
      </c>
      <c r="D1193" s="63" t="s">
        <v>59</v>
      </c>
      <c r="E1193" s="63" t="s">
        <v>299</v>
      </c>
      <c r="F1193" s="63" t="s">
        <v>1777</v>
      </c>
      <c r="G1193">
        <v>1</v>
      </c>
      <c r="H1193">
        <v>9</v>
      </c>
      <c r="I1193">
        <v>49</v>
      </c>
      <c r="J1193">
        <v>49</v>
      </c>
      <c r="K1193">
        <v>281.08</v>
      </c>
      <c r="L1193">
        <v>11</v>
      </c>
    </row>
    <row r="1194" spans="1:12">
      <c r="A1194">
        <v>5804</v>
      </c>
      <c r="B1194" s="63" t="s">
        <v>1575</v>
      </c>
      <c r="C1194" s="63" t="s">
        <v>1612</v>
      </c>
      <c r="D1194" s="63" t="s">
        <v>309</v>
      </c>
      <c r="E1194" s="63" t="s">
        <v>299</v>
      </c>
      <c r="F1194" s="63" t="s">
        <v>2656</v>
      </c>
      <c r="G1194">
        <v>1</v>
      </c>
      <c r="H1194">
        <v>2</v>
      </c>
      <c r="I1194">
        <v>11</v>
      </c>
      <c r="J1194">
        <v>11</v>
      </c>
      <c r="K1194">
        <v>109.37</v>
      </c>
      <c r="L1194">
        <v>4</v>
      </c>
    </row>
    <row r="1195" spans="1:12">
      <c r="A1195">
        <v>5804</v>
      </c>
      <c r="B1195" s="63" t="s">
        <v>2657</v>
      </c>
      <c r="C1195" s="63" t="s">
        <v>2658</v>
      </c>
      <c r="D1195" s="63" t="s">
        <v>205</v>
      </c>
      <c r="E1195" s="63" t="s">
        <v>299</v>
      </c>
      <c r="F1195" s="63" t="s">
        <v>2659</v>
      </c>
      <c r="G1195">
        <v>1</v>
      </c>
      <c r="H1195">
        <v>4</v>
      </c>
      <c r="I1195">
        <v>15</v>
      </c>
      <c r="J1195">
        <v>15</v>
      </c>
      <c r="K1195">
        <v>203.57</v>
      </c>
      <c r="L1195">
        <v>8</v>
      </c>
    </row>
    <row r="1196" spans="1:12">
      <c r="A1196">
        <v>5900</v>
      </c>
      <c r="B1196" s="63" t="s">
        <v>974</v>
      </c>
      <c r="C1196" s="63" t="s">
        <v>975</v>
      </c>
      <c r="D1196" s="63" t="s">
        <v>261</v>
      </c>
      <c r="E1196" s="63" t="s">
        <v>272</v>
      </c>
      <c r="F1196" s="63" t="s">
        <v>1637</v>
      </c>
      <c r="G1196">
        <v>1</v>
      </c>
      <c r="H1196">
        <v>1</v>
      </c>
      <c r="I1196">
        <v>12</v>
      </c>
      <c r="J1196">
        <v>12</v>
      </c>
      <c r="K1196">
        <v>302.17</v>
      </c>
      <c r="L1196">
        <v>12</v>
      </c>
    </row>
    <row r="1197" spans="1:12">
      <c r="A1197">
        <v>5900</v>
      </c>
      <c r="B1197" s="63" t="s">
        <v>204</v>
      </c>
      <c r="C1197" s="63" t="s">
        <v>310</v>
      </c>
      <c r="D1197" s="63" t="s">
        <v>59</v>
      </c>
      <c r="E1197" s="63" t="s">
        <v>176</v>
      </c>
      <c r="F1197" s="63" t="s">
        <v>1850</v>
      </c>
      <c r="G1197">
        <v>1</v>
      </c>
      <c r="H1197">
        <v>6</v>
      </c>
      <c r="I1197">
        <v>36</v>
      </c>
      <c r="J1197">
        <v>36</v>
      </c>
      <c r="K1197">
        <v>641.28</v>
      </c>
      <c r="L1197">
        <v>2</v>
      </c>
    </row>
    <row r="1198" spans="1:12">
      <c r="A1198">
        <v>5901</v>
      </c>
      <c r="B1198" s="63" t="s">
        <v>361</v>
      </c>
      <c r="C1198" s="63" t="s">
        <v>1614</v>
      </c>
      <c r="D1198" s="63" t="s">
        <v>261</v>
      </c>
      <c r="G1198">
        <v>1</v>
      </c>
      <c r="H1198">
        <v>60</v>
      </c>
      <c r="I1198">
        <v>60</v>
      </c>
      <c r="J1198">
        <v>60</v>
      </c>
      <c r="K1198">
        <v>2.48</v>
      </c>
      <c r="L1198">
        <v>8</v>
      </c>
    </row>
    <row r="1199" spans="1:12">
      <c r="A1199">
        <v>5901</v>
      </c>
      <c r="B1199" s="63" t="s">
        <v>361</v>
      </c>
      <c r="C1199" s="63" t="s">
        <v>1614</v>
      </c>
      <c r="D1199" s="63" t="s">
        <v>261</v>
      </c>
      <c r="E1199" s="63" t="s">
        <v>2660</v>
      </c>
      <c r="F1199" s="63" t="s">
        <v>1707</v>
      </c>
      <c r="G1199">
        <v>1</v>
      </c>
      <c r="H1199">
        <v>60</v>
      </c>
      <c r="I1199">
        <v>60</v>
      </c>
      <c r="J1199">
        <v>60</v>
      </c>
      <c r="K1199">
        <v>9</v>
      </c>
      <c r="L1199">
        <v>7</v>
      </c>
    </row>
    <row r="1200" spans="1:12">
      <c r="A1200">
        <v>5901</v>
      </c>
      <c r="B1200" s="63" t="s">
        <v>361</v>
      </c>
      <c r="C1200" s="63" t="s">
        <v>1614</v>
      </c>
      <c r="D1200" s="63" t="s">
        <v>261</v>
      </c>
      <c r="E1200" s="63" t="s">
        <v>2660</v>
      </c>
      <c r="F1200" s="63" t="s">
        <v>1873</v>
      </c>
      <c r="G1200">
        <v>1</v>
      </c>
      <c r="H1200">
        <v>60</v>
      </c>
      <c r="I1200">
        <v>60</v>
      </c>
      <c r="J1200">
        <v>60</v>
      </c>
      <c r="K1200">
        <v>11.03</v>
      </c>
      <c r="L1200">
        <v>7</v>
      </c>
    </row>
    <row r="1201" spans="1:12">
      <c r="A1201">
        <v>5901</v>
      </c>
      <c r="B1201" s="63" t="s">
        <v>361</v>
      </c>
      <c r="C1201" s="63" t="s">
        <v>1614</v>
      </c>
      <c r="D1201" s="63" t="s">
        <v>261</v>
      </c>
      <c r="E1201" s="63" t="s">
        <v>311</v>
      </c>
      <c r="F1201" s="63" t="s">
        <v>2063</v>
      </c>
      <c r="G1201">
        <v>1</v>
      </c>
      <c r="H1201">
        <v>49</v>
      </c>
      <c r="I1201">
        <v>49</v>
      </c>
      <c r="J1201">
        <v>49</v>
      </c>
      <c r="K1201">
        <v>8.1199999999999992</v>
      </c>
      <c r="L1201">
        <v>5</v>
      </c>
    </row>
    <row r="1202" spans="1:12">
      <c r="A1202">
        <v>5901</v>
      </c>
      <c r="B1202" s="63" t="s">
        <v>361</v>
      </c>
      <c r="C1202" s="63" t="s">
        <v>1614</v>
      </c>
      <c r="D1202" s="63" t="s">
        <v>261</v>
      </c>
      <c r="E1202" s="63" t="s">
        <v>311</v>
      </c>
      <c r="F1202" s="63" t="s">
        <v>2661</v>
      </c>
      <c r="G1202">
        <v>1</v>
      </c>
      <c r="H1202">
        <v>60</v>
      </c>
      <c r="I1202">
        <v>60</v>
      </c>
      <c r="J1202">
        <v>60</v>
      </c>
      <c r="K1202">
        <v>12.08</v>
      </c>
      <c r="L1202">
        <v>8</v>
      </c>
    </row>
    <row r="1203" spans="1:12">
      <c r="A1203">
        <v>5902</v>
      </c>
      <c r="B1203" s="63" t="s">
        <v>361</v>
      </c>
      <c r="C1203" s="63" t="s">
        <v>1614</v>
      </c>
      <c r="D1203" s="63" t="s">
        <v>261</v>
      </c>
      <c r="E1203" s="63" t="s">
        <v>311</v>
      </c>
      <c r="F1203" s="63" t="s">
        <v>2662</v>
      </c>
      <c r="G1203">
        <v>1</v>
      </c>
      <c r="H1203">
        <v>60</v>
      </c>
      <c r="I1203">
        <v>60</v>
      </c>
      <c r="J1203">
        <v>60</v>
      </c>
      <c r="K1203">
        <v>4.37</v>
      </c>
      <c r="L1203">
        <v>10</v>
      </c>
    </row>
    <row r="1204" spans="1:12">
      <c r="A1204">
        <v>5902</v>
      </c>
      <c r="B1204" s="63" t="s">
        <v>361</v>
      </c>
      <c r="C1204" s="63" t="s">
        <v>1614</v>
      </c>
      <c r="D1204" s="63" t="s">
        <v>261</v>
      </c>
      <c r="E1204" s="63" t="s">
        <v>176</v>
      </c>
      <c r="F1204" s="63" t="s">
        <v>2663</v>
      </c>
      <c r="G1204">
        <v>1</v>
      </c>
      <c r="H1204">
        <v>60</v>
      </c>
      <c r="I1204">
        <v>60</v>
      </c>
      <c r="J1204">
        <v>60</v>
      </c>
      <c r="K1204">
        <v>2.15</v>
      </c>
      <c r="L1204">
        <v>10</v>
      </c>
    </row>
    <row r="1205" spans="1:12">
      <c r="A1205">
        <v>5996</v>
      </c>
      <c r="B1205" s="63" t="s">
        <v>540</v>
      </c>
      <c r="C1205" s="63" t="s">
        <v>1790</v>
      </c>
      <c r="D1205" s="63" t="s">
        <v>59</v>
      </c>
      <c r="E1205" s="63" t="s">
        <v>184</v>
      </c>
      <c r="F1205" s="63" t="s">
        <v>1979</v>
      </c>
      <c r="G1205">
        <v>1</v>
      </c>
      <c r="H1205">
        <v>18</v>
      </c>
      <c r="I1205">
        <v>165</v>
      </c>
      <c r="J1205">
        <v>165</v>
      </c>
      <c r="K1205">
        <v>57.88</v>
      </c>
      <c r="L1205">
        <v>2</v>
      </c>
    </row>
    <row r="1206" spans="1:12">
      <c r="A1206">
        <v>5997</v>
      </c>
      <c r="B1206" s="63" t="s">
        <v>2328</v>
      </c>
      <c r="C1206" s="63" t="s">
        <v>2329</v>
      </c>
      <c r="D1206" s="63" t="s">
        <v>59</v>
      </c>
      <c r="E1206" s="63" t="s">
        <v>272</v>
      </c>
      <c r="F1206" s="63" t="s">
        <v>2664</v>
      </c>
      <c r="G1206">
        <v>1</v>
      </c>
      <c r="H1206">
        <v>1</v>
      </c>
      <c r="I1206">
        <v>8</v>
      </c>
      <c r="J1206">
        <v>32</v>
      </c>
      <c r="K1206">
        <v>184.45</v>
      </c>
      <c r="L1206">
        <v>7</v>
      </c>
    </row>
    <row r="1207" spans="1:12">
      <c r="A1207">
        <v>5997</v>
      </c>
      <c r="B1207" s="63" t="s">
        <v>339</v>
      </c>
      <c r="C1207" s="63" t="s">
        <v>340</v>
      </c>
      <c r="D1207" s="63" t="s">
        <v>59</v>
      </c>
      <c r="E1207" s="63" t="s">
        <v>172</v>
      </c>
      <c r="F1207" s="63" t="s">
        <v>1226</v>
      </c>
      <c r="G1207">
        <v>1</v>
      </c>
      <c r="H1207">
        <v>4</v>
      </c>
      <c r="I1207">
        <v>12</v>
      </c>
      <c r="J1207">
        <v>12</v>
      </c>
      <c r="K1207">
        <v>1184.42</v>
      </c>
      <c r="L1207">
        <v>80</v>
      </c>
    </row>
    <row r="1208" spans="1:12">
      <c r="A1208">
        <v>5998</v>
      </c>
      <c r="B1208" s="63" t="s">
        <v>408</v>
      </c>
      <c r="C1208" s="63" t="s">
        <v>2665</v>
      </c>
      <c r="D1208" s="63" t="s">
        <v>59</v>
      </c>
      <c r="E1208" s="63" t="s">
        <v>203</v>
      </c>
      <c r="F1208" s="63" t="s">
        <v>926</v>
      </c>
      <c r="G1208">
        <v>1</v>
      </c>
      <c r="H1208">
        <v>2</v>
      </c>
      <c r="I1208">
        <v>40</v>
      </c>
      <c r="J1208">
        <v>40</v>
      </c>
      <c r="K1208">
        <v>108.27</v>
      </c>
      <c r="L1208">
        <v>4</v>
      </c>
    </row>
    <row r="1209" spans="1:12">
      <c r="A1209">
        <v>5998</v>
      </c>
      <c r="B1209" s="63" t="s">
        <v>408</v>
      </c>
      <c r="C1209" s="63" t="s">
        <v>2571</v>
      </c>
      <c r="D1209" s="63" t="s">
        <v>59</v>
      </c>
      <c r="E1209" s="63" t="s">
        <v>1207</v>
      </c>
      <c r="F1209" s="63" t="s">
        <v>1248</v>
      </c>
      <c r="G1209">
        <v>1</v>
      </c>
      <c r="H1209">
        <v>11</v>
      </c>
      <c r="I1209">
        <v>191</v>
      </c>
      <c r="J1209">
        <v>191</v>
      </c>
      <c r="K1209">
        <v>31.75</v>
      </c>
      <c r="L1209">
        <v>4</v>
      </c>
    </row>
    <row r="1210" spans="1:12">
      <c r="A1210">
        <v>5998</v>
      </c>
      <c r="B1210" s="63" t="s">
        <v>408</v>
      </c>
      <c r="C1210" s="63" t="s">
        <v>2571</v>
      </c>
      <c r="D1210" s="63" t="s">
        <v>59</v>
      </c>
      <c r="E1210" s="63" t="s">
        <v>203</v>
      </c>
      <c r="F1210" s="63" t="s">
        <v>1124</v>
      </c>
      <c r="G1210">
        <v>1</v>
      </c>
      <c r="H1210">
        <v>3</v>
      </c>
      <c r="I1210">
        <v>40</v>
      </c>
      <c r="J1210">
        <v>40</v>
      </c>
      <c r="K1210">
        <v>9.77</v>
      </c>
      <c r="L1210">
        <v>3</v>
      </c>
    </row>
    <row r="1211" spans="1:12">
      <c r="A1211">
        <v>5998</v>
      </c>
      <c r="B1211" s="63" t="s">
        <v>408</v>
      </c>
      <c r="C1211" s="63" t="s">
        <v>2571</v>
      </c>
      <c r="D1211" s="63" t="s">
        <v>59</v>
      </c>
      <c r="E1211" s="63" t="s">
        <v>203</v>
      </c>
      <c r="F1211" s="63" t="s">
        <v>926</v>
      </c>
      <c r="G1211">
        <v>1</v>
      </c>
      <c r="H1211">
        <v>31</v>
      </c>
      <c r="I1211">
        <v>490</v>
      </c>
      <c r="J1211">
        <v>490</v>
      </c>
      <c r="K1211">
        <v>124.68</v>
      </c>
      <c r="L1211">
        <v>4</v>
      </c>
    </row>
    <row r="1212" spans="1:12">
      <c r="A1212">
        <v>5998</v>
      </c>
      <c r="B1212" s="63" t="s">
        <v>408</v>
      </c>
      <c r="C1212" s="63" t="s">
        <v>2571</v>
      </c>
      <c r="D1212" s="63" t="s">
        <v>59</v>
      </c>
      <c r="E1212" s="63" t="s">
        <v>203</v>
      </c>
      <c r="F1212" s="63" t="s">
        <v>1395</v>
      </c>
      <c r="G1212">
        <v>1</v>
      </c>
      <c r="H1212">
        <v>13</v>
      </c>
      <c r="I1212">
        <v>258</v>
      </c>
      <c r="J1212">
        <v>258</v>
      </c>
      <c r="K1212">
        <v>43.83</v>
      </c>
      <c r="L1212">
        <v>1</v>
      </c>
    </row>
    <row r="1213" spans="1:12">
      <c r="A1213">
        <v>5998</v>
      </c>
      <c r="B1213" s="63" t="s">
        <v>408</v>
      </c>
      <c r="C1213" s="63" t="s">
        <v>2571</v>
      </c>
      <c r="D1213" s="63" t="s">
        <v>59</v>
      </c>
      <c r="E1213" s="63" t="s">
        <v>175</v>
      </c>
      <c r="F1213" s="63" t="s">
        <v>1839</v>
      </c>
      <c r="G1213">
        <v>1</v>
      </c>
      <c r="H1213">
        <v>18</v>
      </c>
      <c r="I1213">
        <v>339</v>
      </c>
      <c r="J1213">
        <v>339</v>
      </c>
      <c r="K1213">
        <v>38.82</v>
      </c>
      <c r="L1213">
        <v>4</v>
      </c>
    </row>
    <row r="1214" spans="1:12">
      <c r="A1214">
        <v>5998</v>
      </c>
      <c r="B1214" s="63" t="s">
        <v>408</v>
      </c>
      <c r="C1214" s="63" t="s">
        <v>2571</v>
      </c>
      <c r="D1214" s="63" t="s">
        <v>374</v>
      </c>
      <c r="E1214" s="63" t="s">
        <v>203</v>
      </c>
      <c r="F1214" s="63" t="s">
        <v>926</v>
      </c>
      <c r="G1214">
        <v>1</v>
      </c>
      <c r="H1214">
        <v>8</v>
      </c>
      <c r="I1214">
        <v>160</v>
      </c>
      <c r="J1214">
        <v>160</v>
      </c>
      <c r="K1214">
        <v>147.19999999999999</v>
      </c>
      <c r="L1214">
        <v>6</v>
      </c>
    </row>
    <row r="1215" spans="1:12">
      <c r="A1215">
        <v>5998</v>
      </c>
      <c r="B1215" s="63" t="s">
        <v>408</v>
      </c>
      <c r="C1215" s="63" t="s">
        <v>2666</v>
      </c>
      <c r="D1215" s="63" t="s">
        <v>59</v>
      </c>
      <c r="E1215" s="63" t="s">
        <v>203</v>
      </c>
      <c r="F1215" s="63" t="s">
        <v>1395</v>
      </c>
      <c r="G1215">
        <v>1</v>
      </c>
      <c r="H1215">
        <v>5</v>
      </c>
      <c r="I1215">
        <v>100</v>
      </c>
      <c r="J1215">
        <v>100</v>
      </c>
      <c r="K1215">
        <v>37.770000000000003</v>
      </c>
      <c r="L1215">
        <v>1</v>
      </c>
    </row>
    <row r="1216" spans="1:12">
      <c r="A1216">
        <v>5998</v>
      </c>
      <c r="B1216" s="63" t="s">
        <v>408</v>
      </c>
      <c r="C1216" s="63" t="s">
        <v>2666</v>
      </c>
      <c r="D1216" s="63" t="s">
        <v>59</v>
      </c>
      <c r="E1216" s="63" t="s">
        <v>175</v>
      </c>
      <c r="F1216" s="63" t="s">
        <v>1839</v>
      </c>
      <c r="G1216">
        <v>1</v>
      </c>
      <c r="H1216">
        <v>2</v>
      </c>
      <c r="I1216">
        <v>40</v>
      </c>
      <c r="J1216">
        <v>40</v>
      </c>
      <c r="K1216">
        <v>41.97</v>
      </c>
      <c r="L1216">
        <v>1</v>
      </c>
    </row>
    <row r="1217" spans="1:12">
      <c r="A1217">
        <v>5998</v>
      </c>
      <c r="B1217" s="63" t="s">
        <v>408</v>
      </c>
      <c r="C1217" s="63" t="s">
        <v>2666</v>
      </c>
      <c r="D1217" s="63" t="s">
        <v>374</v>
      </c>
      <c r="E1217" s="63" t="s">
        <v>203</v>
      </c>
      <c r="F1217" s="63" t="s">
        <v>926</v>
      </c>
      <c r="G1217">
        <v>1</v>
      </c>
      <c r="H1217">
        <v>16</v>
      </c>
      <c r="I1217">
        <v>170</v>
      </c>
      <c r="J1217">
        <v>170</v>
      </c>
      <c r="K1217">
        <v>112.58</v>
      </c>
      <c r="L1217">
        <v>4</v>
      </c>
    </row>
    <row r="1218" spans="1:12">
      <c r="A1218">
        <v>5998</v>
      </c>
      <c r="B1218" s="63" t="s">
        <v>408</v>
      </c>
      <c r="C1218" s="63" t="s">
        <v>2666</v>
      </c>
      <c r="D1218" s="63" t="s">
        <v>374</v>
      </c>
      <c r="E1218" s="63" t="s">
        <v>203</v>
      </c>
      <c r="F1218" s="63" t="s">
        <v>1395</v>
      </c>
      <c r="G1218">
        <v>1</v>
      </c>
      <c r="H1218">
        <v>2</v>
      </c>
      <c r="I1218">
        <v>40</v>
      </c>
      <c r="J1218">
        <v>40</v>
      </c>
      <c r="K1218">
        <v>47.6</v>
      </c>
      <c r="L1218">
        <v>1</v>
      </c>
    </row>
    <row r="1219" spans="1:12">
      <c r="A1219">
        <v>5998</v>
      </c>
      <c r="B1219" s="63" t="s">
        <v>408</v>
      </c>
      <c r="C1219" s="63" t="s">
        <v>2666</v>
      </c>
      <c r="D1219" s="63" t="s">
        <v>374</v>
      </c>
      <c r="E1219" s="63" t="s">
        <v>175</v>
      </c>
      <c r="F1219" s="63" t="s">
        <v>1839</v>
      </c>
      <c r="G1219">
        <v>1</v>
      </c>
      <c r="H1219">
        <v>1</v>
      </c>
      <c r="I1219">
        <v>20</v>
      </c>
      <c r="J1219">
        <v>20</v>
      </c>
      <c r="K1219">
        <v>56.32</v>
      </c>
      <c r="L1219">
        <v>2</v>
      </c>
    </row>
    <row r="1220" spans="1:12">
      <c r="A1220">
        <v>5998</v>
      </c>
      <c r="B1220" s="63" t="s">
        <v>2563</v>
      </c>
      <c r="C1220" s="63" t="s">
        <v>2569</v>
      </c>
      <c r="D1220" s="63" t="s">
        <v>285</v>
      </c>
      <c r="F1220" s="63" t="s">
        <v>1657</v>
      </c>
      <c r="G1220">
        <v>1</v>
      </c>
      <c r="H1220">
        <v>2</v>
      </c>
      <c r="I1220">
        <v>0</v>
      </c>
      <c r="J1220">
        <v>0</v>
      </c>
      <c r="K1220">
        <v>22.5</v>
      </c>
      <c r="L1220">
        <v>0</v>
      </c>
    </row>
    <row r="1221" spans="1:12">
      <c r="A1221">
        <v>5998</v>
      </c>
      <c r="B1221" s="63" t="s">
        <v>1796</v>
      </c>
      <c r="C1221" s="63" t="s">
        <v>2509</v>
      </c>
      <c r="D1221" s="63" t="s">
        <v>285</v>
      </c>
      <c r="E1221" s="63" t="s">
        <v>992</v>
      </c>
      <c r="F1221" s="63" t="s">
        <v>2080</v>
      </c>
      <c r="G1221">
        <v>1</v>
      </c>
      <c r="H1221">
        <v>1</v>
      </c>
      <c r="I1221">
        <v>3</v>
      </c>
      <c r="J1221">
        <v>3</v>
      </c>
      <c r="K1221">
        <v>12.18</v>
      </c>
      <c r="L1221">
        <v>0</v>
      </c>
    </row>
    <row r="1222" spans="1:12">
      <c r="A1222">
        <v>5998</v>
      </c>
      <c r="B1222" s="63" t="s">
        <v>1796</v>
      </c>
      <c r="C1222" s="63" t="s">
        <v>2509</v>
      </c>
      <c r="D1222" s="63" t="s">
        <v>285</v>
      </c>
      <c r="E1222" s="63" t="s">
        <v>173</v>
      </c>
      <c r="F1222" s="63" t="s">
        <v>548</v>
      </c>
      <c r="G1222">
        <v>1</v>
      </c>
      <c r="H1222">
        <v>6</v>
      </c>
      <c r="I1222">
        <v>18</v>
      </c>
      <c r="J1222">
        <v>18</v>
      </c>
      <c r="K1222">
        <v>9.8800000000000008</v>
      </c>
      <c r="L1222">
        <v>0</v>
      </c>
    </row>
    <row r="1223" spans="1:12">
      <c r="A1223">
        <v>5998</v>
      </c>
      <c r="B1223" s="63" t="s">
        <v>1796</v>
      </c>
      <c r="C1223" s="63" t="s">
        <v>2509</v>
      </c>
      <c r="D1223" s="63" t="s">
        <v>285</v>
      </c>
      <c r="E1223" s="63" t="s">
        <v>184</v>
      </c>
      <c r="F1223" s="63" t="s">
        <v>2667</v>
      </c>
      <c r="G1223">
        <v>1</v>
      </c>
      <c r="H1223">
        <v>1</v>
      </c>
      <c r="I1223">
        <v>3</v>
      </c>
      <c r="J1223">
        <v>3</v>
      </c>
      <c r="K1223">
        <v>7.57</v>
      </c>
      <c r="L1223">
        <v>0</v>
      </c>
    </row>
    <row r="1224" spans="1:12">
      <c r="A1224">
        <v>5999</v>
      </c>
      <c r="B1224" s="63" t="s">
        <v>490</v>
      </c>
      <c r="C1224" s="63" t="s">
        <v>2668</v>
      </c>
      <c r="D1224" s="63" t="s">
        <v>59</v>
      </c>
      <c r="E1224" s="63" t="s">
        <v>184</v>
      </c>
      <c r="F1224" s="63" t="s">
        <v>2669</v>
      </c>
      <c r="G1224">
        <v>1</v>
      </c>
      <c r="H1224">
        <v>2</v>
      </c>
      <c r="I1224">
        <v>35</v>
      </c>
      <c r="J1224">
        <v>35</v>
      </c>
      <c r="K1224">
        <v>3.28</v>
      </c>
      <c r="L1224">
        <v>4</v>
      </c>
    </row>
    <row r="1225" spans="1:12">
      <c r="A1225">
        <v>5999</v>
      </c>
      <c r="B1225" s="63" t="s">
        <v>356</v>
      </c>
      <c r="C1225" s="63" t="s">
        <v>358</v>
      </c>
      <c r="D1225" s="63" t="s">
        <v>59</v>
      </c>
      <c r="E1225" s="63" t="s">
        <v>1033</v>
      </c>
      <c r="F1225" s="63" t="s">
        <v>1294</v>
      </c>
      <c r="G1225">
        <v>1</v>
      </c>
      <c r="H1225">
        <v>2</v>
      </c>
      <c r="I1225">
        <v>36</v>
      </c>
      <c r="J1225">
        <v>36</v>
      </c>
      <c r="K1225">
        <v>15.37</v>
      </c>
      <c r="L1225">
        <v>0</v>
      </c>
    </row>
    <row r="1226" spans="1:12">
      <c r="A1226">
        <v>5999</v>
      </c>
      <c r="B1226" s="63" t="s">
        <v>2670</v>
      </c>
      <c r="C1226" s="63" t="s">
        <v>2671</v>
      </c>
      <c r="D1226" s="63" t="s">
        <v>325</v>
      </c>
      <c r="E1226" s="63" t="s">
        <v>1033</v>
      </c>
      <c r="F1226" s="63" t="s">
        <v>1294</v>
      </c>
      <c r="G1226">
        <v>1</v>
      </c>
      <c r="H1226">
        <v>2</v>
      </c>
      <c r="I1226">
        <v>36</v>
      </c>
      <c r="J1226">
        <v>36</v>
      </c>
      <c r="K1226">
        <v>26.27</v>
      </c>
      <c r="L1226">
        <v>0</v>
      </c>
    </row>
    <row r="1227" spans="1:12">
      <c r="A1227">
        <v>7300</v>
      </c>
      <c r="B1227" s="63" t="s">
        <v>256</v>
      </c>
      <c r="C1227" s="63" t="s">
        <v>350</v>
      </c>
      <c r="D1227" s="63" t="s">
        <v>59</v>
      </c>
      <c r="E1227" s="63" t="s">
        <v>172</v>
      </c>
      <c r="F1227" s="63" t="s">
        <v>1318</v>
      </c>
      <c r="G1227">
        <v>1</v>
      </c>
      <c r="H1227">
        <v>60</v>
      </c>
      <c r="I1227">
        <v>360</v>
      </c>
      <c r="J1227">
        <v>7200</v>
      </c>
      <c r="K1227">
        <v>5.62</v>
      </c>
      <c r="L1227">
        <v>3</v>
      </c>
    </row>
    <row r="1228" spans="1:12">
      <c r="A1228">
        <v>7300</v>
      </c>
      <c r="B1228" s="63" t="s">
        <v>256</v>
      </c>
      <c r="C1228" s="63" t="s">
        <v>350</v>
      </c>
      <c r="D1228" s="63" t="s">
        <v>59</v>
      </c>
      <c r="E1228" s="63" t="s">
        <v>173</v>
      </c>
      <c r="F1228" s="63" t="s">
        <v>1394</v>
      </c>
      <c r="G1228">
        <v>1</v>
      </c>
      <c r="H1228">
        <v>60</v>
      </c>
      <c r="I1228">
        <v>360</v>
      </c>
      <c r="J1228">
        <v>7200</v>
      </c>
      <c r="K1228">
        <v>5.63</v>
      </c>
      <c r="L1228">
        <v>3</v>
      </c>
    </row>
    <row r="1229" spans="1:12">
      <c r="A1229">
        <v>7300</v>
      </c>
      <c r="B1229" s="63" t="s">
        <v>256</v>
      </c>
      <c r="C1229" s="63" t="s">
        <v>350</v>
      </c>
      <c r="D1229" s="63" t="s">
        <v>59</v>
      </c>
      <c r="E1229" s="63" t="s">
        <v>173</v>
      </c>
      <c r="F1229" s="63" t="s">
        <v>1285</v>
      </c>
      <c r="G1229">
        <v>1</v>
      </c>
      <c r="H1229">
        <v>60</v>
      </c>
      <c r="I1229">
        <v>360</v>
      </c>
      <c r="J1229">
        <v>7196</v>
      </c>
      <c r="K1229">
        <v>7.52</v>
      </c>
      <c r="L1229">
        <v>3</v>
      </c>
    </row>
    <row r="1230" spans="1:12">
      <c r="A1230">
        <v>7300</v>
      </c>
      <c r="B1230" s="63" t="s">
        <v>256</v>
      </c>
      <c r="C1230" s="63" t="s">
        <v>350</v>
      </c>
      <c r="D1230" s="63" t="s">
        <v>59</v>
      </c>
      <c r="E1230" s="63" t="s">
        <v>174</v>
      </c>
      <c r="F1230" s="63" t="s">
        <v>2121</v>
      </c>
      <c r="G1230">
        <v>1</v>
      </c>
      <c r="H1230">
        <v>60</v>
      </c>
      <c r="I1230">
        <v>360</v>
      </c>
      <c r="J1230">
        <v>7200</v>
      </c>
      <c r="K1230">
        <v>14.62</v>
      </c>
      <c r="L1230">
        <v>3</v>
      </c>
    </row>
    <row r="1231" spans="1:12">
      <c r="A1231">
        <v>7300</v>
      </c>
      <c r="B1231" s="63" t="s">
        <v>256</v>
      </c>
      <c r="C1231" s="63" t="s">
        <v>350</v>
      </c>
      <c r="D1231" s="63" t="s">
        <v>59</v>
      </c>
      <c r="E1231" s="63" t="s">
        <v>175</v>
      </c>
      <c r="F1231" s="63" t="s">
        <v>712</v>
      </c>
      <c r="G1231">
        <v>1</v>
      </c>
      <c r="H1231">
        <v>60</v>
      </c>
      <c r="I1231">
        <v>360</v>
      </c>
      <c r="J1231">
        <v>7200</v>
      </c>
      <c r="K1231">
        <v>4.2699999999999996</v>
      </c>
      <c r="L1231">
        <v>3</v>
      </c>
    </row>
    <row r="1232" spans="1:12">
      <c r="A1232">
        <v>7300</v>
      </c>
      <c r="B1232" s="63" t="s">
        <v>256</v>
      </c>
      <c r="C1232" s="63" t="s">
        <v>350</v>
      </c>
      <c r="D1232" s="63" t="s">
        <v>59</v>
      </c>
      <c r="E1232" s="63" t="s">
        <v>175</v>
      </c>
      <c r="F1232" s="63" t="s">
        <v>1262</v>
      </c>
      <c r="G1232">
        <v>1</v>
      </c>
      <c r="H1232">
        <v>60</v>
      </c>
      <c r="I1232">
        <v>360</v>
      </c>
      <c r="J1232">
        <v>7200</v>
      </c>
      <c r="K1232">
        <v>14.28</v>
      </c>
      <c r="L1232">
        <v>3</v>
      </c>
    </row>
    <row r="1233" spans="1:12">
      <c r="A1233">
        <v>7300</v>
      </c>
      <c r="B1233" s="63" t="s">
        <v>256</v>
      </c>
      <c r="C1233" s="63" t="s">
        <v>350</v>
      </c>
      <c r="D1233" s="63" t="s">
        <v>59</v>
      </c>
      <c r="E1233" s="63" t="s">
        <v>175</v>
      </c>
      <c r="F1233" s="63" t="s">
        <v>1115</v>
      </c>
      <c r="G1233">
        <v>1</v>
      </c>
      <c r="H1233">
        <v>60</v>
      </c>
      <c r="I1233">
        <v>360</v>
      </c>
      <c r="J1233">
        <v>7200</v>
      </c>
      <c r="K1233">
        <v>17.27</v>
      </c>
      <c r="L1233">
        <v>3</v>
      </c>
    </row>
    <row r="1234" spans="1:12">
      <c r="A1234">
        <v>7300</v>
      </c>
      <c r="B1234" s="63" t="s">
        <v>256</v>
      </c>
      <c r="C1234" s="63" t="s">
        <v>350</v>
      </c>
      <c r="D1234" s="63" t="s">
        <v>59</v>
      </c>
      <c r="E1234" s="63" t="s">
        <v>184</v>
      </c>
      <c r="F1234" s="63" t="s">
        <v>1443</v>
      </c>
      <c r="G1234">
        <v>1</v>
      </c>
      <c r="H1234">
        <v>60</v>
      </c>
      <c r="I1234">
        <v>360</v>
      </c>
      <c r="J1234">
        <v>7199</v>
      </c>
      <c r="K1234">
        <v>13.25</v>
      </c>
      <c r="L1234">
        <v>3</v>
      </c>
    </row>
    <row r="1235" spans="1:12">
      <c r="A1235">
        <v>7300</v>
      </c>
      <c r="B1235" s="63" t="s">
        <v>256</v>
      </c>
      <c r="C1235" s="63" t="s">
        <v>350</v>
      </c>
      <c r="D1235" s="63" t="s">
        <v>374</v>
      </c>
      <c r="E1235" s="63" t="s">
        <v>1033</v>
      </c>
      <c r="F1235" s="63" t="s">
        <v>2131</v>
      </c>
      <c r="G1235">
        <v>1</v>
      </c>
      <c r="H1235">
        <v>44</v>
      </c>
      <c r="I1235">
        <v>264</v>
      </c>
      <c r="J1235">
        <v>5280</v>
      </c>
      <c r="K1235">
        <v>15.27</v>
      </c>
      <c r="L1235">
        <v>3</v>
      </c>
    </row>
    <row r="1236" spans="1:12">
      <c r="A1236">
        <v>7300</v>
      </c>
      <c r="B1236" s="63" t="s">
        <v>256</v>
      </c>
      <c r="C1236" s="63" t="s">
        <v>373</v>
      </c>
      <c r="D1236" s="63" t="s">
        <v>59</v>
      </c>
      <c r="E1236" s="63" t="s">
        <v>172</v>
      </c>
      <c r="F1236" s="63" t="s">
        <v>370</v>
      </c>
      <c r="G1236">
        <v>1</v>
      </c>
      <c r="H1236">
        <v>60</v>
      </c>
      <c r="I1236">
        <v>360</v>
      </c>
      <c r="J1236">
        <v>7199</v>
      </c>
      <c r="K1236">
        <v>10.33</v>
      </c>
      <c r="L1236">
        <v>3</v>
      </c>
    </row>
    <row r="1237" spans="1:12">
      <c r="A1237">
        <v>7300</v>
      </c>
      <c r="B1237" s="63" t="s">
        <v>256</v>
      </c>
      <c r="C1237" s="63" t="s">
        <v>373</v>
      </c>
      <c r="D1237" s="63" t="s">
        <v>59</v>
      </c>
      <c r="E1237" s="63" t="s">
        <v>173</v>
      </c>
      <c r="F1237" s="63" t="s">
        <v>532</v>
      </c>
      <c r="G1237">
        <v>1</v>
      </c>
      <c r="H1237">
        <v>60</v>
      </c>
      <c r="I1237">
        <v>360</v>
      </c>
      <c r="J1237">
        <v>7199</v>
      </c>
      <c r="K1237">
        <v>10.08</v>
      </c>
      <c r="L1237">
        <v>3</v>
      </c>
    </row>
    <row r="1238" spans="1:12">
      <c r="A1238">
        <v>7300</v>
      </c>
      <c r="B1238" s="63" t="s">
        <v>256</v>
      </c>
      <c r="C1238" s="63" t="s">
        <v>373</v>
      </c>
      <c r="D1238" s="63" t="s">
        <v>59</v>
      </c>
      <c r="E1238" s="63" t="s">
        <v>173</v>
      </c>
      <c r="F1238" s="63" t="s">
        <v>2100</v>
      </c>
      <c r="G1238">
        <v>1</v>
      </c>
      <c r="H1238">
        <v>60</v>
      </c>
      <c r="I1238">
        <v>360</v>
      </c>
      <c r="J1238">
        <v>7200</v>
      </c>
      <c r="K1238">
        <v>5.2</v>
      </c>
      <c r="L1238">
        <v>3</v>
      </c>
    </row>
    <row r="1239" spans="1:12">
      <c r="A1239">
        <v>7300</v>
      </c>
      <c r="B1239" s="63" t="s">
        <v>256</v>
      </c>
      <c r="C1239" s="63" t="s">
        <v>373</v>
      </c>
      <c r="D1239" s="63" t="s">
        <v>59</v>
      </c>
      <c r="E1239" s="63" t="s">
        <v>174</v>
      </c>
      <c r="F1239" s="63" t="s">
        <v>442</v>
      </c>
      <c r="G1239">
        <v>1</v>
      </c>
      <c r="H1239">
        <v>60</v>
      </c>
      <c r="I1239">
        <v>360</v>
      </c>
      <c r="J1239">
        <v>7184</v>
      </c>
      <c r="K1239">
        <v>9.85</v>
      </c>
      <c r="L1239">
        <v>3</v>
      </c>
    </row>
    <row r="1240" spans="1:12">
      <c r="A1240">
        <v>7300</v>
      </c>
      <c r="B1240" s="63" t="s">
        <v>256</v>
      </c>
      <c r="C1240" s="63" t="s">
        <v>373</v>
      </c>
      <c r="D1240" s="63" t="s">
        <v>59</v>
      </c>
      <c r="E1240" s="63" t="s">
        <v>175</v>
      </c>
      <c r="F1240" s="63" t="s">
        <v>1502</v>
      </c>
      <c r="G1240">
        <v>1</v>
      </c>
      <c r="H1240">
        <v>57</v>
      </c>
      <c r="I1240">
        <v>342</v>
      </c>
      <c r="J1240">
        <v>6840</v>
      </c>
      <c r="K1240">
        <v>5.98</v>
      </c>
      <c r="L1240">
        <v>3</v>
      </c>
    </row>
    <row r="1241" spans="1:12">
      <c r="A1241">
        <v>7300</v>
      </c>
      <c r="B1241" s="63" t="s">
        <v>256</v>
      </c>
      <c r="C1241" s="63" t="s">
        <v>373</v>
      </c>
      <c r="D1241" s="63" t="s">
        <v>59</v>
      </c>
      <c r="E1241" s="63" t="s">
        <v>175</v>
      </c>
      <c r="F1241" s="63" t="s">
        <v>982</v>
      </c>
      <c r="G1241">
        <v>1</v>
      </c>
      <c r="H1241">
        <v>60</v>
      </c>
      <c r="I1241">
        <v>360</v>
      </c>
      <c r="J1241">
        <v>7200</v>
      </c>
      <c r="K1241">
        <v>12.13</v>
      </c>
      <c r="L1241">
        <v>3</v>
      </c>
    </row>
    <row r="1242" spans="1:12">
      <c r="A1242">
        <v>7300</v>
      </c>
      <c r="B1242" s="63" t="s">
        <v>256</v>
      </c>
      <c r="C1242" s="63" t="s">
        <v>373</v>
      </c>
      <c r="D1242" s="63" t="s">
        <v>59</v>
      </c>
      <c r="E1242" s="63" t="s">
        <v>184</v>
      </c>
      <c r="F1242" s="63" t="s">
        <v>898</v>
      </c>
      <c r="G1242">
        <v>1</v>
      </c>
      <c r="H1242">
        <v>59</v>
      </c>
      <c r="I1242">
        <v>354</v>
      </c>
      <c r="J1242">
        <v>7080</v>
      </c>
      <c r="K1242">
        <v>16.899999999999999</v>
      </c>
      <c r="L1242">
        <v>3</v>
      </c>
    </row>
    <row r="1243" spans="1:12">
      <c r="A1243">
        <v>7300</v>
      </c>
      <c r="B1243" s="63" t="s">
        <v>519</v>
      </c>
      <c r="C1243" s="63" t="s">
        <v>873</v>
      </c>
      <c r="D1243" s="63" t="s">
        <v>59</v>
      </c>
      <c r="E1243" s="63" t="s">
        <v>175</v>
      </c>
      <c r="F1243" s="63" t="s">
        <v>367</v>
      </c>
      <c r="G1243">
        <v>1</v>
      </c>
      <c r="H1243">
        <v>59</v>
      </c>
      <c r="I1243">
        <v>348</v>
      </c>
      <c r="J1243">
        <v>6958</v>
      </c>
      <c r="K1243">
        <v>47.82</v>
      </c>
      <c r="L1243">
        <v>7</v>
      </c>
    </row>
    <row r="1244" spans="1:12">
      <c r="A1244">
        <v>7300</v>
      </c>
      <c r="B1244" s="63" t="s">
        <v>519</v>
      </c>
      <c r="C1244" s="63" t="s">
        <v>873</v>
      </c>
      <c r="D1244" s="63" t="s">
        <v>59</v>
      </c>
      <c r="E1244" s="63" t="s">
        <v>175</v>
      </c>
      <c r="F1244" s="63" t="s">
        <v>2672</v>
      </c>
      <c r="G1244">
        <v>1</v>
      </c>
      <c r="H1244">
        <v>60</v>
      </c>
      <c r="I1244">
        <v>360</v>
      </c>
      <c r="J1244">
        <v>7196</v>
      </c>
      <c r="K1244">
        <v>72.349999999999994</v>
      </c>
      <c r="L1244">
        <v>6</v>
      </c>
    </row>
    <row r="1245" spans="1:12">
      <c r="A1245">
        <v>7300</v>
      </c>
      <c r="B1245" s="63" t="s">
        <v>519</v>
      </c>
      <c r="C1245" s="63" t="s">
        <v>873</v>
      </c>
      <c r="D1245" s="63" t="s">
        <v>59</v>
      </c>
      <c r="E1245" s="63" t="s">
        <v>175</v>
      </c>
      <c r="F1245" s="63" t="s">
        <v>2673</v>
      </c>
      <c r="G1245">
        <v>1</v>
      </c>
      <c r="H1245">
        <v>60</v>
      </c>
      <c r="I1245">
        <v>360</v>
      </c>
      <c r="J1245">
        <v>7199</v>
      </c>
      <c r="K1245">
        <v>71.62</v>
      </c>
      <c r="L1245">
        <v>6</v>
      </c>
    </row>
    <row r="1246" spans="1:12">
      <c r="A1246">
        <v>7300</v>
      </c>
      <c r="B1246" s="63" t="s">
        <v>519</v>
      </c>
      <c r="C1246" s="63" t="s">
        <v>873</v>
      </c>
      <c r="D1246" s="63" t="s">
        <v>59</v>
      </c>
      <c r="E1246" s="63" t="s">
        <v>175</v>
      </c>
      <c r="F1246" s="63" t="s">
        <v>544</v>
      </c>
      <c r="G1246">
        <v>1</v>
      </c>
      <c r="H1246">
        <v>60</v>
      </c>
      <c r="I1246">
        <v>360</v>
      </c>
      <c r="J1246">
        <v>7198</v>
      </c>
      <c r="K1246">
        <v>72.150000000000006</v>
      </c>
      <c r="L1246">
        <v>6</v>
      </c>
    </row>
    <row r="1247" spans="1:12">
      <c r="A1247">
        <v>7300</v>
      </c>
      <c r="B1247" s="63" t="s">
        <v>519</v>
      </c>
      <c r="C1247" s="63" t="s">
        <v>873</v>
      </c>
      <c r="D1247" s="63" t="s">
        <v>59</v>
      </c>
      <c r="E1247" s="63" t="s">
        <v>175</v>
      </c>
      <c r="F1247" s="63" t="s">
        <v>1037</v>
      </c>
      <c r="G1247">
        <v>1</v>
      </c>
      <c r="H1247">
        <v>28</v>
      </c>
      <c r="I1247">
        <v>168</v>
      </c>
      <c r="J1247">
        <v>3353</v>
      </c>
      <c r="K1247">
        <v>60.62</v>
      </c>
      <c r="L1247">
        <v>6</v>
      </c>
    </row>
    <row r="1248" spans="1:12">
      <c r="A1248">
        <v>7300</v>
      </c>
      <c r="B1248" s="63" t="s">
        <v>519</v>
      </c>
      <c r="C1248" s="63" t="s">
        <v>873</v>
      </c>
      <c r="D1248" s="63" t="s">
        <v>59</v>
      </c>
      <c r="E1248" s="63" t="s">
        <v>175</v>
      </c>
      <c r="F1248" s="63" t="s">
        <v>1836</v>
      </c>
      <c r="G1248">
        <v>1</v>
      </c>
      <c r="H1248">
        <v>60</v>
      </c>
      <c r="I1248">
        <v>360</v>
      </c>
      <c r="J1248">
        <v>7199</v>
      </c>
      <c r="K1248">
        <v>72.05</v>
      </c>
      <c r="L1248">
        <v>6</v>
      </c>
    </row>
    <row r="1249" spans="1:12">
      <c r="A1249">
        <v>7300</v>
      </c>
      <c r="B1249" s="63" t="s">
        <v>519</v>
      </c>
      <c r="C1249" s="63" t="s">
        <v>874</v>
      </c>
      <c r="D1249" s="63" t="s">
        <v>59</v>
      </c>
      <c r="G1249">
        <v>1</v>
      </c>
      <c r="H1249">
        <v>179</v>
      </c>
      <c r="I1249">
        <v>1074</v>
      </c>
      <c r="J1249">
        <v>21466</v>
      </c>
      <c r="K1249">
        <v>3.27</v>
      </c>
      <c r="L1249">
        <v>7</v>
      </c>
    </row>
    <row r="1250" spans="1:12">
      <c r="A1250">
        <v>7300</v>
      </c>
      <c r="B1250" s="63" t="s">
        <v>519</v>
      </c>
      <c r="C1250" s="63" t="s">
        <v>874</v>
      </c>
      <c r="D1250" s="63" t="s">
        <v>59</v>
      </c>
      <c r="E1250" s="63" t="s">
        <v>913</v>
      </c>
      <c r="F1250" s="63" t="s">
        <v>846</v>
      </c>
      <c r="G1250">
        <v>1</v>
      </c>
      <c r="H1250">
        <v>60</v>
      </c>
      <c r="I1250">
        <v>360</v>
      </c>
      <c r="J1250">
        <v>7197</v>
      </c>
      <c r="K1250">
        <v>55.2</v>
      </c>
      <c r="L1250">
        <v>7</v>
      </c>
    </row>
    <row r="1251" spans="1:12">
      <c r="A1251">
        <v>7300</v>
      </c>
      <c r="B1251" s="63" t="s">
        <v>519</v>
      </c>
      <c r="C1251" s="63" t="s">
        <v>874</v>
      </c>
      <c r="D1251" s="63" t="s">
        <v>59</v>
      </c>
      <c r="E1251" s="63" t="s">
        <v>913</v>
      </c>
      <c r="F1251" s="63" t="s">
        <v>1213</v>
      </c>
      <c r="G1251">
        <v>1</v>
      </c>
      <c r="H1251">
        <v>60</v>
      </c>
      <c r="I1251">
        <v>360</v>
      </c>
      <c r="J1251">
        <v>7182</v>
      </c>
      <c r="K1251">
        <v>55.13</v>
      </c>
      <c r="L1251">
        <v>7</v>
      </c>
    </row>
    <row r="1252" spans="1:12">
      <c r="A1252">
        <v>7300</v>
      </c>
      <c r="B1252" s="63" t="s">
        <v>519</v>
      </c>
      <c r="C1252" s="63" t="s">
        <v>874</v>
      </c>
      <c r="D1252" s="63" t="s">
        <v>59</v>
      </c>
      <c r="E1252" s="63" t="s">
        <v>175</v>
      </c>
      <c r="F1252" s="63" t="s">
        <v>2008</v>
      </c>
      <c r="G1252">
        <v>1</v>
      </c>
      <c r="H1252">
        <v>60</v>
      </c>
      <c r="I1252">
        <v>360</v>
      </c>
      <c r="J1252">
        <v>7198</v>
      </c>
      <c r="K1252">
        <v>47.1</v>
      </c>
      <c r="L1252">
        <v>7</v>
      </c>
    </row>
    <row r="1253" spans="1:12">
      <c r="A1253">
        <v>7300</v>
      </c>
      <c r="B1253" s="63" t="s">
        <v>519</v>
      </c>
      <c r="C1253" s="63" t="s">
        <v>874</v>
      </c>
      <c r="D1253" s="63" t="s">
        <v>59</v>
      </c>
      <c r="E1253" s="63" t="s">
        <v>175</v>
      </c>
      <c r="F1253" s="63" t="s">
        <v>1461</v>
      </c>
      <c r="G1253">
        <v>1</v>
      </c>
      <c r="H1253">
        <v>47</v>
      </c>
      <c r="I1253">
        <v>282</v>
      </c>
      <c r="J1253">
        <v>5639</v>
      </c>
      <c r="K1253">
        <v>52.23</v>
      </c>
      <c r="L1253">
        <v>6</v>
      </c>
    </row>
    <row r="1254" spans="1:12">
      <c r="A1254">
        <v>7300</v>
      </c>
      <c r="B1254" s="63" t="s">
        <v>519</v>
      </c>
      <c r="C1254" s="63" t="s">
        <v>874</v>
      </c>
      <c r="D1254" s="63" t="s">
        <v>59</v>
      </c>
      <c r="E1254" s="63" t="s">
        <v>175</v>
      </c>
      <c r="F1254" s="63" t="s">
        <v>2125</v>
      </c>
      <c r="G1254">
        <v>1</v>
      </c>
      <c r="H1254">
        <v>60</v>
      </c>
      <c r="I1254">
        <v>360</v>
      </c>
      <c r="J1254">
        <v>7193</v>
      </c>
      <c r="K1254">
        <v>50.17</v>
      </c>
      <c r="L1254">
        <v>7</v>
      </c>
    </row>
    <row r="1255" spans="1:12">
      <c r="A1255">
        <v>7300</v>
      </c>
      <c r="B1255" s="63" t="s">
        <v>519</v>
      </c>
      <c r="C1255" s="63" t="s">
        <v>874</v>
      </c>
      <c r="D1255" s="63" t="s">
        <v>59</v>
      </c>
      <c r="E1255" s="63" t="s">
        <v>175</v>
      </c>
      <c r="F1255" s="63" t="s">
        <v>1396</v>
      </c>
      <c r="G1255">
        <v>1</v>
      </c>
      <c r="H1255">
        <v>7</v>
      </c>
      <c r="I1255">
        <v>42</v>
      </c>
      <c r="J1255">
        <v>838</v>
      </c>
      <c r="K1255">
        <v>49.78</v>
      </c>
      <c r="L1255">
        <v>7</v>
      </c>
    </row>
    <row r="1256" spans="1:12">
      <c r="A1256">
        <v>7300</v>
      </c>
      <c r="B1256" s="63" t="s">
        <v>519</v>
      </c>
      <c r="C1256" s="63" t="s">
        <v>874</v>
      </c>
      <c r="D1256" s="63" t="s">
        <v>59</v>
      </c>
      <c r="E1256" s="63" t="s">
        <v>175</v>
      </c>
      <c r="F1256" s="63" t="s">
        <v>1971</v>
      </c>
      <c r="G1256">
        <v>1</v>
      </c>
      <c r="H1256">
        <v>60</v>
      </c>
      <c r="I1256">
        <v>360</v>
      </c>
      <c r="J1256">
        <v>7195</v>
      </c>
      <c r="K1256">
        <v>58.73</v>
      </c>
      <c r="L1256">
        <v>7</v>
      </c>
    </row>
    <row r="1257" spans="1:12">
      <c r="A1257">
        <v>7300</v>
      </c>
      <c r="B1257" s="63" t="s">
        <v>519</v>
      </c>
      <c r="C1257" s="63" t="s">
        <v>874</v>
      </c>
      <c r="D1257" s="63" t="s">
        <v>59</v>
      </c>
      <c r="E1257" s="63" t="s">
        <v>175</v>
      </c>
      <c r="F1257" s="63" t="s">
        <v>1420</v>
      </c>
      <c r="G1257">
        <v>1</v>
      </c>
      <c r="H1257">
        <v>60</v>
      </c>
      <c r="I1257">
        <v>360</v>
      </c>
      <c r="J1257">
        <v>7198</v>
      </c>
      <c r="K1257">
        <v>53.65</v>
      </c>
      <c r="L1257">
        <v>7</v>
      </c>
    </row>
    <row r="1258" spans="1:12">
      <c r="A1258">
        <v>7300</v>
      </c>
      <c r="B1258" s="63" t="s">
        <v>519</v>
      </c>
      <c r="C1258" s="63" t="s">
        <v>874</v>
      </c>
      <c r="D1258" s="63" t="s">
        <v>59</v>
      </c>
      <c r="E1258" s="63" t="s">
        <v>175</v>
      </c>
      <c r="F1258" s="63" t="s">
        <v>852</v>
      </c>
      <c r="G1258">
        <v>1</v>
      </c>
      <c r="H1258">
        <v>60</v>
      </c>
      <c r="I1258">
        <v>360</v>
      </c>
      <c r="J1258">
        <v>7198</v>
      </c>
      <c r="K1258">
        <v>58.87</v>
      </c>
      <c r="L1258">
        <v>8</v>
      </c>
    </row>
    <row r="1259" spans="1:12">
      <c r="A1259">
        <v>7300</v>
      </c>
      <c r="B1259" s="63" t="s">
        <v>394</v>
      </c>
      <c r="C1259" s="63" t="s">
        <v>395</v>
      </c>
      <c r="D1259" s="63" t="s">
        <v>59</v>
      </c>
      <c r="E1259" s="63" t="s">
        <v>172</v>
      </c>
      <c r="F1259" s="63" t="s">
        <v>1526</v>
      </c>
      <c r="G1259">
        <v>1</v>
      </c>
      <c r="H1259">
        <v>60</v>
      </c>
      <c r="I1259">
        <v>1440</v>
      </c>
      <c r="J1259">
        <v>1440</v>
      </c>
      <c r="K1259">
        <v>605.07000000000005</v>
      </c>
      <c r="L1259">
        <v>27</v>
      </c>
    </row>
    <row r="1260" spans="1:12">
      <c r="A1260">
        <v>7300</v>
      </c>
      <c r="B1260" s="63" t="s">
        <v>394</v>
      </c>
      <c r="C1260" s="63" t="s">
        <v>395</v>
      </c>
      <c r="D1260" s="63" t="s">
        <v>59</v>
      </c>
      <c r="E1260" s="63" t="s">
        <v>175</v>
      </c>
      <c r="F1260" s="63" t="s">
        <v>1345</v>
      </c>
      <c r="G1260">
        <v>1</v>
      </c>
      <c r="H1260">
        <v>46</v>
      </c>
      <c r="I1260">
        <v>1104</v>
      </c>
      <c r="J1260">
        <v>1104</v>
      </c>
      <c r="K1260">
        <v>608.52</v>
      </c>
      <c r="L1260">
        <v>27</v>
      </c>
    </row>
    <row r="1261" spans="1:12">
      <c r="A1261">
        <v>7300</v>
      </c>
      <c r="B1261" s="63" t="s">
        <v>2320</v>
      </c>
      <c r="C1261" s="63" t="s">
        <v>2674</v>
      </c>
      <c r="D1261" s="63" t="s">
        <v>285</v>
      </c>
      <c r="E1261" s="63" t="s">
        <v>175</v>
      </c>
      <c r="F1261" s="63" t="s">
        <v>1957</v>
      </c>
      <c r="G1261">
        <v>1</v>
      </c>
      <c r="H1261">
        <v>57</v>
      </c>
      <c r="I1261">
        <v>1118</v>
      </c>
      <c r="J1261">
        <v>1118</v>
      </c>
      <c r="K1261">
        <v>288.97000000000003</v>
      </c>
      <c r="L1261">
        <v>18</v>
      </c>
    </row>
    <row r="1262" spans="1:12">
      <c r="A1262">
        <v>7300</v>
      </c>
      <c r="B1262" s="63" t="s">
        <v>2320</v>
      </c>
      <c r="C1262" s="63" t="s">
        <v>2675</v>
      </c>
      <c r="D1262" s="63" t="s">
        <v>285</v>
      </c>
      <c r="E1262" s="63" t="s">
        <v>172</v>
      </c>
      <c r="F1262" s="63" t="s">
        <v>1522</v>
      </c>
      <c r="G1262">
        <v>1</v>
      </c>
      <c r="H1262">
        <v>3</v>
      </c>
      <c r="I1262">
        <v>59</v>
      </c>
      <c r="J1262">
        <v>59</v>
      </c>
      <c r="K1262">
        <v>267.35000000000002</v>
      </c>
      <c r="L1262">
        <v>18</v>
      </c>
    </row>
    <row r="1263" spans="1:12">
      <c r="A1263">
        <v>7300</v>
      </c>
      <c r="B1263" s="63" t="s">
        <v>948</v>
      </c>
      <c r="C1263" s="63" t="s">
        <v>1721</v>
      </c>
      <c r="D1263" s="63" t="s">
        <v>305</v>
      </c>
      <c r="E1263" s="63" t="s">
        <v>172</v>
      </c>
      <c r="F1263" s="63" t="s">
        <v>1330</v>
      </c>
      <c r="G1263">
        <v>1</v>
      </c>
      <c r="H1263">
        <v>5</v>
      </c>
      <c r="I1263">
        <v>100</v>
      </c>
      <c r="J1263">
        <v>100</v>
      </c>
      <c r="K1263">
        <v>726.55</v>
      </c>
      <c r="L1263">
        <v>33</v>
      </c>
    </row>
    <row r="1264" spans="1:12">
      <c r="A1264">
        <v>7300</v>
      </c>
      <c r="B1264" s="63" t="s">
        <v>1805</v>
      </c>
      <c r="C1264" s="63" t="s">
        <v>1806</v>
      </c>
      <c r="D1264" s="63" t="s">
        <v>285</v>
      </c>
      <c r="E1264" s="63" t="s">
        <v>174</v>
      </c>
      <c r="F1264" s="63" t="s">
        <v>1372</v>
      </c>
      <c r="G1264">
        <v>1</v>
      </c>
      <c r="H1264">
        <v>60</v>
      </c>
      <c r="I1264">
        <v>1200</v>
      </c>
      <c r="J1264">
        <v>1200</v>
      </c>
      <c r="K1264">
        <v>1565.68</v>
      </c>
      <c r="L1264">
        <v>66</v>
      </c>
    </row>
    <row r="1265" spans="1:12">
      <c r="A1265">
        <v>7300</v>
      </c>
      <c r="B1265" s="63" t="s">
        <v>408</v>
      </c>
      <c r="C1265" s="63" t="s">
        <v>2665</v>
      </c>
      <c r="D1265" s="63" t="s">
        <v>59</v>
      </c>
      <c r="G1265">
        <v>1</v>
      </c>
      <c r="H1265">
        <v>60</v>
      </c>
      <c r="I1265">
        <v>1198</v>
      </c>
      <c r="J1265">
        <v>1198</v>
      </c>
      <c r="K1265">
        <v>0.75</v>
      </c>
      <c r="L1265">
        <v>52</v>
      </c>
    </row>
    <row r="1266" spans="1:12">
      <c r="A1266">
        <v>7300</v>
      </c>
      <c r="B1266" s="63" t="s">
        <v>408</v>
      </c>
      <c r="C1266" s="63" t="s">
        <v>2665</v>
      </c>
      <c r="D1266" s="63" t="s">
        <v>59</v>
      </c>
      <c r="E1266" s="63" t="s">
        <v>1045</v>
      </c>
      <c r="F1266" s="63" t="s">
        <v>1524</v>
      </c>
      <c r="G1266">
        <v>1</v>
      </c>
      <c r="H1266">
        <v>52</v>
      </c>
      <c r="I1266">
        <v>1016</v>
      </c>
      <c r="J1266">
        <v>1016</v>
      </c>
      <c r="K1266">
        <v>1039.3699999999999</v>
      </c>
      <c r="L1266">
        <v>52</v>
      </c>
    </row>
    <row r="1267" spans="1:12">
      <c r="A1267">
        <v>7300</v>
      </c>
      <c r="B1267" s="63" t="s">
        <v>408</v>
      </c>
      <c r="C1267" s="63" t="s">
        <v>2571</v>
      </c>
      <c r="D1267" s="63" t="s">
        <v>59</v>
      </c>
      <c r="E1267" s="63" t="s">
        <v>175</v>
      </c>
      <c r="F1267" s="63" t="s">
        <v>1989</v>
      </c>
      <c r="G1267">
        <v>1</v>
      </c>
      <c r="H1267">
        <v>60</v>
      </c>
      <c r="I1267">
        <v>1197</v>
      </c>
      <c r="J1267">
        <v>1197</v>
      </c>
      <c r="K1267">
        <v>23.77</v>
      </c>
      <c r="L1267">
        <v>4</v>
      </c>
    </row>
    <row r="1268" spans="1:12">
      <c r="A1268">
        <v>7300</v>
      </c>
      <c r="B1268" s="63" t="s">
        <v>408</v>
      </c>
      <c r="C1268" s="63" t="s">
        <v>2571</v>
      </c>
      <c r="D1268" s="63" t="s">
        <v>59</v>
      </c>
      <c r="E1268" s="63" t="s">
        <v>175</v>
      </c>
      <c r="F1268" s="63" t="s">
        <v>812</v>
      </c>
      <c r="G1268">
        <v>1</v>
      </c>
      <c r="H1268">
        <v>60</v>
      </c>
      <c r="I1268">
        <v>1199</v>
      </c>
      <c r="J1268">
        <v>1199</v>
      </c>
      <c r="K1268">
        <v>25.57</v>
      </c>
      <c r="L1268">
        <v>4</v>
      </c>
    </row>
    <row r="1269" spans="1:12">
      <c r="A1269">
        <v>7300</v>
      </c>
      <c r="B1269" s="63" t="s">
        <v>408</v>
      </c>
      <c r="C1269" s="63" t="s">
        <v>2571</v>
      </c>
      <c r="D1269" s="63" t="s">
        <v>59</v>
      </c>
      <c r="E1269" s="63" t="s">
        <v>184</v>
      </c>
      <c r="F1269" s="63" t="s">
        <v>1737</v>
      </c>
      <c r="G1269">
        <v>1</v>
      </c>
      <c r="H1269">
        <v>29</v>
      </c>
      <c r="I1269">
        <v>575</v>
      </c>
      <c r="J1269">
        <v>575</v>
      </c>
      <c r="K1269">
        <v>3.65</v>
      </c>
      <c r="L1269">
        <v>4</v>
      </c>
    </row>
    <row r="1270" spans="1:12">
      <c r="A1270">
        <v>7300</v>
      </c>
      <c r="B1270" s="63" t="s">
        <v>408</v>
      </c>
      <c r="C1270" s="63" t="s">
        <v>2666</v>
      </c>
      <c r="D1270" s="63" t="s">
        <v>374</v>
      </c>
      <c r="G1270">
        <v>1</v>
      </c>
      <c r="H1270">
        <v>7</v>
      </c>
      <c r="I1270">
        <v>140</v>
      </c>
      <c r="J1270">
        <v>140</v>
      </c>
      <c r="K1270">
        <v>4.95</v>
      </c>
      <c r="L1270">
        <v>4</v>
      </c>
    </row>
    <row r="1271" spans="1:12">
      <c r="A1271">
        <v>7300</v>
      </c>
      <c r="B1271" s="63" t="s">
        <v>408</v>
      </c>
      <c r="C1271" s="63" t="s">
        <v>2666</v>
      </c>
      <c r="D1271" s="63" t="s">
        <v>374</v>
      </c>
      <c r="E1271" s="63" t="s">
        <v>175</v>
      </c>
      <c r="F1271" s="63" t="s">
        <v>847</v>
      </c>
      <c r="G1271">
        <v>1</v>
      </c>
      <c r="H1271">
        <v>27</v>
      </c>
      <c r="I1271">
        <v>540</v>
      </c>
      <c r="J1271">
        <v>540</v>
      </c>
      <c r="K1271">
        <v>29.67</v>
      </c>
      <c r="L1271">
        <v>4</v>
      </c>
    </row>
    <row r="1272" spans="1:12">
      <c r="A1272">
        <v>7300</v>
      </c>
      <c r="B1272" s="63" t="s">
        <v>855</v>
      </c>
      <c r="C1272" s="63" t="s">
        <v>1807</v>
      </c>
      <c r="D1272" s="63" t="s">
        <v>59</v>
      </c>
      <c r="E1272" s="63" t="s">
        <v>175</v>
      </c>
      <c r="F1272" s="63" t="s">
        <v>1415</v>
      </c>
      <c r="G1272">
        <v>1</v>
      </c>
      <c r="H1272">
        <v>10</v>
      </c>
      <c r="I1272">
        <v>180</v>
      </c>
      <c r="J1272">
        <v>180</v>
      </c>
      <c r="K1272">
        <v>1151.2</v>
      </c>
      <c r="L1272">
        <v>52</v>
      </c>
    </row>
    <row r="1273" spans="1:12">
      <c r="A1273">
        <v>7300</v>
      </c>
      <c r="B1273" s="63" t="s">
        <v>356</v>
      </c>
      <c r="C1273" s="63" t="s">
        <v>358</v>
      </c>
      <c r="D1273" s="63" t="s">
        <v>59</v>
      </c>
      <c r="E1273" s="63" t="s">
        <v>184</v>
      </c>
      <c r="F1273" s="63" t="s">
        <v>1355</v>
      </c>
      <c r="G1273">
        <v>1</v>
      </c>
      <c r="H1273">
        <v>60</v>
      </c>
      <c r="I1273">
        <v>1080</v>
      </c>
      <c r="J1273">
        <v>1080</v>
      </c>
      <c r="K1273">
        <v>1.42</v>
      </c>
      <c r="L1273">
        <v>4</v>
      </c>
    </row>
    <row r="1274" spans="1:12">
      <c r="A1274">
        <v>7300</v>
      </c>
      <c r="B1274" s="63" t="s">
        <v>356</v>
      </c>
      <c r="C1274" s="63" t="s">
        <v>358</v>
      </c>
      <c r="D1274" s="63" t="s">
        <v>59</v>
      </c>
      <c r="E1274" s="63" t="s">
        <v>184</v>
      </c>
      <c r="F1274" s="63" t="s">
        <v>492</v>
      </c>
      <c r="G1274">
        <v>1</v>
      </c>
      <c r="H1274">
        <v>60</v>
      </c>
      <c r="I1274">
        <v>1080</v>
      </c>
      <c r="J1274">
        <v>1080</v>
      </c>
      <c r="K1274">
        <v>0.8</v>
      </c>
      <c r="L1274">
        <v>4</v>
      </c>
    </row>
    <row r="1275" spans="1:12">
      <c r="A1275">
        <v>7300</v>
      </c>
      <c r="B1275" s="63" t="s">
        <v>2676</v>
      </c>
      <c r="C1275" s="63" t="s">
        <v>2677</v>
      </c>
      <c r="D1275" s="63" t="s">
        <v>285</v>
      </c>
      <c r="E1275" s="63" t="s">
        <v>175</v>
      </c>
      <c r="F1275" s="63" t="s">
        <v>1996</v>
      </c>
      <c r="G1275">
        <v>1</v>
      </c>
      <c r="H1275">
        <v>26</v>
      </c>
      <c r="I1275">
        <v>468</v>
      </c>
      <c r="J1275">
        <v>468</v>
      </c>
      <c r="K1275">
        <v>730.2</v>
      </c>
      <c r="L1275">
        <v>31</v>
      </c>
    </row>
    <row r="1276" spans="1:12">
      <c r="A1276">
        <v>7300</v>
      </c>
      <c r="B1276" s="63" t="s">
        <v>2676</v>
      </c>
      <c r="C1276" s="63" t="s">
        <v>2677</v>
      </c>
      <c r="D1276" s="63" t="s">
        <v>285</v>
      </c>
      <c r="E1276" s="63" t="s">
        <v>175</v>
      </c>
      <c r="F1276" s="63" t="s">
        <v>1277</v>
      </c>
      <c r="G1276">
        <v>1</v>
      </c>
      <c r="H1276">
        <v>60</v>
      </c>
      <c r="I1276">
        <v>1080</v>
      </c>
      <c r="J1276">
        <v>1080</v>
      </c>
      <c r="K1276">
        <v>733.02</v>
      </c>
      <c r="L1276">
        <v>31</v>
      </c>
    </row>
    <row r="1277" spans="1:12">
      <c r="A1277">
        <v>7300</v>
      </c>
      <c r="B1277" s="63" t="s">
        <v>2678</v>
      </c>
      <c r="C1277" s="63" t="s">
        <v>2679</v>
      </c>
      <c r="D1277" s="63" t="s">
        <v>285</v>
      </c>
      <c r="E1277" s="63" t="s">
        <v>175</v>
      </c>
      <c r="F1277" s="63" t="s">
        <v>1215</v>
      </c>
      <c r="G1277">
        <v>1</v>
      </c>
      <c r="H1277">
        <v>24</v>
      </c>
      <c r="I1277">
        <v>360</v>
      </c>
      <c r="J1277">
        <v>360</v>
      </c>
      <c r="K1277">
        <v>525.07000000000005</v>
      </c>
      <c r="L1277">
        <v>23</v>
      </c>
    </row>
    <row r="1278" spans="1:12">
      <c r="A1278">
        <v>7300</v>
      </c>
      <c r="B1278" s="63" t="s">
        <v>2678</v>
      </c>
      <c r="C1278" s="63" t="s">
        <v>2680</v>
      </c>
      <c r="D1278" s="63" t="s">
        <v>285</v>
      </c>
      <c r="E1278" s="63" t="s">
        <v>175</v>
      </c>
      <c r="F1278" s="63" t="s">
        <v>1504</v>
      </c>
      <c r="G1278">
        <v>1</v>
      </c>
      <c r="H1278">
        <v>11</v>
      </c>
      <c r="I1278">
        <v>165</v>
      </c>
      <c r="J1278">
        <v>165</v>
      </c>
      <c r="K1278">
        <v>524.12</v>
      </c>
      <c r="L1278">
        <v>23</v>
      </c>
    </row>
    <row r="1279" spans="1:12">
      <c r="A1279">
        <v>7300</v>
      </c>
      <c r="B1279" s="63" t="s">
        <v>2678</v>
      </c>
      <c r="C1279" s="63" t="s">
        <v>2681</v>
      </c>
      <c r="D1279" s="63" t="s">
        <v>285</v>
      </c>
      <c r="E1279" s="63" t="s">
        <v>175</v>
      </c>
      <c r="F1279" s="63" t="s">
        <v>2037</v>
      </c>
      <c r="G1279">
        <v>1</v>
      </c>
      <c r="H1279">
        <v>30</v>
      </c>
      <c r="I1279">
        <v>450</v>
      </c>
      <c r="J1279">
        <v>450</v>
      </c>
      <c r="K1279">
        <v>473.02</v>
      </c>
      <c r="L1279">
        <v>23</v>
      </c>
    </row>
    <row r="1280" spans="1:12">
      <c r="A1280">
        <v>7300</v>
      </c>
      <c r="B1280" s="63" t="s">
        <v>2682</v>
      </c>
      <c r="C1280" s="63" t="s">
        <v>2683</v>
      </c>
      <c r="D1280" s="63" t="s">
        <v>285</v>
      </c>
      <c r="E1280" s="63" t="s">
        <v>203</v>
      </c>
      <c r="F1280" s="63" t="s">
        <v>1843</v>
      </c>
      <c r="G1280">
        <v>1</v>
      </c>
      <c r="H1280">
        <v>51</v>
      </c>
      <c r="I1280">
        <v>765</v>
      </c>
      <c r="J1280">
        <v>765</v>
      </c>
      <c r="K1280">
        <v>502.6</v>
      </c>
      <c r="L1280">
        <v>23</v>
      </c>
    </row>
    <row r="1281" spans="1:12">
      <c r="A1281">
        <v>7300</v>
      </c>
      <c r="B1281" s="63" t="s">
        <v>2682</v>
      </c>
      <c r="C1281" s="63" t="s">
        <v>2683</v>
      </c>
      <c r="D1281" s="63" t="s">
        <v>285</v>
      </c>
      <c r="E1281" s="63" t="s">
        <v>175</v>
      </c>
      <c r="F1281" s="63" t="s">
        <v>1975</v>
      </c>
      <c r="G1281">
        <v>1</v>
      </c>
      <c r="H1281">
        <v>45</v>
      </c>
      <c r="I1281">
        <v>675</v>
      </c>
      <c r="J1281">
        <v>675</v>
      </c>
      <c r="K1281">
        <v>427.4</v>
      </c>
      <c r="L1281">
        <v>23</v>
      </c>
    </row>
    <row r="1282" spans="1:12">
      <c r="A1282">
        <v>7300</v>
      </c>
      <c r="B1282" s="63" t="s">
        <v>2682</v>
      </c>
      <c r="C1282" s="63" t="s">
        <v>2684</v>
      </c>
      <c r="D1282" s="63" t="s">
        <v>285</v>
      </c>
      <c r="E1282" s="63" t="s">
        <v>173</v>
      </c>
      <c r="F1282" s="63" t="s">
        <v>1077</v>
      </c>
      <c r="G1282">
        <v>1</v>
      </c>
      <c r="H1282">
        <v>2</v>
      </c>
      <c r="I1282">
        <v>30</v>
      </c>
      <c r="J1282">
        <v>30</v>
      </c>
      <c r="K1282">
        <v>438.92</v>
      </c>
      <c r="L1282">
        <v>23</v>
      </c>
    </row>
    <row r="1283" spans="1:12">
      <c r="A1283">
        <v>7300</v>
      </c>
      <c r="B1283" s="63" t="s">
        <v>334</v>
      </c>
      <c r="C1283" s="63" t="s">
        <v>1725</v>
      </c>
      <c r="D1283" s="63" t="s">
        <v>305</v>
      </c>
      <c r="E1283" s="63" t="s">
        <v>175</v>
      </c>
      <c r="F1283" s="63" t="s">
        <v>1261</v>
      </c>
      <c r="G1283">
        <v>1</v>
      </c>
      <c r="H1283">
        <v>4</v>
      </c>
      <c r="I1283">
        <v>24</v>
      </c>
      <c r="J1283">
        <v>24</v>
      </c>
      <c r="K1283">
        <v>495.65</v>
      </c>
      <c r="L1283">
        <v>50</v>
      </c>
    </row>
    <row r="1284" spans="1:12">
      <c r="A1284">
        <v>7300</v>
      </c>
      <c r="B1284" s="63" t="s">
        <v>334</v>
      </c>
      <c r="C1284" s="63" t="s">
        <v>1725</v>
      </c>
      <c r="D1284" s="63" t="s">
        <v>59</v>
      </c>
      <c r="E1284" s="63" t="s">
        <v>172</v>
      </c>
      <c r="F1284" s="63" t="s">
        <v>1466</v>
      </c>
      <c r="G1284">
        <v>1</v>
      </c>
      <c r="H1284">
        <v>60</v>
      </c>
      <c r="I1284">
        <v>360</v>
      </c>
      <c r="J1284">
        <v>360</v>
      </c>
      <c r="K1284">
        <v>20.8</v>
      </c>
      <c r="L1284">
        <v>5</v>
      </c>
    </row>
    <row r="1285" spans="1:12">
      <c r="A1285">
        <v>7300</v>
      </c>
      <c r="B1285" s="63" t="s">
        <v>334</v>
      </c>
      <c r="C1285" s="63" t="s">
        <v>1725</v>
      </c>
      <c r="D1285" s="63" t="s">
        <v>59</v>
      </c>
      <c r="E1285" s="63" t="s">
        <v>172</v>
      </c>
      <c r="F1285" s="63" t="s">
        <v>924</v>
      </c>
      <c r="G1285">
        <v>1</v>
      </c>
      <c r="H1285">
        <v>60</v>
      </c>
      <c r="I1285">
        <v>360</v>
      </c>
      <c r="J1285">
        <v>360</v>
      </c>
      <c r="K1285">
        <v>22.47</v>
      </c>
      <c r="L1285">
        <v>5</v>
      </c>
    </row>
    <row r="1286" spans="1:12">
      <c r="A1286">
        <v>7300</v>
      </c>
      <c r="B1286" s="63" t="s">
        <v>334</v>
      </c>
      <c r="C1286" s="63" t="s">
        <v>1725</v>
      </c>
      <c r="D1286" s="63" t="s">
        <v>59</v>
      </c>
      <c r="E1286" s="63" t="s">
        <v>172</v>
      </c>
      <c r="F1286" s="63" t="s">
        <v>1968</v>
      </c>
      <c r="G1286">
        <v>1</v>
      </c>
      <c r="H1286">
        <v>60</v>
      </c>
      <c r="I1286">
        <v>360</v>
      </c>
      <c r="J1286">
        <v>360</v>
      </c>
      <c r="K1286">
        <v>26.1</v>
      </c>
      <c r="L1286">
        <v>5</v>
      </c>
    </row>
    <row r="1287" spans="1:12">
      <c r="A1287">
        <v>7300</v>
      </c>
      <c r="B1287" s="63" t="s">
        <v>334</v>
      </c>
      <c r="C1287" s="63" t="s">
        <v>1725</v>
      </c>
      <c r="D1287" s="63" t="s">
        <v>59</v>
      </c>
      <c r="E1287" s="63" t="s">
        <v>172</v>
      </c>
      <c r="F1287" s="63" t="s">
        <v>2096</v>
      </c>
      <c r="G1287">
        <v>1</v>
      </c>
      <c r="H1287">
        <v>60</v>
      </c>
      <c r="I1287">
        <v>360</v>
      </c>
      <c r="J1287">
        <v>360</v>
      </c>
      <c r="K1287">
        <v>23.47</v>
      </c>
      <c r="L1287">
        <v>5</v>
      </c>
    </row>
    <row r="1288" spans="1:12">
      <c r="A1288">
        <v>7300</v>
      </c>
      <c r="B1288" s="63" t="s">
        <v>334</v>
      </c>
      <c r="C1288" s="63" t="s">
        <v>1725</v>
      </c>
      <c r="D1288" s="63" t="s">
        <v>59</v>
      </c>
      <c r="E1288" s="63" t="s">
        <v>172</v>
      </c>
      <c r="F1288" s="63" t="s">
        <v>1419</v>
      </c>
      <c r="G1288">
        <v>1</v>
      </c>
      <c r="H1288">
        <v>60</v>
      </c>
      <c r="I1288">
        <v>360</v>
      </c>
      <c r="J1288">
        <v>360</v>
      </c>
      <c r="K1288">
        <v>28.82</v>
      </c>
      <c r="L1288">
        <v>5</v>
      </c>
    </row>
    <row r="1289" spans="1:12">
      <c r="A1289">
        <v>7300</v>
      </c>
      <c r="B1289" s="63" t="s">
        <v>334</v>
      </c>
      <c r="C1289" s="63" t="s">
        <v>1725</v>
      </c>
      <c r="D1289" s="63" t="s">
        <v>59</v>
      </c>
      <c r="E1289" s="63" t="s">
        <v>203</v>
      </c>
      <c r="F1289" s="63" t="s">
        <v>2003</v>
      </c>
      <c r="G1289">
        <v>1</v>
      </c>
      <c r="H1289">
        <v>60</v>
      </c>
      <c r="I1289">
        <v>360</v>
      </c>
      <c r="J1289">
        <v>360</v>
      </c>
      <c r="K1289">
        <v>31.55</v>
      </c>
      <c r="L1289">
        <v>5</v>
      </c>
    </row>
    <row r="1290" spans="1:12">
      <c r="A1290">
        <v>7300</v>
      </c>
      <c r="B1290" s="63" t="s">
        <v>334</v>
      </c>
      <c r="C1290" s="63" t="s">
        <v>1725</v>
      </c>
      <c r="D1290" s="63" t="s">
        <v>59</v>
      </c>
      <c r="E1290" s="63" t="s">
        <v>173</v>
      </c>
      <c r="F1290" s="63" t="s">
        <v>2685</v>
      </c>
      <c r="G1290">
        <v>1</v>
      </c>
      <c r="H1290">
        <v>60</v>
      </c>
      <c r="I1290">
        <v>359</v>
      </c>
      <c r="J1290">
        <v>359</v>
      </c>
      <c r="K1290">
        <v>24.67</v>
      </c>
      <c r="L1290">
        <v>5</v>
      </c>
    </row>
    <row r="1291" spans="1:12">
      <c r="A1291">
        <v>7300</v>
      </c>
      <c r="B1291" s="63" t="s">
        <v>334</v>
      </c>
      <c r="C1291" s="63" t="s">
        <v>1725</v>
      </c>
      <c r="D1291" s="63" t="s">
        <v>59</v>
      </c>
      <c r="E1291" s="63" t="s">
        <v>173</v>
      </c>
      <c r="F1291" s="63" t="s">
        <v>1517</v>
      </c>
      <c r="G1291">
        <v>1</v>
      </c>
      <c r="H1291">
        <v>60</v>
      </c>
      <c r="I1291">
        <v>359</v>
      </c>
      <c r="J1291">
        <v>359</v>
      </c>
      <c r="K1291">
        <v>30.82</v>
      </c>
      <c r="L1291">
        <v>5</v>
      </c>
    </row>
    <row r="1292" spans="1:12">
      <c r="A1292">
        <v>7300</v>
      </c>
      <c r="B1292" s="63" t="s">
        <v>334</v>
      </c>
      <c r="C1292" s="63" t="s">
        <v>1725</v>
      </c>
      <c r="D1292" s="63" t="s">
        <v>59</v>
      </c>
      <c r="E1292" s="63" t="s">
        <v>173</v>
      </c>
      <c r="F1292" s="63" t="s">
        <v>1928</v>
      </c>
      <c r="G1292">
        <v>1</v>
      </c>
      <c r="H1292">
        <v>60</v>
      </c>
      <c r="I1292">
        <v>360</v>
      </c>
      <c r="J1292">
        <v>360</v>
      </c>
      <c r="K1292">
        <v>32.770000000000003</v>
      </c>
      <c r="L1292">
        <v>5</v>
      </c>
    </row>
    <row r="1293" spans="1:12">
      <c r="A1293">
        <v>7300</v>
      </c>
      <c r="B1293" s="63" t="s">
        <v>334</v>
      </c>
      <c r="C1293" s="63" t="s">
        <v>1725</v>
      </c>
      <c r="D1293" s="63" t="s">
        <v>59</v>
      </c>
      <c r="E1293" s="63" t="s">
        <v>173</v>
      </c>
      <c r="F1293" s="63" t="s">
        <v>1274</v>
      </c>
      <c r="G1293">
        <v>1</v>
      </c>
      <c r="H1293">
        <v>60</v>
      </c>
      <c r="I1293">
        <v>360</v>
      </c>
      <c r="J1293">
        <v>360</v>
      </c>
      <c r="K1293">
        <v>25.92</v>
      </c>
      <c r="L1293">
        <v>5</v>
      </c>
    </row>
    <row r="1294" spans="1:12">
      <c r="A1294">
        <v>7300</v>
      </c>
      <c r="B1294" s="63" t="s">
        <v>334</v>
      </c>
      <c r="C1294" s="63" t="s">
        <v>1725</v>
      </c>
      <c r="D1294" s="63" t="s">
        <v>59</v>
      </c>
      <c r="E1294" s="63" t="s">
        <v>173</v>
      </c>
      <c r="F1294" s="63" t="s">
        <v>2141</v>
      </c>
      <c r="G1294">
        <v>1</v>
      </c>
      <c r="H1294">
        <v>60</v>
      </c>
      <c r="I1294">
        <v>360</v>
      </c>
      <c r="J1294">
        <v>360</v>
      </c>
      <c r="K1294">
        <v>29.27</v>
      </c>
      <c r="L1294">
        <v>5</v>
      </c>
    </row>
    <row r="1295" spans="1:12">
      <c r="A1295">
        <v>7300</v>
      </c>
      <c r="B1295" s="63" t="s">
        <v>334</v>
      </c>
      <c r="C1295" s="63" t="s">
        <v>1725</v>
      </c>
      <c r="D1295" s="63" t="s">
        <v>59</v>
      </c>
      <c r="E1295" s="63" t="s">
        <v>173</v>
      </c>
      <c r="F1295" s="63" t="s">
        <v>1521</v>
      </c>
      <c r="G1295">
        <v>1</v>
      </c>
      <c r="H1295">
        <v>60</v>
      </c>
      <c r="I1295">
        <v>355</v>
      </c>
      <c r="J1295">
        <v>355</v>
      </c>
      <c r="K1295">
        <v>28.67</v>
      </c>
      <c r="L1295">
        <v>5</v>
      </c>
    </row>
    <row r="1296" spans="1:12">
      <c r="A1296">
        <v>7300</v>
      </c>
      <c r="B1296" s="63" t="s">
        <v>334</v>
      </c>
      <c r="C1296" s="63" t="s">
        <v>1725</v>
      </c>
      <c r="D1296" s="63" t="s">
        <v>59</v>
      </c>
      <c r="E1296" s="63" t="s">
        <v>173</v>
      </c>
      <c r="F1296" s="63" t="s">
        <v>2032</v>
      </c>
      <c r="G1296">
        <v>1</v>
      </c>
      <c r="H1296">
        <v>60</v>
      </c>
      <c r="I1296">
        <v>359</v>
      </c>
      <c r="J1296">
        <v>359</v>
      </c>
      <c r="K1296">
        <v>30.9</v>
      </c>
      <c r="L1296">
        <v>5</v>
      </c>
    </row>
    <row r="1297" spans="1:12">
      <c r="A1297">
        <v>7300</v>
      </c>
      <c r="B1297" s="63" t="s">
        <v>334</v>
      </c>
      <c r="C1297" s="63" t="s">
        <v>1725</v>
      </c>
      <c r="D1297" s="63" t="s">
        <v>59</v>
      </c>
      <c r="E1297" s="63" t="s">
        <v>173</v>
      </c>
      <c r="F1297" s="63" t="s">
        <v>1173</v>
      </c>
      <c r="G1297">
        <v>1</v>
      </c>
      <c r="H1297">
        <v>60</v>
      </c>
      <c r="I1297">
        <v>359</v>
      </c>
      <c r="J1297">
        <v>359</v>
      </c>
      <c r="K1297">
        <v>34.82</v>
      </c>
      <c r="L1297">
        <v>5</v>
      </c>
    </row>
    <row r="1298" spans="1:12">
      <c r="A1298">
        <v>7300</v>
      </c>
      <c r="B1298" s="63" t="s">
        <v>334</v>
      </c>
      <c r="C1298" s="63" t="s">
        <v>1725</v>
      </c>
      <c r="D1298" s="63" t="s">
        <v>59</v>
      </c>
      <c r="E1298" s="63" t="s">
        <v>173</v>
      </c>
      <c r="F1298" s="63" t="s">
        <v>2686</v>
      </c>
      <c r="G1298">
        <v>1</v>
      </c>
      <c r="H1298">
        <v>60</v>
      </c>
      <c r="I1298">
        <v>360</v>
      </c>
      <c r="J1298">
        <v>360</v>
      </c>
      <c r="K1298">
        <v>28.02</v>
      </c>
      <c r="L1298">
        <v>5</v>
      </c>
    </row>
    <row r="1299" spans="1:12">
      <c r="A1299">
        <v>7300</v>
      </c>
      <c r="B1299" s="63" t="s">
        <v>334</v>
      </c>
      <c r="C1299" s="63" t="s">
        <v>1725</v>
      </c>
      <c r="D1299" s="63" t="s">
        <v>59</v>
      </c>
      <c r="E1299" s="63" t="s">
        <v>174</v>
      </c>
      <c r="F1299" s="63" t="s">
        <v>885</v>
      </c>
      <c r="G1299">
        <v>1</v>
      </c>
      <c r="H1299">
        <v>60</v>
      </c>
      <c r="I1299">
        <v>359</v>
      </c>
      <c r="J1299">
        <v>359</v>
      </c>
      <c r="K1299">
        <v>26.57</v>
      </c>
      <c r="L1299">
        <v>5</v>
      </c>
    </row>
    <row r="1300" spans="1:12">
      <c r="A1300">
        <v>7300</v>
      </c>
      <c r="B1300" s="63" t="s">
        <v>334</v>
      </c>
      <c r="C1300" s="63" t="s">
        <v>1725</v>
      </c>
      <c r="D1300" s="63" t="s">
        <v>59</v>
      </c>
      <c r="E1300" s="63" t="s">
        <v>174</v>
      </c>
      <c r="F1300" s="63" t="s">
        <v>2090</v>
      </c>
      <c r="G1300">
        <v>1</v>
      </c>
      <c r="H1300">
        <v>60</v>
      </c>
      <c r="I1300">
        <v>360</v>
      </c>
      <c r="J1300">
        <v>360</v>
      </c>
      <c r="K1300">
        <v>19.55</v>
      </c>
      <c r="L1300">
        <v>4</v>
      </c>
    </row>
    <row r="1301" spans="1:12">
      <c r="A1301">
        <v>7300</v>
      </c>
      <c r="B1301" s="63" t="s">
        <v>334</v>
      </c>
      <c r="C1301" s="63" t="s">
        <v>1725</v>
      </c>
      <c r="D1301" s="63" t="s">
        <v>59</v>
      </c>
      <c r="E1301" s="63" t="s">
        <v>175</v>
      </c>
      <c r="F1301" s="63" t="s">
        <v>1126</v>
      </c>
      <c r="G1301">
        <v>1</v>
      </c>
      <c r="H1301">
        <v>60</v>
      </c>
      <c r="I1301">
        <v>360</v>
      </c>
      <c r="J1301">
        <v>360</v>
      </c>
      <c r="K1301">
        <v>21.52</v>
      </c>
      <c r="L1301">
        <v>4</v>
      </c>
    </row>
    <row r="1302" spans="1:12">
      <c r="A1302">
        <v>7300</v>
      </c>
      <c r="B1302" s="63" t="s">
        <v>334</v>
      </c>
      <c r="C1302" s="63" t="s">
        <v>1725</v>
      </c>
      <c r="D1302" s="63" t="s">
        <v>59</v>
      </c>
      <c r="E1302" s="63" t="s">
        <v>175</v>
      </c>
      <c r="F1302" s="63" t="s">
        <v>2044</v>
      </c>
      <c r="G1302">
        <v>1</v>
      </c>
      <c r="H1302">
        <v>60</v>
      </c>
      <c r="I1302">
        <v>355</v>
      </c>
      <c r="J1302">
        <v>355</v>
      </c>
      <c r="K1302">
        <v>34.67</v>
      </c>
      <c r="L1302">
        <v>5</v>
      </c>
    </row>
    <row r="1303" spans="1:12">
      <c r="A1303">
        <v>7300</v>
      </c>
      <c r="B1303" s="63" t="s">
        <v>334</v>
      </c>
      <c r="C1303" s="63" t="s">
        <v>1725</v>
      </c>
      <c r="D1303" s="63" t="s">
        <v>59</v>
      </c>
      <c r="E1303" s="63" t="s">
        <v>175</v>
      </c>
      <c r="F1303" s="63" t="s">
        <v>2092</v>
      </c>
      <c r="G1303">
        <v>1</v>
      </c>
      <c r="H1303">
        <v>60</v>
      </c>
      <c r="I1303">
        <v>360</v>
      </c>
      <c r="J1303">
        <v>360</v>
      </c>
      <c r="K1303">
        <v>35.93</v>
      </c>
      <c r="L1303">
        <v>5</v>
      </c>
    </row>
    <row r="1304" spans="1:12">
      <c r="A1304">
        <v>7300</v>
      </c>
      <c r="B1304" s="63" t="s">
        <v>334</v>
      </c>
      <c r="C1304" s="63" t="s">
        <v>1725</v>
      </c>
      <c r="D1304" s="63" t="s">
        <v>59</v>
      </c>
      <c r="E1304" s="63" t="s">
        <v>184</v>
      </c>
      <c r="F1304" s="63" t="s">
        <v>553</v>
      </c>
      <c r="G1304">
        <v>1</v>
      </c>
      <c r="H1304">
        <v>59</v>
      </c>
      <c r="I1304">
        <v>354</v>
      </c>
      <c r="J1304">
        <v>354</v>
      </c>
      <c r="K1304">
        <v>35.700000000000003</v>
      </c>
      <c r="L1304">
        <v>4</v>
      </c>
    </row>
    <row r="1305" spans="1:12">
      <c r="A1305">
        <v>7300</v>
      </c>
      <c r="B1305" s="63" t="s">
        <v>334</v>
      </c>
      <c r="C1305" s="63" t="s">
        <v>1725</v>
      </c>
      <c r="D1305" s="63" t="s">
        <v>59</v>
      </c>
      <c r="E1305" s="63" t="s">
        <v>184</v>
      </c>
      <c r="F1305" s="63" t="s">
        <v>1577</v>
      </c>
      <c r="G1305">
        <v>1</v>
      </c>
      <c r="H1305">
        <v>60</v>
      </c>
      <c r="I1305">
        <v>359</v>
      </c>
      <c r="J1305">
        <v>359</v>
      </c>
      <c r="K1305">
        <v>26.87</v>
      </c>
      <c r="L1305">
        <v>5</v>
      </c>
    </row>
    <row r="1306" spans="1:12">
      <c r="A1306">
        <v>7300</v>
      </c>
      <c r="B1306" s="63" t="s">
        <v>334</v>
      </c>
      <c r="C1306" s="63" t="s">
        <v>1725</v>
      </c>
      <c r="D1306" s="63" t="s">
        <v>59</v>
      </c>
      <c r="E1306" s="63" t="s">
        <v>184</v>
      </c>
      <c r="F1306" s="63" t="s">
        <v>1379</v>
      </c>
      <c r="G1306">
        <v>1</v>
      </c>
      <c r="H1306">
        <v>60</v>
      </c>
      <c r="I1306">
        <v>360</v>
      </c>
      <c r="J1306">
        <v>360</v>
      </c>
      <c r="K1306">
        <v>22.35</v>
      </c>
      <c r="L1306">
        <v>5</v>
      </c>
    </row>
    <row r="1307" spans="1:12">
      <c r="A1307">
        <v>7300</v>
      </c>
      <c r="B1307" s="63" t="s">
        <v>334</v>
      </c>
      <c r="C1307" s="63" t="s">
        <v>2687</v>
      </c>
      <c r="D1307" s="63" t="s">
        <v>59</v>
      </c>
      <c r="E1307" s="63" t="s">
        <v>172</v>
      </c>
      <c r="F1307" s="63" t="s">
        <v>1422</v>
      </c>
      <c r="G1307">
        <v>1</v>
      </c>
      <c r="H1307">
        <v>60</v>
      </c>
      <c r="I1307">
        <v>360</v>
      </c>
      <c r="J1307">
        <v>360</v>
      </c>
      <c r="K1307">
        <v>10.25</v>
      </c>
      <c r="L1307">
        <v>6</v>
      </c>
    </row>
    <row r="1308" spans="1:12">
      <c r="A1308">
        <v>7300</v>
      </c>
      <c r="B1308" s="63" t="s">
        <v>334</v>
      </c>
      <c r="C1308" s="63" t="s">
        <v>2687</v>
      </c>
      <c r="D1308" s="63" t="s">
        <v>59</v>
      </c>
      <c r="E1308" s="63" t="s">
        <v>172</v>
      </c>
      <c r="F1308" s="63" t="s">
        <v>2130</v>
      </c>
      <c r="G1308">
        <v>1</v>
      </c>
      <c r="H1308">
        <v>60</v>
      </c>
      <c r="I1308">
        <v>359</v>
      </c>
      <c r="J1308">
        <v>359</v>
      </c>
      <c r="K1308">
        <v>12.73</v>
      </c>
      <c r="L1308">
        <v>6</v>
      </c>
    </row>
    <row r="1309" spans="1:12">
      <c r="A1309">
        <v>7300</v>
      </c>
      <c r="B1309" s="63" t="s">
        <v>334</v>
      </c>
      <c r="C1309" s="63" t="s">
        <v>2687</v>
      </c>
      <c r="D1309" s="63" t="s">
        <v>59</v>
      </c>
      <c r="E1309" s="63" t="s">
        <v>172</v>
      </c>
      <c r="F1309" s="63" t="s">
        <v>1391</v>
      </c>
      <c r="G1309">
        <v>1</v>
      </c>
      <c r="H1309">
        <v>60</v>
      </c>
      <c r="I1309">
        <v>359</v>
      </c>
      <c r="J1309">
        <v>359</v>
      </c>
      <c r="K1309">
        <v>2.7</v>
      </c>
      <c r="L1309">
        <v>3</v>
      </c>
    </row>
    <row r="1310" spans="1:12">
      <c r="A1310">
        <v>7300</v>
      </c>
      <c r="B1310" s="63" t="s">
        <v>334</v>
      </c>
      <c r="C1310" s="63" t="s">
        <v>2687</v>
      </c>
      <c r="D1310" s="63" t="s">
        <v>59</v>
      </c>
      <c r="E1310" s="63" t="s">
        <v>172</v>
      </c>
      <c r="F1310" s="63" t="s">
        <v>2688</v>
      </c>
      <c r="G1310">
        <v>1</v>
      </c>
      <c r="H1310">
        <v>60</v>
      </c>
      <c r="I1310">
        <v>359</v>
      </c>
      <c r="J1310">
        <v>359</v>
      </c>
      <c r="K1310">
        <v>10.8</v>
      </c>
      <c r="L1310">
        <v>6</v>
      </c>
    </row>
    <row r="1311" spans="1:12">
      <c r="A1311">
        <v>7300</v>
      </c>
      <c r="B1311" s="63" t="s">
        <v>334</v>
      </c>
      <c r="C1311" s="63" t="s">
        <v>2687</v>
      </c>
      <c r="D1311" s="63" t="s">
        <v>59</v>
      </c>
      <c r="E1311" s="63" t="s">
        <v>172</v>
      </c>
      <c r="F1311" s="63" t="s">
        <v>1444</v>
      </c>
      <c r="G1311">
        <v>1</v>
      </c>
      <c r="H1311">
        <v>60</v>
      </c>
      <c r="I1311">
        <v>357</v>
      </c>
      <c r="J1311">
        <v>357</v>
      </c>
      <c r="K1311">
        <v>0.45</v>
      </c>
      <c r="L1311">
        <v>6</v>
      </c>
    </row>
    <row r="1312" spans="1:12">
      <c r="A1312">
        <v>7300</v>
      </c>
      <c r="B1312" s="63" t="s">
        <v>334</v>
      </c>
      <c r="C1312" s="63" t="s">
        <v>2687</v>
      </c>
      <c r="D1312" s="63" t="s">
        <v>59</v>
      </c>
      <c r="E1312" s="63" t="s">
        <v>172</v>
      </c>
      <c r="F1312" s="63" t="s">
        <v>1098</v>
      </c>
      <c r="G1312">
        <v>1</v>
      </c>
      <c r="H1312">
        <v>60</v>
      </c>
      <c r="I1312">
        <v>359</v>
      </c>
      <c r="J1312">
        <v>359</v>
      </c>
      <c r="K1312">
        <v>12.53</v>
      </c>
      <c r="L1312">
        <v>6</v>
      </c>
    </row>
    <row r="1313" spans="1:12">
      <c r="A1313">
        <v>7300</v>
      </c>
      <c r="B1313" s="63" t="s">
        <v>334</v>
      </c>
      <c r="C1313" s="63" t="s">
        <v>2687</v>
      </c>
      <c r="D1313" s="63" t="s">
        <v>59</v>
      </c>
      <c r="E1313" s="63" t="s">
        <v>172</v>
      </c>
      <c r="F1313" s="63" t="s">
        <v>1342</v>
      </c>
      <c r="G1313">
        <v>1</v>
      </c>
      <c r="H1313">
        <v>60</v>
      </c>
      <c r="I1313">
        <v>360</v>
      </c>
      <c r="J1313">
        <v>360</v>
      </c>
      <c r="K1313">
        <v>6.18</v>
      </c>
      <c r="L1313">
        <v>6</v>
      </c>
    </row>
    <row r="1314" spans="1:12">
      <c r="A1314">
        <v>7300</v>
      </c>
      <c r="B1314" s="63" t="s">
        <v>334</v>
      </c>
      <c r="C1314" s="63" t="s">
        <v>2687</v>
      </c>
      <c r="D1314" s="63" t="s">
        <v>59</v>
      </c>
      <c r="E1314" s="63" t="s">
        <v>172</v>
      </c>
      <c r="F1314" s="63" t="s">
        <v>473</v>
      </c>
      <c r="G1314">
        <v>1</v>
      </c>
      <c r="H1314">
        <v>60</v>
      </c>
      <c r="I1314">
        <v>359</v>
      </c>
      <c r="J1314">
        <v>359</v>
      </c>
      <c r="K1314">
        <v>5.77</v>
      </c>
      <c r="L1314">
        <v>5</v>
      </c>
    </row>
    <row r="1315" spans="1:12">
      <c r="A1315">
        <v>7300</v>
      </c>
      <c r="B1315" s="63" t="s">
        <v>334</v>
      </c>
      <c r="C1315" s="63" t="s">
        <v>2687</v>
      </c>
      <c r="D1315" s="63" t="s">
        <v>59</v>
      </c>
      <c r="E1315" s="63" t="s">
        <v>172</v>
      </c>
      <c r="F1315" s="63" t="s">
        <v>1107</v>
      </c>
      <c r="G1315">
        <v>1</v>
      </c>
      <c r="H1315">
        <v>60</v>
      </c>
      <c r="I1315">
        <v>357</v>
      </c>
      <c r="J1315">
        <v>357</v>
      </c>
      <c r="K1315">
        <v>14.18</v>
      </c>
      <c r="L1315">
        <v>6</v>
      </c>
    </row>
    <row r="1316" spans="1:12">
      <c r="A1316">
        <v>7300</v>
      </c>
      <c r="B1316" s="63" t="s">
        <v>334</v>
      </c>
      <c r="C1316" s="63" t="s">
        <v>2687</v>
      </c>
      <c r="D1316" s="63" t="s">
        <v>59</v>
      </c>
      <c r="E1316" s="63" t="s">
        <v>172</v>
      </c>
      <c r="F1316" s="63" t="s">
        <v>1554</v>
      </c>
      <c r="G1316">
        <v>1</v>
      </c>
      <c r="H1316">
        <v>60</v>
      </c>
      <c r="I1316">
        <v>346</v>
      </c>
      <c r="J1316">
        <v>346</v>
      </c>
      <c r="K1316">
        <v>0.7</v>
      </c>
      <c r="L1316">
        <v>6</v>
      </c>
    </row>
    <row r="1317" spans="1:12">
      <c r="A1317">
        <v>7300</v>
      </c>
      <c r="B1317" s="63" t="s">
        <v>334</v>
      </c>
      <c r="C1317" s="63" t="s">
        <v>2687</v>
      </c>
      <c r="D1317" s="63" t="s">
        <v>59</v>
      </c>
      <c r="E1317" s="63" t="s">
        <v>172</v>
      </c>
      <c r="F1317" s="63" t="s">
        <v>1134</v>
      </c>
      <c r="G1317">
        <v>1</v>
      </c>
      <c r="H1317">
        <v>60</v>
      </c>
      <c r="I1317">
        <v>360</v>
      </c>
      <c r="J1317">
        <v>360</v>
      </c>
      <c r="K1317">
        <v>5.05</v>
      </c>
      <c r="L1317">
        <v>5</v>
      </c>
    </row>
    <row r="1318" spans="1:12">
      <c r="A1318">
        <v>7300</v>
      </c>
      <c r="B1318" s="63" t="s">
        <v>334</v>
      </c>
      <c r="C1318" s="63" t="s">
        <v>2687</v>
      </c>
      <c r="D1318" s="63" t="s">
        <v>59</v>
      </c>
      <c r="E1318" s="63" t="s">
        <v>172</v>
      </c>
      <c r="F1318" s="63" t="s">
        <v>1672</v>
      </c>
      <c r="G1318">
        <v>1</v>
      </c>
      <c r="H1318">
        <v>60</v>
      </c>
      <c r="I1318">
        <v>360</v>
      </c>
      <c r="J1318">
        <v>360</v>
      </c>
      <c r="K1318">
        <v>8.68</v>
      </c>
      <c r="L1318">
        <v>6</v>
      </c>
    </row>
    <row r="1319" spans="1:12">
      <c r="A1319">
        <v>7300</v>
      </c>
      <c r="B1319" s="63" t="s">
        <v>334</v>
      </c>
      <c r="C1319" s="63" t="s">
        <v>2687</v>
      </c>
      <c r="D1319" s="63" t="s">
        <v>59</v>
      </c>
      <c r="E1319" s="63" t="s">
        <v>172</v>
      </c>
      <c r="F1319" s="63" t="s">
        <v>759</v>
      </c>
      <c r="G1319">
        <v>1</v>
      </c>
      <c r="H1319">
        <v>60</v>
      </c>
      <c r="I1319">
        <v>359</v>
      </c>
      <c r="J1319">
        <v>359</v>
      </c>
      <c r="K1319">
        <v>15.72</v>
      </c>
      <c r="L1319">
        <v>6</v>
      </c>
    </row>
    <row r="1320" spans="1:12">
      <c r="A1320">
        <v>7300</v>
      </c>
      <c r="B1320" s="63" t="s">
        <v>334</v>
      </c>
      <c r="C1320" s="63" t="s">
        <v>2687</v>
      </c>
      <c r="D1320" s="63" t="s">
        <v>59</v>
      </c>
      <c r="E1320" s="63" t="s">
        <v>203</v>
      </c>
      <c r="F1320" s="63" t="s">
        <v>1211</v>
      </c>
      <c r="G1320">
        <v>1</v>
      </c>
      <c r="H1320">
        <v>60</v>
      </c>
      <c r="I1320">
        <v>360</v>
      </c>
      <c r="J1320">
        <v>360</v>
      </c>
      <c r="K1320">
        <v>8.75</v>
      </c>
      <c r="L1320">
        <v>5</v>
      </c>
    </row>
    <row r="1321" spans="1:12">
      <c r="A1321">
        <v>7300</v>
      </c>
      <c r="B1321" s="63" t="s">
        <v>334</v>
      </c>
      <c r="C1321" s="63" t="s">
        <v>2687</v>
      </c>
      <c r="D1321" s="63" t="s">
        <v>59</v>
      </c>
      <c r="E1321" s="63" t="s">
        <v>203</v>
      </c>
      <c r="F1321" s="63" t="s">
        <v>2077</v>
      </c>
      <c r="G1321">
        <v>1</v>
      </c>
      <c r="H1321">
        <v>60</v>
      </c>
      <c r="I1321">
        <v>360</v>
      </c>
      <c r="J1321">
        <v>360</v>
      </c>
      <c r="K1321">
        <v>11.48</v>
      </c>
      <c r="L1321">
        <v>6</v>
      </c>
    </row>
    <row r="1322" spans="1:12">
      <c r="A1322">
        <v>7300</v>
      </c>
      <c r="B1322" s="63" t="s">
        <v>334</v>
      </c>
      <c r="C1322" s="63" t="s">
        <v>2687</v>
      </c>
      <c r="D1322" s="63" t="s">
        <v>59</v>
      </c>
      <c r="E1322" s="63" t="s">
        <v>203</v>
      </c>
      <c r="F1322" s="63" t="s">
        <v>2019</v>
      </c>
      <c r="G1322">
        <v>1</v>
      </c>
      <c r="H1322">
        <v>60</v>
      </c>
      <c r="I1322">
        <v>360</v>
      </c>
      <c r="J1322">
        <v>360</v>
      </c>
      <c r="K1322">
        <v>3.37</v>
      </c>
      <c r="L1322">
        <v>3</v>
      </c>
    </row>
    <row r="1323" spans="1:12">
      <c r="A1323">
        <v>7300</v>
      </c>
      <c r="B1323" s="63" t="s">
        <v>334</v>
      </c>
      <c r="C1323" s="63" t="s">
        <v>2687</v>
      </c>
      <c r="D1323" s="63" t="s">
        <v>59</v>
      </c>
      <c r="E1323" s="63" t="s">
        <v>203</v>
      </c>
      <c r="F1323" s="63" t="s">
        <v>2089</v>
      </c>
      <c r="G1323">
        <v>1</v>
      </c>
      <c r="H1323">
        <v>60</v>
      </c>
      <c r="I1323">
        <v>360</v>
      </c>
      <c r="J1323">
        <v>360</v>
      </c>
      <c r="K1323">
        <v>5.6</v>
      </c>
      <c r="L1323">
        <v>5</v>
      </c>
    </row>
    <row r="1324" spans="1:12">
      <c r="A1324">
        <v>7300</v>
      </c>
      <c r="B1324" s="63" t="s">
        <v>334</v>
      </c>
      <c r="C1324" s="63" t="s">
        <v>2687</v>
      </c>
      <c r="D1324" s="63" t="s">
        <v>59</v>
      </c>
      <c r="E1324" s="63" t="s">
        <v>173</v>
      </c>
      <c r="F1324" s="63" t="s">
        <v>1375</v>
      </c>
      <c r="G1324">
        <v>1</v>
      </c>
      <c r="H1324">
        <v>60</v>
      </c>
      <c r="I1324">
        <v>360</v>
      </c>
      <c r="J1324">
        <v>360</v>
      </c>
      <c r="K1324">
        <v>12.93</v>
      </c>
      <c r="L1324">
        <v>5</v>
      </c>
    </row>
    <row r="1325" spans="1:12">
      <c r="A1325">
        <v>7300</v>
      </c>
      <c r="B1325" s="63" t="s">
        <v>334</v>
      </c>
      <c r="C1325" s="63" t="s">
        <v>2687</v>
      </c>
      <c r="D1325" s="63" t="s">
        <v>59</v>
      </c>
      <c r="E1325" s="63" t="s">
        <v>173</v>
      </c>
      <c r="F1325" s="63" t="s">
        <v>905</v>
      </c>
      <c r="G1325">
        <v>1</v>
      </c>
      <c r="H1325">
        <v>60</v>
      </c>
      <c r="I1325">
        <v>358</v>
      </c>
      <c r="J1325">
        <v>358</v>
      </c>
      <c r="K1325">
        <v>3.53</v>
      </c>
      <c r="L1325">
        <v>6</v>
      </c>
    </row>
    <row r="1326" spans="1:12">
      <c r="A1326">
        <v>7300</v>
      </c>
      <c r="B1326" s="63" t="s">
        <v>334</v>
      </c>
      <c r="C1326" s="63" t="s">
        <v>2687</v>
      </c>
      <c r="D1326" s="63" t="s">
        <v>59</v>
      </c>
      <c r="E1326" s="63" t="s">
        <v>173</v>
      </c>
      <c r="F1326" s="63" t="s">
        <v>932</v>
      </c>
      <c r="G1326">
        <v>1</v>
      </c>
      <c r="H1326">
        <v>60</v>
      </c>
      <c r="I1326">
        <v>360</v>
      </c>
      <c r="J1326">
        <v>360</v>
      </c>
      <c r="K1326">
        <v>13.07</v>
      </c>
      <c r="L1326">
        <v>6</v>
      </c>
    </row>
    <row r="1327" spans="1:12">
      <c r="A1327">
        <v>7300</v>
      </c>
      <c r="B1327" s="63" t="s">
        <v>334</v>
      </c>
      <c r="C1327" s="63" t="s">
        <v>2687</v>
      </c>
      <c r="D1327" s="63" t="s">
        <v>59</v>
      </c>
      <c r="E1327" s="63" t="s">
        <v>173</v>
      </c>
      <c r="F1327" s="63" t="s">
        <v>1499</v>
      </c>
      <c r="G1327">
        <v>1</v>
      </c>
      <c r="H1327">
        <v>60</v>
      </c>
      <c r="I1327">
        <v>359</v>
      </c>
      <c r="J1327">
        <v>359</v>
      </c>
      <c r="K1327">
        <v>10.43</v>
      </c>
      <c r="L1327">
        <v>5</v>
      </c>
    </row>
    <row r="1328" spans="1:12">
      <c r="A1328">
        <v>7300</v>
      </c>
      <c r="B1328" s="63" t="s">
        <v>334</v>
      </c>
      <c r="C1328" s="63" t="s">
        <v>2687</v>
      </c>
      <c r="D1328" s="63" t="s">
        <v>59</v>
      </c>
      <c r="E1328" s="63" t="s">
        <v>173</v>
      </c>
      <c r="F1328" s="63" t="s">
        <v>2689</v>
      </c>
      <c r="G1328">
        <v>1</v>
      </c>
      <c r="H1328">
        <v>60</v>
      </c>
      <c r="I1328">
        <v>360</v>
      </c>
      <c r="J1328">
        <v>360</v>
      </c>
      <c r="K1328">
        <v>8.1999999999999993</v>
      </c>
      <c r="L1328">
        <v>6</v>
      </c>
    </row>
    <row r="1329" spans="1:12">
      <c r="A1329">
        <v>7310</v>
      </c>
      <c r="B1329" s="63" t="s">
        <v>519</v>
      </c>
      <c r="C1329" s="63" t="s">
        <v>873</v>
      </c>
      <c r="D1329" s="63" t="s">
        <v>59</v>
      </c>
      <c r="G1329">
        <v>1</v>
      </c>
      <c r="H1329">
        <v>57</v>
      </c>
      <c r="I1329">
        <v>342</v>
      </c>
      <c r="J1329">
        <v>6814</v>
      </c>
      <c r="K1329">
        <v>0.9</v>
      </c>
      <c r="L1329">
        <v>6</v>
      </c>
    </row>
    <row r="1330" spans="1:12">
      <c r="A1330">
        <v>7310</v>
      </c>
      <c r="B1330" s="63" t="s">
        <v>1887</v>
      </c>
      <c r="C1330" s="63" t="s">
        <v>1888</v>
      </c>
      <c r="D1330" s="63" t="s">
        <v>59</v>
      </c>
      <c r="G1330">
        <v>1</v>
      </c>
      <c r="H1330">
        <v>120</v>
      </c>
      <c r="I1330">
        <v>1427</v>
      </c>
      <c r="J1330">
        <v>1427</v>
      </c>
      <c r="K1330">
        <v>0.8</v>
      </c>
      <c r="L1330">
        <v>11</v>
      </c>
    </row>
    <row r="1331" spans="1:12">
      <c r="A1331">
        <v>7310</v>
      </c>
      <c r="B1331" s="63" t="s">
        <v>1887</v>
      </c>
      <c r="C1331" s="63" t="s">
        <v>1888</v>
      </c>
      <c r="D1331" s="63" t="s">
        <v>59</v>
      </c>
      <c r="E1331" s="63" t="s">
        <v>2128</v>
      </c>
      <c r="F1331" s="63" t="s">
        <v>1214</v>
      </c>
      <c r="G1331">
        <v>1</v>
      </c>
      <c r="H1331">
        <v>60</v>
      </c>
      <c r="I1331">
        <v>718</v>
      </c>
      <c r="J1331">
        <v>718</v>
      </c>
      <c r="K1331">
        <v>1.32</v>
      </c>
      <c r="L1331">
        <v>11</v>
      </c>
    </row>
    <row r="1332" spans="1:12">
      <c r="A1332">
        <v>7312</v>
      </c>
      <c r="B1332" s="63" t="s">
        <v>866</v>
      </c>
      <c r="C1332" s="63" t="s">
        <v>2309</v>
      </c>
      <c r="D1332" s="63" t="s">
        <v>59</v>
      </c>
      <c r="E1332" s="63" t="s">
        <v>184</v>
      </c>
      <c r="F1332" s="63" t="s">
        <v>1944</v>
      </c>
      <c r="G1332">
        <v>1</v>
      </c>
      <c r="H1332">
        <v>60</v>
      </c>
      <c r="I1332">
        <v>360</v>
      </c>
      <c r="J1332">
        <v>7176</v>
      </c>
      <c r="K1332">
        <v>1.68</v>
      </c>
      <c r="L1332">
        <v>5</v>
      </c>
    </row>
    <row r="1333" spans="1:12">
      <c r="A1333">
        <v>7390</v>
      </c>
      <c r="B1333" s="63" t="s">
        <v>256</v>
      </c>
      <c r="C1333" s="63" t="s">
        <v>350</v>
      </c>
      <c r="D1333" s="63" t="s">
        <v>374</v>
      </c>
      <c r="G1333">
        <v>1</v>
      </c>
      <c r="H1333">
        <v>16</v>
      </c>
      <c r="I1333">
        <v>96</v>
      </c>
      <c r="J1333">
        <v>1920</v>
      </c>
      <c r="K1333">
        <v>0.56999999999999995</v>
      </c>
      <c r="L1333">
        <v>3</v>
      </c>
    </row>
    <row r="1334" spans="1:12">
      <c r="A1334">
        <v>7560</v>
      </c>
      <c r="B1334" s="63" t="s">
        <v>519</v>
      </c>
      <c r="C1334" s="63" t="s">
        <v>874</v>
      </c>
      <c r="D1334" s="63" t="s">
        <v>59</v>
      </c>
      <c r="G1334">
        <v>1</v>
      </c>
      <c r="H1334">
        <v>60</v>
      </c>
      <c r="I1334">
        <v>360</v>
      </c>
      <c r="J1334">
        <v>7188</v>
      </c>
      <c r="K1334">
        <v>0.38</v>
      </c>
      <c r="L1334">
        <v>8</v>
      </c>
    </row>
    <row r="1335" spans="1:12">
      <c r="A1335">
        <v>7560</v>
      </c>
      <c r="B1335" s="63" t="s">
        <v>519</v>
      </c>
      <c r="C1335" s="63" t="s">
        <v>874</v>
      </c>
      <c r="D1335" s="63" t="s">
        <v>59</v>
      </c>
      <c r="E1335" s="63" t="s">
        <v>184</v>
      </c>
      <c r="F1335" s="63" t="s">
        <v>1272</v>
      </c>
      <c r="G1335">
        <v>1</v>
      </c>
      <c r="H1335">
        <v>11</v>
      </c>
      <c r="I1335">
        <v>66</v>
      </c>
      <c r="J1335">
        <v>1320</v>
      </c>
      <c r="K1335">
        <v>7.9</v>
      </c>
      <c r="L1335">
        <v>6</v>
      </c>
    </row>
    <row r="1336" spans="1:12">
      <c r="A1336">
        <v>7560</v>
      </c>
      <c r="B1336" s="63" t="s">
        <v>257</v>
      </c>
      <c r="C1336" s="63" t="s">
        <v>1719</v>
      </c>
      <c r="D1336" s="63" t="s">
        <v>365</v>
      </c>
      <c r="E1336" s="63" t="s">
        <v>184</v>
      </c>
      <c r="F1336" s="63" t="s">
        <v>1533</v>
      </c>
      <c r="G1336">
        <v>1</v>
      </c>
      <c r="H1336">
        <v>3</v>
      </c>
      <c r="I1336">
        <v>72</v>
      </c>
      <c r="J1336">
        <v>72</v>
      </c>
      <c r="K1336">
        <v>1254.0999999999999</v>
      </c>
      <c r="L1336">
        <v>59</v>
      </c>
    </row>
    <row r="1337" spans="1:12">
      <c r="A1337">
        <v>7560</v>
      </c>
      <c r="B1337" s="63" t="s">
        <v>257</v>
      </c>
      <c r="C1337" s="63" t="s">
        <v>1815</v>
      </c>
      <c r="D1337" s="63" t="s">
        <v>365</v>
      </c>
      <c r="E1337" s="63" t="s">
        <v>184</v>
      </c>
      <c r="F1337" s="63" t="s">
        <v>1533</v>
      </c>
      <c r="G1337">
        <v>1</v>
      </c>
      <c r="H1337">
        <v>9</v>
      </c>
      <c r="I1337">
        <v>216</v>
      </c>
      <c r="J1337">
        <v>216</v>
      </c>
      <c r="K1337">
        <v>1271.98</v>
      </c>
      <c r="L1337">
        <v>59</v>
      </c>
    </row>
    <row r="1338" spans="1:12">
      <c r="A1338">
        <v>7560</v>
      </c>
      <c r="B1338" s="63" t="s">
        <v>386</v>
      </c>
      <c r="C1338" s="63" t="s">
        <v>387</v>
      </c>
      <c r="D1338" s="63" t="s">
        <v>365</v>
      </c>
      <c r="E1338" s="63" t="s">
        <v>174</v>
      </c>
      <c r="F1338" s="63" t="s">
        <v>1364</v>
      </c>
      <c r="G1338">
        <v>1</v>
      </c>
      <c r="H1338">
        <v>40</v>
      </c>
      <c r="I1338">
        <v>719</v>
      </c>
      <c r="J1338">
        <v>719</v>
      </c>
      <c r="K1338">
        <v>72.53</v>
      </c>
      <c r="L1338">
        <v>71</v>
      </c>
    </row>
    <row r="1339" spans="1:12">
      <c r="A1339">
        <v>7560</v>
      </c>
      <c r="B1339" s="63" t="s">
        <v>2670</v>
      </c>
      <c r="C1339" s="63" t="s">
        <v>2671</v>
      </c>
      <c r="D1339" s="63" t="s">
        <v>325</v>
      </c>
      <c r="E1339" s="63" t="s">
        <v>172</v>
      </c>
      <c r="F1339" s="63" t="s">
        <v>2690</v>
      </c>
      <c r="G1339">
        <v>1</v>
      </c>
      <c r="H1339">
        <v>60</v>
      </c>
      <c r="I1339">
        <v>1080</v>
      </c>
      <c r="J1339">
        <v>1080</v>
      </c>
      <c r="K1339">
        <v>10.9</v>
      </c>
      <c r="L1339">
        <v>29</v>
      </c>
    </row>
    <row r="1340" spans="1:12">
      <c r="A1340">
        <v>7560</v>
      </c>
      <c r="B1340" s="63" t="s">
        <v>2670</v>
      </c>
      <c r="C1340" s="63" t="s">
        <v>2671</v>
      </c>
      <c r="D1340" s="63" t="s">
        <v>325</v>
      </c>
      <c r="E1340" s="63" t="s">
        <v>172</v>
      </c>
      <c r="F1340" s="63" t="s">
        <v>2041</v>
      </c>
      <c r="G1340">
        <v>1</v>
      </c>
      <c r="H1340">
        <v>60</v>
      </c>
      <c r="I1340">
        <v>1080</v>
      </c>
      <c r="J1340">
        <v>1080</v>
      </c>
      <c r="K1340">
        <v>11.32</v>
      </c>
      <c r="L1340">
        <v>29</v>
      </c>
    </row>
    <row r="1341" spans="1:12">
      <c r="A1341">
        <v>7560</v>
      </c>
      <c r="B1341" s="63" t="s">
        <v>2670</v>
      </c>
      <c r="C1341" s="63" t="s">
        <v>2671</v>
      </c>
      <c r="D1341" s="63" t="s">
        <v>325</v>
      </c>
      <c r="E1341" s="63" t="s">
        <v>175</v>
      </c>
      <c r="F1341" s="63" t="s">
        <v>1125</v>
      </c>
      <c r="G1341">
        <v>1</v>
      </c>
      <c r="H1341">
        <v>60</v>
      </c>
      <c r="I1341">
        <v>1080</v>
      </c>
      <c r="J1341">
        <v>1080</v>
      </c>
      <c r="K1341">
        <v>23.27</v>
      </c>
      <c r="L1341">
        <v>29</v>
      </c>
    </row>
    <row r="1342" spans="1:12">
      <c r="A1342">
        <v>7560</v>
      </c>
      <c r="B1342" s="63" t="s">
        <v>2670</v>
      </c>
      <c r="C1342" s="63" t="s">
        <v>2671</v>
      </c>
      <c r="D1342" s="63" t="s">
        <v>325</v>
      </c>
      <c r="E1342" s="63" t="s">
        <v>175</v>
      </c>
      <c r="F1342" s="63" t="s">
        <v>2029</v>
      </c>
      <c r="G1342">
        <v>1</v>
      </c>
      <c r="H1342">
        <v>3</v>
      </c>
      <c r="I1342">
        <v>54</v>
      </c>
      <c r="J1342">
        <v>54</v>
      </c>
      <c r="K1342">
        <v>23.17</v>
      </c>
      <c r="L1342">
        <v>29</v>
      </c>
    </row>
    <row r="1343" spans="1:12">
      <c r="A1343">
        <v>7560</v>
      </c>
      <c r="B1343" s="63" t="s">
        <v>2670</v>
      </c>
      <c r="C1343" s="63" t="s">
        <v>2671</v>
      </c>
      <c r="D1343" s="63" t="s">
        <v>205</v>
      </c>
      <c r="E1343" s="63" t="s">
        <v>174</v>
      </c>
      <c r="F1343" s="63" t="s">
        <v>2691</v>
      </c>
      <c r="G1343">
        <v>1</v>
      </c>
      <c r="H1343">
        <v>3</v>
      </c>
      <c r="I1343">
        <v>54</v>
      </c>
      <c r="J1343">
        <v>54</v>
      </c>
      <c r="K1343">
        <v>4.12</v>
      </c>
      <c r="L1343">
        <v>29</v>
      </c>
    </row>
    <row r="1344" spans="1:12">
      <c r="A1344">
        <v>7560</v>
      </c>
      <c r="B1344" s="63" t="s">
        <v>480</v>
      </c>
      <c r="C1344" s="63" t="s">
        <v>670</v>
      </c>
      <c r="D1344" s="63" t="s">
        <v>365</v>
      </c>
      <c r="E1344" s="63" t="s">
        <v>173</v>
      </c>
      <c r="F1344" s="63" t="s">
        <v>2692</v>
      </c>
      <c r="G1344">
        <v>1</v>
      </c>
      <c r="H1344">
        <v>1</v>
      </c>
      <c r="I1344">
        <v>18</v>
      </c>
      <c r="J1344">
        <v>18</v>
      </c>
      <c r="K1344">
        <v>95.78</v>
      </c>
      <c r="L1344">
        <v>12</v>
      </c>
    </row>
    <row r="1345" spans="1:12">
      <c r="A1345">
        <v>7569</v>
      </c>
      <c r="B1345" s="63" t="s">
        <v>829</v>
      </c>
      <c r="C1345" s="63" t="s">
        <v>1787</v>
      </c>
      <c r="D1345" s="63" t="s">
        <v>59</v>
      </c>
      <c r="E1345" s="63" t="s">
        <v>175</v>
      </c>
      <c r="F1345" s="63" t="s">
        <v>863</v>
      </c>
      <c r="G1345">
        <v>1</v>
      </c>
      <c r="H1345">
        <v>11</v>
      </c>
      <c r="I1345">
        <v>224</v>
      </c>
      <c r="J1345">
        <v>224</v>
      </c>
      <c r="K1345">
        <v>123.58</v>
      </c>
      <c r="L1345">
        <v>38</v>
      </c>
    </row>
    <row r="1346" spans="1:12">
      <c r="A1346">
        <v>7569</v>
      </c>
      <c r="B1346" s="63" t="s">
        <v>356</v>
      </c>
      <c r="C1346" s="63" t="s">
        <v>358</v>
      </c>
      <c r="D1346" s="63" t="s">
        <v>59</v>
      </c>
      <c r="E1346" s="63" t="s">
        <v>184</v>
      </c>
      <c r="F1346" s="63" t="s">
        <v>915</v>
      </c>
      <c r="G1346">
        <v>1</v>
      </c>
      <c r="H1346">
        <v>1</v>
      </c>
      <c r="I1346">
        <v>18</v>
      </c>
      <c r="J1346">
        <v>18</v>
      </c>
      <c r="K1346">
        <v>8.98</v>
      </c>
      <c r="L1346">
        <v>4</v>
      </c>
    </row>
    <row r="1347" spans="1:12">
      <c r="A1347">
        <v>7570</v>
      </c>
      <c r="B1347" s="63" t="s">
        <v>866</v>
      </c>
      <c r="C1347" s="63" t="s">
        <v>1837</v>
      </c>
      <c r="D1347" s="63" t="s">
        <v>59</v>
      </c>
      <c r="E1347" s="63" t="s">
        <v>184</v>
      </c>
      <c r="F1347" s="63" t="s">
        <v>1102</v>
      </c>
      <c r="G1347">
        <v>1</v>
      </c>
      <c r="H1347">
        <v>60</v>
      </c>
      <c r="I1347">
        <v>360</v>
      </c>
      <c r="J1347">
        <v>7164</v>
      </c>
      <c r="K1347">
        <v>0.83</v>
      </c>
      <c r="L1347">
        <v>19</v>
      </c>
    </row>
    <row r="1348" spans="1:12">
      <c r="A1348">
        <v>7570</v>
      </c>
      <c r="B1348" s="63" t="s">
        <v>866</v>
      </c>
      <c r="C1348" s="63" t="s">
        <v>2309</v>
      </c>
      <c r="D1348" s="63" t="s">
        <v>59</v>
      </c>
      <c r="G1348">
        <v>1</v>
      </c>
      <c r="H1348">
        <v>119</v>
      </c>
      <c r="I1348">
        <v>714</v>
      </c>
      <c r="J1348">
        <v>14242</v>
      </c>
      <c r="K1348">
        <v>5.0199999999999996</v>
      </c>
      <c r="L1348">
        <v>5</v>
      </c>
    </row>
    <row r="1349" spans="1:12">
      <c r="A1349">
        <v>7570</v>
      </c>
      <c r="B1349" s="63" t="s">
        <v>866</v>
      </c>
      <c r="C1349" s="63" t="s">
        <v>2309</v>
      </c>
      <c r="D1349" s="63" t="s">
        <v>59</v>
      </c>
      <c r="E1349" s="63" t="s">
        <v>1509</v>
      </c>
      <c r="F1349" s="63" t="s">
        <v>1180</v>
      </c>
      <c r="G1349">
        <v>1</v>
      </c>
      <c r="H1349">
        <v>60</v>
      </c>
      <c r="I1349">
        <v>360</v>
      </c>
      <c r="J1349">
        <v>7185</v>
      </c>
      <c r="K1349">
        <v>4.6500000000000004</v>
      </c>
      <c r="L1349">
        <v>5</v>
      </c>
    </row>
    <row r="1350" spans="1:12">
      <c r="A1350">
        <v>7570</v>
      </c>
      <c r="B1350" s="63" t="s">
        <v>866</v>
      </c>
      <c r="C1350" s="63" t="s">
        <v>2309</v>
      </c>
      <c r="D1350" s="63" t="s">
        <v>59</v>
      </c>
      <c r="E1350" s="63" t="s">
        <v>184</v>
      </c>
      <c r="F1350" s="63" t="s">
        <v>1952</v>
      </c>
      <c r="G1350">
        <v>1</v>
      </c>
      <c r="H1350">
        <v>60</v>
      </c>
      <c r="I1350">
        <v>360</v>
      </c>
      <c r="J1350">
        <v>7174</v>
      </c>
      <c r="K1350">
        <v>3.38</v>
      </c>
      <c r="L1350">
        <v>5</v>
      </c>
    </row>
    <row r="1351" spans="1:12">
      <c r="A1351">
        <v>7570</v>
      </c>
      <c r="B1351" s="63" t="s">
        <v>866</v>
      </c>
      <c r="C1351" s="63" t="s">
        <v>2309</v>
      </c>
      <c r="D1351" s="63" t="s">
        <v>59</v>
      </c>
      <c r="E1351" s="63" t="s">
        <v>184</v>
      </c>
      <c r="F1351" s="63" t="s">
        <v>880</v>
      </c>
      <c r="G1351">
        <v>1</v>
      </c>
      <c r="H1351">
        <v>60</v>
      </c>
      <c r="I1351">
        <v>360</v>
      </c>
      <c r="J1351">
        <v>7183</v>
      </c>
      <c r="K1351">
        <v>4.45</v>
      </c>
      <c r="L1351">
        <v>5</v>
      </c>
    </row>
    <row r="1352" spans="1:12">
      <c r="A1352">
        <v>7570</v>
      </c>
      <c r="B1352" s="63" t="s">
        <v>519</v>
      </c>
      <c r="C1352" s="63" t="s">
        <v>874</v>
      </c>
      <c r="D1352" s="63" t="s">
        <v>59</v>
      </c>
      <c r="G1352">
        <v>1</v>
      </c>
      <c r="H1352">
        <v>120</v>
      </c>
      <c r="I1352">
        <v>720</v>
      </c>
      <c r="J1352">
        <v>14357</v>
      </c>
      <c r="K1352">
        <v>3.4</v>
      </c>
      <c r="L1352">
        <v>8</v>
      </c>
    </row>
    <row r="1353" spans="1:12">
      <c r="A1353">
        <v>7570</v>
      </c>
      <c r="B1353" s="63" t="s">
        <v>519</v>
      </c>
      <c r="C1353" s="63" t="s">
        <v>874</v>
      </c>
      <c r="D1353" s="63" t="s">
        <v>59</v>
      </c>
      <c r="E1353" s="63" t="s">
        <v>184</v>
      </c>
      <c r="F1353" s="63" t="s">
        <v>2146</v>
      </c>
      <c r="G1353">
        <v>1</v>
      </c>
      <c r="H1353">
        <v>60</v>
      </c>
      <c r="I1353">
        <v>360</v>
      </c>
      <c r="J1353">
        <v>7187</v>
      </c>
      <c r="K1353">
        <v>0.37</v>
      </c>
      <c r="L1353">
        <v>8</v>
      </c>
    </row>
    <row r="1354" spans="1:12">
      <c r="A1354">
        <v>7570</v>
      </c>
      <c r="B1354" s="63" t="s">
        <v>519</v>
      </c>
      <c r="C1354" s="63" t="s">
        <v>874</v>
      </c>
      <c r="D1354" s="63" t="s">
        <v>59</v>
      </c>
      <c r="E1354" s="63" t="s">
        <v>184</v>
      </c>
      <c r="F1354" s="63" t="s">
        <v>1091</v>
      </c>
      <c r="G1354">
        <v>1</v>
      </c>
      <c r="H1354">
        <v>60</v>
      </c>
      <c r="I1354">
        <v>360</v>
      </c>
      <c r="J1354">
        <v>7163</v>
      </c>
      <c r="K1354">
        <v>2.4300000000000002</v>
      </c>
      <c r="L1354">
        <v>8</v>
      </c>
    </row>
    <row r="1355" spans="1:12">
      <c r="A1355">
        <v>7570</v>
      </c>
      <c r="B1355" s="63" t="s">
        <v>519</v>
      </c>
      <c r="C1355" s="63" t="s">
        <v>874</v>
      </c>
      <c r="D1355" s="63" t="s">
        <v>59</v>
      </c>
      <c r="E1355" s="63" t="s">
        <v>184</v>
      </c>
      <c r="F1355" s="63" t="s">
        <v>2109</v>
      </c>
      <c r="G1355">
        <v>1</v>
      </c>
      <c r="H1355">
        <v>60</v>
      </c>
      <c r="I1355">
        <v>360</v>
      </c>
      <c r="J1355">
        <v>7166</v>
      </c>
      <c r="K1355">
        <v>0.55000000000000004</v>
      </c>
      <c r="L1355">
        <v>8</v>
      </c>
    </row>
    <row r="1356" spans="1:12">
      <c r="A1356">
        <v>7570</v>
      </c>
      <c r="B1356" s="63" t="s">
        <v>519</v>
      </c>
      <c r="C1356" s="63" t="s">
        <v>874</v>
      </c>
      <c r="D1356" s="63" t="s">
        <v>59</v>
      </c>
      <c r="E1356" s="63" t="s">
        <v>184</v>
      </c>
      <c r="F1356" s="63" t="s">
        <v>1480</v>
      </c>
      <c r="G1356">
        <v>1</v>
      </c>
      <c r="H1356">
        <v>60</v>
      </c>
      <c r="I1356">
        <v>360</v>
      </c>
      <c r="J1356">
        <v>7176</v>
      </c>
      <c r="K1356">
        <v>1.1299999999999999</v>
      </c>
      <c r="L1356">
        <v>8</v>
      </c>
    </row>
    <row r="1357" spans="1:12">
      <c r="A1357">
        <v>7570</v>
      </c>
      <c r="B1357" s="63" t="s">
        <v>519</v>
      </c>
      <c r="C1357" s="63" t="s">
        <v>874</v>
      </c>
      <c r="D1357" s="63" t="s">
        <v>59</v>
      </c>
      <c r="E1357" s="63" t="s">
        <v>184</v>
      </c>
      <c r="F1357" s="63" t="s">
        <v>2693</v>
      </c>
      <c r="G1357">
        <v>1</v>
      </c>
      <c r="H1357">
        <v>60</v>
      </c>
      <c r="I1357">
        <v>360</v>
      </c>
      <c r="J1357">
        <v>7175</v>
      </c>
      <c r="K1357">
        <v>2.0299999999999998</v>
      </c>
      <c r="L1357">
        <v>7</v>
      </c>
    </row>
    <row r="1358" spans="1:12">
      <c r="A1358">
        <v>7570</v>
      </c>
      <c r="B1358" s="63" t="s">
        <v>1887</v>
      </c>
      <c r="C1358" s="63" t="s">
        <v>1888</v>
      </c>
      <c r="D1358" s="63" t="s">
        <v>59</v>
      </c>
      <c r="E1358" s="63" t="s">
        <v>184</v>
      </c>
      <c r="F1358" s="63" t="s">
        <v>1810</v>
      </c>
      <c r="G1358">
        <v>1</v>
      </c>
      <c r="H1358">
        <v>10</v>
      </c>
      <c r="I1358">
        <v>116</v>
      </c>
      <c r="J1358">
        <v>116</v>
      </c>
      <c r="K1358">
        <v>0.45</v>
      </c>
      <c r="L1358">
        <v>11</v>
      </c>
    </row>
    <row r="1359" spans="1:12">
      <c r="A1359">
        <v>7571</v>
      </c>
      <c r="B1359" s="63" t="s">
        <v>1887</v>
      </c>
      <c r="C1359" s="63" t="s">
        <v>1888</v>
      </c>
      <c r="D1359" s="63" t="s">
        <v>365</v>
      </c>
      <c r="E1359" s="63" t="s">
        <v>184</v>
      </c>
      <c r="F1359" s="63" t="s">
        <v>1433</v>
      </c>
      <c r="G1359">
        <v>1</v>
      </c>
      <c r="H1359">
        <v>7</v>
      </c>
      <c r="I1359">
        <v>84</v>
      </c>
      <c r="J1359">
        <v>84</v>
      </c>
      <c r="K1359">
        <v>0.35</v>
      </c>
      <c r="L1359">
        <v>11</v>
      </c>
    </row>
    <row r="1360" spans="1:12">
      <c r="A1360">
        <v>7581</v>
      </c>
      <c r="B1360" s="63" t="s">
        <v>490</v>
      </c>
      <c r="C1360" s="63" t="s">
        <v>491</v>
      </c>
      <c r="D1360" s="63" t="s">
        <v>59</v>
      </c>
      <c r="E1360" s="63" t="s">
        <v>203</v>
      </c>
      <c r="F1360" s="63" t="s">
        <v>1513</v>
      </c>
      <c r="G1360">
        <v>1</v>
      </c>
      <c r="H1360">
        <v>40</v>
      </c>
      <c r="I1360">
        <v>717</v>
      </c>
      <c r="J1360">
        <v>717</v>
      </c>
      <c r="K1360">
        <v>38.369999999999997</v>
      </c>
      <c r="L1360">
        <v>5</v>
      </c>
    </row>
    <row r="1361" spans="1:12">
      <c r="A1361">
        <v>7581</v>
      </c>
      <c r="B1361" s="63" t="s">
        <v>490</v>
      </c>
      <c r="C1361" s="63" t="s">
        <v>491</v>
      </c>
      <c r="D1361" s="63" t="s">
        <v>59</v>
      </c>
      <c r="E1361" s="63" t="s">
        <v>174</v>
      </c>
      <c r="F1361" s="63" t="s">
        <v>1961</v>
      </c>
      <c r="G1361">
        <v>1</v>
      </c>
      <c r="H1361">
        <v>60</v>
      </c>
      <c r="I1361">
        <v>1075</v>
      </c>
      <c r="J1361">
        <v>1075</v>
      </c>
      <c r="K1361">
        <v>39.770000000000003</v>
      </c>
      <c r="L1361">
        <v>5</v>
      </c>
    </row>
    <row r="1362" spans="1:12">
      <c r="A1362">
        <v>7581</v>
      </c>
      <c r="B1362" s="63" t="s">
        <v>490</v>
      </c>
      <c r="C1362" s="63" t="s">
        <v>491</v>
      </c>
      <c r="D1362" s="63" t="s">
        <v>59</v>
      </c>
      <c r="E1362" s="63" t="s">
        <v>174</v>
      </c>
      <c r="F1362" s="63" t="s">
        <v>1439</v>
      </c>
      <c r="G1362">
        <v>1</v>
      </c>
      <c r="H1362">
        <v>52</v>
      </c>
      <c r="I1362">
        <v>934</v>
      </c>
      <c r="J1362">
        <v>934</v>
      </c>
      <c r="K1362">
        <v>34.92</v>
      </c>
      <c r="L1362">
        <v>5</v>
      </c>
    </row>
    <row r="1363" spans="1:12">
      <c r="A1363">
        <v>7581</v>
      </c>
      <c r="B1363" s="63" t="s">
        <v>490</v>
      </c>
      <c r="C1363" s="63" t="s">
        <v>491</v>
      </c>
      <c r="D1363" s="63" t="s">
        <v>59</v>
      </c>
      <c r="E1363" s="63" t="s">
        <v>184</v>
      </c>
      <c r="F1363" s="63" t="s">
        <v>392</v>
      </c>
      <c r="G1363">
        <v>1</v>
      </c>
      <c r="H1363">
        <v>42</v>
      </c>
      <c r="I1363">
        <v>754</v>
      </c>
      <c r="J1363">
        <v>754</v>
      </c>
      <c r="K1363">
        <v>20.329999999999998</v>
      </c>
      <c r="L1363">
        <v>5</v>
      </c>
    </row>
    <row r="1364" spans="1:12">
      <c r="A1364">
        <v>7581</v>
      </c>
      <c r="B1364" s="63" t="s">
        <v>490</v>
      </c>
      <c r="C1364" s="63" t="s">
        <v>2668</v>
      </c>
      <c r="D1364" s="63" t="s">
        <v>59</v>
      </c>
      <c r="E1364" s="63" t="s">
        <v>175</v>
      </c>
      <c r="F1364" s="63" t="s">
        <v>941</v>
      </c>
      <c r="G1364">
        <v>1</v>
      </c>
      <c r="H1364">
        <v>31</v>
      </c>
      <c r="I1364">
        <v>557</v>
      </c>
      <c r="J1364">
        <v>557</v>
      </c>
      <c r="K1364">
        <v>31.97</v>
      </c>
      <c r="L1364">
        <v>5</v>
      </c>
    </row>
    <row r="1365" spans="1:12">
      <c r="A1365">
        <v>7581</v>
      </c>
      <c r="B1365" s="63" t="s">
        <v>356</v>
      </c>
      <c r="C1365" s="63" t="s">
        <v>358</v>
      </c>
      <c r="D1365" s="63" t="s">
        <v>59</v>
      </c>
      <c r="E1365" s="63" t="s">
        <v>184</v>
      </c>
      <c r="F1365" s="63" t="s">
        <v>872</v>
      </c>
      <c r="G1365">
        <v>1</v>
      </c>
      <c r="H1365">
        <v>60</v>
      </c>
      <c r="I1365">
        <v>1075</v>
      </c>
      <c r="J1365">
        <v>1075</v>
      </c>
      <c r="K1365">
        <v>3.47</v>
      </c>
      <c r="L1365">
        <v>4</v>
      </c>
    </row>
    <row r="1366" spans="1:12">
      <c r="A1366">
        <v>7581</v>
      </c>
      <c r="B1366" s="63" t="s">
        <v>356</v>
      </c>
      <c r="C1366" s="63" t="s">
        <v>358</v>
      </c>
      <c r="D1366" s="63" t="s">
        <v>59</v>
      </c>
      <c r="E1366" s="63" t="s">
        <v>184</v>
      </c>
      <c r="F1366" s="63" t="s">
        <v>1416</v>
      </c>
      <c r="G1366">
        <v>1</v>
      </c>
      <c r="H1366">
        <v>1</v>
      </c>
      <c r="I1366">
        <v>18</v>
      </c>
      <c r="J1366">
        <v>18</v>
      </c>
      <c r="K1366">
        <v>3.18</v>
      </c>
      <c r="L1366">
        <v>4</v>
      </c>
    </row>
    <row r="1367" spans="1:12">
      <c r="A1367">
        <v>7590</v>
      </c>
      <c r="B1367" s="63" t="s">
        <v>519</v>
      </c>
      <c r="C1367" s="63" t="s">
        <v>873</v>
      </c>
      <c r="D1367" s="63" t="s">
        <v>59</v>
      </c>
      <c r="E1367" s="63" t="s">
        <v>2694</v>
      </c>
      <c r="F1367" s="63" t="s">
        <v>1565</v>
      </c>
      <c r="G1367">
        <v>1</v>
      </c>
      <c r="H1367">
        <v>60</v>
      </c>
      <c r="I1367">
        <v>360</v>
      </c>
      <c r="J1367">
        <v>7187</v>
      </c>
      <c r="K1367">
        <v>0.82</v>
      </c>
      <c r="L1367">
        <v>6</v>
      </c>
    </row>
    <row r="1368" spans="1:12">
      <c r="A1368">
        <v>7590</v>
      </c>
      <c r="B1368" s="63" t="s">
        <v>356</v>
      </c>
      <c r="C1368" s="63" t="s">
        <v>358</v>
      </c>
      <c r="D1368" s="63" t="s">
        <v>59</v>
      </c>
      <c r="E1368" s="63" t="s">
        <v>176</v>
      </c>
      <c r="F1368" s="63" t="s">
        <v>1933</v>
      </c>
      <c r="G1368">
        <v>1</v>
      </c>
      <c r="H1368">
        <v>60</v>
      </c>
      <c r="I1368">
        <v>1075</v>
      </c>
      <c r="J1368">
        <v>1075</v>
      </c>
      <c r="K1368">
        <v>0.5</v>
      </c>
      <c r="L1368">
        <v>4</v>
      </c>
    </row>
    <row r="1369" spans="1:12">
      <c r="A1369">
        <v>7590</v>
      </c>
      <c r="B1369" s="63" t="s">
        <v>356</v>
      </c>
      <c r="C1369" s="63" t="s">
        <v>358</v>
      </c>
      <c r="D1369" s="63" t="s">
        <v>59</v>
      </c>
      <c r="E1369" s="63" t="s">
        <v>177</v>
      </c>
      <c r="F1369" s="63" t="s">
        <v>2695</v>
      </c>
      <c r="G1369">
        <v>1</v>
      </c>
      <c r="H1369">
        <v>35</v>
      </c>
      <c r="I1369">
        <v>622</v>
      </c>
      <c r="J1369">
        <v>622</v>
      </c>
      <c r="K1369">
        <v>0.48</v>
      </c>
      <c r="L1369">
        <v>4</v>
      </c>
    </row>
    <row r="1370" spans="1:12">
      <c r="A1370">
        <v>8300</v>
      </c>
      <c r="B1370" s="63" t="s">
        <v>256</v>
      </c>
      <c r="C1370" s="63" t="s">
        <v>350</v>
      </c>
      <c r="D1370" s="63" t="s">
        <v>59</v>
      </c>
      <c r="E1370" s="63" t="s">
        <v>1074</v>
      </c>
      <c r="F1370" s="63" t="s">
        <v>1434</v>
      </c>
      <c r="G1370">
        <v>1</v>
      </c>
      <c r="H1370">
        <v>60</v>
      </c>
      <c r="I1370">
        <v>360</v>
      </c>
      <c r="J1370">
        <v>7200</v>
      </c>
      <c r="K1370">
        <v>1.65</v>
      </c>
      <c r="L1370">
        <v>2</v>
      </c>
    </row>
    <row r="1371" spans="1:12">
      <c r="A1371">
        <v>8300</v>
      </c>
      <c r="B1371" s="63" t="s">
        <v>256</v>
      </c>
      <c r="C1371" s="63" t="s">
        <v>350</v>
      </c>
      <c r="D1371" s="63" t="s">
        <v>59</v>
      </c>
      <c r="E1371" s="63" t="s">
        <v>1074</v>
      </c>
      <c r="F1371" s="63" t="s">
        <v>859</v>
      </c>
      <c r="G1371">
        <v>1</v>
      </c>
      <c r="H1371">
        <v>58</v>
      </c>
      <c r="I1371">
        <v>348</v>
      </c>
      <c r="J1371">
        <v>6960</v>
      </c>
      <c r="K1371">
        <v>11.2</v>
      </c>
      <c r="L1371">
        <v>3</v>
      </c>
    </row>
    <row r="1372" spans="1:12">
      <c r="A1372">
        <v>8300</v>
      </c>
      <c r="B1372" s="63" t="s">
        <v>256</v>
      </c>
      <c r="C1372" s="63" t="s">
        <v>350</v>
      </c>
      <c r="D1372" s="63" t="s">
        <v>59</v>
      </c>
      <c r="E1372" s="63" t="s">
        <v>1074</v>
      </c>
      <c r="F1372" s="63" t="s">
        <v>1803</v>
      </c>
      <c r="G1372">
        <v>1</v>
      </c>
      <c r="H1372">
        <v>60</v>
      </c>
      <c r="I1372">
        <v>360</v>
      </c>
      <c r="J1372">
        <v>7198</v>
      </c>
      <c r="K1372">
        <v>10.28</v>
      </c>
      <c r="L1372">
        <v>3</v>
      </c>
    </row>
    <row r="1373" spans="1:12">
      <c r="A1373">
        <v>8300</v>
      </c>
      <c r="B1373" s="63" t="s">
        <v>256</v>
      </c>
      <c r="C1373" s="63" t="s">
        <v>350</v>
      </c>
      <c r="D1373" s="63" t="s">
        <v>59</v>
      </c>
      <c r="E1373" s="63" t="s">
        <v>203</v>
      </c>
      <c r="F1373" s="63" t="s">
        <v>1809</v>
      </c>
      <c r="G1373">
        <v>1</v>
      </c>
      <c r="H1373">
        <v>60</v>
      </c>
      <c r="I1373">
        <v>360</v>
      </c>
      <c r="J1373">
        <v>7183</v>
      </c>
      <c r="K1373">
        <v>10.07</v>
      </c>
      <c r="L1373">
        <v>3</v>
      </c>
    </row>
    <row r="1374" spans="1:12">
      <c r="A1374">
        <v>8300</v>
      </c>
      <c r="B1374" s="63" t="s">
        <v>256</v>
      </c>
      <c r="C1374" s="63" t="s">
        <v>350</v>
      </c>
      <c r="D1374" s="63" t="s">
        <v>59</v>
      </c>
      <c r="E1374" s="63" t="s">
        <v>173</v>
      </c>
      <c r="F1374" s="63" t="s">
        <v>1722</v>
      </c>
      <c r="G1374">
        <v>1</v>
      </c>
      <c r="H1374">
        <v>60</v>
      </c>
      <c r="I1374">
        <v>360</v>
      </c>
      <c r="J1374">
        <v>7199</v>
      </c>
      <c r="K1374">
        <v>1.18</v>
      </c>
      <c r="L1374">
        <v>3</v>
      </c>
    </row>
    <row r="1375" spans="1:12">
      <c r="A1375">
        <v>8300</v>
      </c>
      <c r="B1375" s="63" t="s">
        <v>256</v>
      </c>
      <c r="C1375" s="63" t="s">
        <v>350</v>
      </c>
      <c r="D1375" s="63" t="s">
        <v>59</v>
      </c>
      <c r="E1375" s="63" t="s">
        <v>173</v>
      </c>
      <c r="F1375" s="63" t="s">
        <v>1945</v>
      </c>
      <c r="G1375">
        <v>1</v>
      </c>
      <c r="H1375">
        <v>60</v>
      </c>
      <c r="I1375">
        <v>360</v>
      </c>
      <c r="J1375">
        <v>7200</v>
      </c>
      <c r="K1375">
        <v>1.1299999999999999</v>
      </c>
      <c r="L1375">
        <v>3</v>
      </c>
    </row>
    <row r="1376" spans="1:12">
      <c r="A1376">
        <v>8300</v>
      </c>
      <c r="B1376" s="63" t="s">
        <v>256</v>
      </c>
      <c r="C1376" s="63" t="s">
        <v>350</v>
      </c>
      <c r="D1376" s="63" t="s">
        <v>59</v>
      </c>
      <c r="E1376" s="63" t="s">
        <v>173</v>
      </c>
      <c r="F1376" s="63" t="s">
        <v>2051</v>
      </c>
      <c r="G1376">
        <v>1</v>
      </c>
      <c r="H1376">
        <v>60</v>
      </c>
      <c r="I1376">
        <v>360</v>
      </c>
      <c r="J1376">
        <v>7199</v>
      </c>
      <c r="K1376">
        <v>7.7</v>
      </c>
      <c r="L1376">
        <v>3</v>
      </c>
    </row>
    <row r="1377" spans="1:12">
      <c r="A1377">
        <v>8300</v>
      </c>
      <c r="B1377" s="63" t="s">
        <v>256</v>
      </c>
      <c r="C1377" s="63" t="s">
        <v>350</v>
      </c>
      <c r="D1377" s="63" t="s">
        <v>59</v>
      </c>
      <c r="E1377" s="63" t="s">
        <v>173</v>
      </c>
      <c r="F1377" s="63" t="s">
        <v>1967</v>
      </c>
      <c r="G1377">
        <v>1</v>
      </c>
      <c r="H1377">
        <v>60</v>
      </c>
      <c r="I1377">
        <v>354</v>
      </c>
      <c r="J1377">
        <v>7076</v>
      </c>
      <c r="K1377">
        <v>1.1299999999999999</v>
      </c>
      <c r="L1377">
        <v>3</v>
      </c>
    </row>
    <row r="1378" spans="1:12">
      <c r="A1378">
        <v>8300</v>
      </c>
      <c r="B1378" s="63" t="s">
        <v>256</v>
      </c>
      <c r="C1378" s="63" t="s">
        <v>350</v>
      </c>
      <c r="D1378" s="63" t="s">
        <v>59</v>
      </c>
      <c r="E1378" s="63" t="s">
        <v>174</v>
      </c>
      <c r="F1378" s="63" t="s">
        <v>1068</v>
      </c>
      <c r="G1378">
        <v>1</v>
      </c>
      <c r="H1378">
        <v>60</v>
      </c>
      <c r="I1378">
        <v>360</v>
      </c>
      <c r="J1378">
        <v>7200</v>
      </c>
      <c r="K1378">
        <v>7.23</v>
      </c>
      <c r="L1378">
        <v>2</v>
      </c>
    </row>
    <row r="1379" spans="1:12">
      <c r="A1379">
        <v>8300</v>
      </c>
      <c r="B1379" s="63" t="s">
        <v>256</v>
      </c>
      <c r="C1379" s="63" t="s">
        <v>350</v>
      </c>
      <c r="D1379" s="63" t="s">
        <v>59</v>
      </c>
      <c r="E1379" s="63" t="s">
        <v>174</v>
      </c>
      <c r="F1379" s="63" t="s">
        <v>481</v>
      </c>
      <c r="G1379">
        <v>1</v>
      </c>
      <c r="H1379">
        <v>60</v>
      </c>
      <c r="I1379">
        <v>360</v>
      </c>
      <c r="J1379">
        <v>7198</v>
      </c>
      <c r="K1379">
        <v>7.7</v>
      </c>
      <c r="L1379">
        <v>3</v>
      </c>
    </row>
    <row r="1380" spans="1:12">
      <c r="A1380">
        <v>8300</v>
      </c>
      <c r="B1380" s="63" t="s">
        <v>256</v>
      </c>
      <c r="C1380" s="63" t="s">
        <v>350</v>
      </c>
      <c r="D1380" s="63" t="s">
        <v>59</v>
      </c>
      <c r="E1380" s="63" t="s">
        <v>174</v>
      </c>
      <c r="F1380" s="63" t="s">
        <v>2036</v>
      </c>
      <c r="G1380">
        <v>1</v>
      </c>
      <c r="H1380">
        <v>60</v>
      </c>
      <c r="I1380">
        <v>360</v>
      </c>
      <c r="J1380">
        <v>7200</v>
      </c>
      <c r="K1380">
        <v>6.82</v>
      </c>
      <c r="L1380">
        <v>3</v>
      </c>
    </row>
    <row r="1381" spans="1:12">
      <c r="A1381">
        <v>8300</v>
      </c>
      <c r="B1381" s="63" t="s">
        <v>256</v>
      </c>
      <c r="C1381" s="63" t="s">
        <v>350</v>
      </c>
      <c r="D1381" s="63" t="s">
        <v>59</v>
      </c>
      <c r="E1381" s="63" t="s">
        <v>174</v>
      </c>
      <c r="F1381" s="63" t="s">
        <v>1479</v>
      </c>
      <c r="G1381">
        <v>1</v>
      </c>
      <c r="H1381">
        <v>60</v>
      </c>
      <c r="I1381">
        <v>360</v>
      </c>
      <c r="J1381">
        <v>7200</v>
      </c>
      <c r="K1381">
        <v>4.47</v>
      </c>
      <c r="L1381">
        <v>2</v>
      </c>
    </row>
    <row r="1382" spans="1:12">
      <c r="A1382">
        <v>8300</v>
      </c>
      <c r="B1382" s="63" t="s">
        <v>256</v>
      </c>
      <c r="C1382" s="63" t="s">
        <v>350</v>
      </c>
      <c r="D1382" s="63" t="s">
        <v>59</v>
      </c>
      <c r="E1382" s="63" t="s">
        <v>175</v>
      </c>
      <c r="F1382" s="63" t="s">
        <v>1291</v>
      </c>
      <c r="G1382">
        <v>1</v>
      </c>
      <c r="H1382">
        <v>60</v>
      </c>
      <c r="I1382">
        <v>360</v>
      </c>
      <c r="J1382">
        <v>7199</v>
      </c>
      <c r="K1382">
        <v>13.57</v>
      </c>
      <c r="L1382">
        <v>3</v>
      </c>
    </row>
    <row r="1383" spans="1:12">
      <c r="A1383">
        <v>8300</v>
      </c>
      <c r="B1383" s="63" t="s">
        <v>256</v>
      </c>
      <c r="C1383" s="63" t="s">
        <v>373</v>
      </c>
      <c r="D1383" s="63" t="s">
        <v>59</v>
      </c>
      <c r="E1383" s="63" t="s">
        <v>173</v>
      </c>
      <c r="F1383" s="63" t="s">
        <v>1972</v>
      </c>
      <c r="G1383">
        <v>1</v>
      </c>
      <c r="H1383">
        <v>60</v>
      </c>
      <c r="I1383">
        <v>360</v>
      </c>
      <c r="J1383">
        <v>7200</v>
      </c>
      <c r="K1383">
        <v>10.07</v>
      </c>
      <c r="L1383">
        <v>3</v>
      </c>
    </row>
    <row r="1384" spans="1:12">
      <c r="A1384">
        <v>8300</v>
      </c>
      <c r="B1384" s="63" t="s">
        <v>256</v>
      </c>
      <c r="C1384" s="63" t="s">
        <v>373</v>
      </c>
      <c r="D1384" s="63" t="s">
        <v>59</v>
      </c>
      <c r="E1384" s="63" t="s">
        <v>173</v>
      </c>
      <c r="F1384" s="63" t="s">
        <v>1667</v>
      </c>
      <c r="G1384">
        <v>1</v>
      </c>
      <c r="H1384">
        <v>60</v>
      </c>
      <c r="I1384">
        <v>360</v>
      </c>
      <c r="J1384">
        <v>7200</v>
      </c>
      <c r="K1384">
        <v>1.1499999999999999</v>
      </c>
      <c r="L1384">
        <v>3</v>
      </c>
    </row>
    <row r="1385" spans="1:12">
      <c r="A1385">
        <v>8300</v>
      </c>
      <c r="B1385" s="63" t="s">
        <v>256</v>
      </c>
      <c r="C1385" s="63" t="s">
        <v>373</v>
      </c>
      <c r="D1385" s="63" t="s">
        <v>59</v>
      </c>
      <c r="E1385" s="63" t="s">
        <v>173</v>
      </c>
      <c r="F1385" s="63" t="s">
        <v>1027</v>
      </c>
      <c r="G1385">
        <v>1</v>
      </c>
      <c r="H1385">
        <v>60</v>
      </c>
      <c r="I1385">
        <v>360</v>
      </c>
      <c r="J1385">
        <v>7200</v>
      </c>
      <c r="K1385">
        <v>10.050000000000001</v>
      </c>
      <c r="L1385">
        <v>3</v>
      </c>
    </row>
    <row r="1386" spans="1:12">
      <c r="A1386">
        <v>8300</v>
      </c>
      <c r="B1386" s="63" t="s">
        <v>256</v>
      </c>
      <c r="C1386" s="63" t="s">
        <v>373</v>
      </c>
      <c r="D1386" s="63" t="s">
        <v>59</v>
      </c>
      <c r="E1386" s="63" t="s">
        <v>173</v>
      </c>
      <c r="F1386" s="63" t="s">
        <v>2027</v>
      </c>
      <c r="G1386">
        <v>1</v>
      </c>
      <c r="H1386">
        <v>60</v>
      </c>
      <c r="I1386">
        <v>360</v>
      </c>
      <c r="J1386">
        <v>7200</v>
      </c>
      <c r="K1386">
        <v>7.7</v>
      </c>
      <c r="L1386">
        <v>2</v>
      </c>
    </row>
    <row r="1387" spans="1:12">
      <c r="A1387">
        <v>8300</v>
      </c>
      <c r="B1387" s="63" t="s">
        <v>256</v>
      </c>
      <c r="C1387" s="63" t="s">
        <v>373</v>
      </c>
      <c r="D1387" s="63" t="s">
        <v>59</v>
      </c>
      <c r="E1387" s="63" t="s">
        <v>173</v>
      </c>
      <c r="F1387" s="63" t="s">
        <v>1976</v>
      </c>
      <c r="G1387">
        <v>1</v>
      </c>
      <c r="H1387">
        <v>60</v>
      </c>
      <c r="I1387">
        <v>360</v>
      </c>
      <c r="J1387">
        <v>7199</v>
      </c>
      <c r="K1387">
        <v>13.83</v>
      </c>
      <c r="L1387">
        <v>3</v>
      </c>
    </row>
    <row r="1388" spans="1:12">
      <c r="A1388">
        <v>8300</v>
      </c>
      <c r="B1388" s="63" t="s">
        <v>256</v>
      </c>
      <c r="C1388" s="63" t="s">
        <v>373</v>
      </c>
      <c r="D1388" s="63" t="s">
        <v>59</v>
      </c>
      <c r="E1388" s="63" t="s">
        <v>173</v>
      </c>
      <c r="F1388" s="63" t="s">
        <v>1406</v>
      </c>
      <c r="G1388">
        <v>1</v>
      </c>
      <c r="H1388">
        <v>60</v>
      </c>
      <c r="I1388">
        <v>360</v>
      </c>
      <c r="J1388">
        <v>7200</v>
      </c>
      <c r="K1388">
        <v>4.33</v>
      </c>
      <c r="L1388">
        <v>3</v>
      </c>
    </row>
    <row r="1389" spans="1:12">
      <c r="A1389">
        <v>8300</v>
      </c>
      <c r="B1389" s="63" t="s">
        <v>256</v>
      </c>
      <c r="C1389" s="63" t="s">
        <v>373</v>
      </c>
      <c r="D1389" s="63" t="s">
        <v>59</v>
      </c>
      <c r="E1389" s="63" t="s">
        <v>173</v>
      </c>
      <c r="F1389" s="63" t="s">
        <v>1528</v>
      </c>
      <c r="G1389">
        <v>1</v>
      </c>
      <c r="H1389">
        <v>60</v>
      </c>
      <c r="I1389">
        <v>360</v>
      </c>
      <c r="J1389">
        <v>7200</v>
      </c>
      <c r="K1389">
        <v>1.1499999999999999</v>
      </c>
      <c r="L1389">
        <v>3</v>
      </c>
    </row>
    <row r="1390" spans="1:12">
      <c r="A1390">
        <v>8300</v>
      </c>
      <c r="B1390" s="63" t="s">
        <v>256</v>
      </c>
      <c r="C1390" s="63" t="s">
        <v>373</v>
      </c>
      <c r="D1390" s="63" t="s">
        <v>59</v>
      </c>
      <c r="E1390" s="63" t="s">
        <v>173</v>
      </c>
      <c r="F1390" s="63" t="s">
        <v>462</v>
      </c>
      <c r="G1390">
        <v>1</v>
      </c>
      <c r="H1390">
        <v>60</v>
      </c>
      <c r="I1390">
        <v>360</v>
      </c>
      <c r="J1390">
        <v>7200</v>
      </c>
      <c r="K1390">
        <v>5.22</v>
      </c>
      <c r="L1390">
        <v>3</v>
      </c>
    </row>
    <row r="1391" spans="1:12">
      <c r="A1391">
        <v>8300</v>
      </c>
      <c r="B1391" s="63" t="s">
        <v>256</v>
      </c>
      <c r="C1391" s="63" t="s">
        <v>373</v>
      </c>
      <c r="D1391" s="63" t="s">
        <v>59</v>
      </c>
      <c r="E1391" s="63" t="s">
        <v>174</v>
      </c>
      <c r="F1391" s="63" t="s">
        <v>412</v>
      </c>
      <c r="G1391">
        <v>1</v>
      </c>
      <c r="H1391">
        <v>60</v>
      </c>
      <c r="I1391">
        <v>360</v>
      </c>
      <c r="J1391">
        <v>7199</v>
      </c>
      <c r="K1391">
        <v>1.23</v>
      </c>
      <c r="L1391">
        <v>3</v>
      </c>
    </row>
    <row r="1392" spans="1:12">
      <c r="A1392">
        <v>8300</v>
      </c>
      <c r="B1392" s="63" t="s">
        <v>256</v>
      </c>
      <c r="C1392" s="63" t="s">
        <v>373</v>
      </c>
      <c r="D1392" s="63" t="s">
        <v>59</v>
      </c>
      <c r="E1392" s="63" t="s">
        <v>174</v>
      </c>
      <c r="F1392" s="63" t="s">
        <v>475</v>
      </c>
      <c r="G1392">
        <v>1</v>
      </c>
      <c r="H1392">
        <v>60</v>
      </c>
      <c r="I1392">
        <v>360</v>
      </c>
      <c r="J1392">
        <v>7200</v>
      </c>
      <c r="K1392">
        <v>1.18</v>
      </c>
      <c r="L1392">
        <v>2</v>
      </c>
    </row>
    <row r="1393" spans="1:12">
      <c r="A1393">
        <v>8300</v>
      </c>
      <c r="B1393" s="63" t="s">
        <v>256</v>
      </c>
      <c r="C1393" s="63" t="s">
        <v>373</v>
      </c>
      <c r="D1393" s="63" t="s">
        <v>59</v>
      </c>
      <c r="E1393" s="63" t="s">
        <v>174</v>
      </c>
      <c r="F1393" s="63" t="s">
        <v>1516</v>
      </c>
      <c r="G1393">
        <v>1</v>
      </c>
      <c r="H1393">
        <v>60</v>
      </c>
      <c r="I1393">
        <v>360</v>
      </c>
      <c r="J1393">
        <v>7200</v>
      </c>
      <c r="K1393">
        <v>1.07</v>
      </c>
      <c r="L1393">
        <v>3</v>
      </c>
    </row>
    <row r="1394" spans="1:12">
      <c r="A1394">
        <v>8300</v>
      </c>
      <c r="B1394" s="63" t="s">
        <v>256</v>
      </c>
      <c r="C1394" s="63" t="s">
        <v>373</v>
      </c>
      <c r="D1394" s="63" t="s">
        <v>59</v>
      </c>
      <c r="E1394" s="63" t="s">
        <v>184</v>
      </c>
      <c r="F1394" s="63" t="s">
        <v>2071</v>
      </c>
      <c r="G1394">
        <v>1</v>
      </c>
      <c r="H1394">
        <v>60</v>
      </c>
      <c r="I1394">
        <v>360</v>
      </c>
      <c r="J1394">
        <v>7200</v>
      </c>
      <c r="K1394">
        <v>10.050000000000001</v>
      </c>
      <c r="L1394">
        <v>3</v>
      </c>
    </row>
    <row r="1395" spans="1:12">
      <c r="A1395">
        <v>8300</v>
      </c>
      <c r="B1395" s="63" t="s">
        <v>377</v>
      </c>
      <c r="C1395" s="63" t="s">
        <v>378</v>
      </c>
      <c r="D1395" s="63" t="s">
        <v>59</v>
      </c>
      <c r="E1395" s="63" t="s">
        <v>175</v>
      </c>
      <c r="F1395" s="63" t="s">
        <v>1407</v>
      </c>
      <c r="G1395">
        <v>1</v>
      </c>
      <c r="H1395">
        <v>17</v>
      </c>
      <c r="I1395">
        <v>407</v>
      </c>
      <c r="J1395">
        <v>407</v>
      </c>
      <c r="K1395">
        <v>1217.73</v>
      </c>
      <c r="L1395">
        <v>52</v>
      </c>
    </row>
    <row r="1396" spans="1:12">
      <c r="A1396">
        <v>8300</v>
      </c>
      <c r="B1396" s="63" t="s">
        <v>408</v>
      </c>
      <c r="C1396" s="63" t="s">
        <v>2571</v>
      </c>
      <c r="D1396" s="63" t="s">
        <v>59</v>
      </c>
      <c r="E1396" s="63" t="s">
        <v>203</v>
      </c>
      <c r="F1396" s="63" t="s">
        <v>2045</v>
      </c>
      <c r="G1396">
        <v>1</v>
      </c>
      <c r="H1396">
        <v>60</v>
      </c>
      <c r="I1396">
        <v>1200</v>
      </c>
      <c r="J1396">
        <v>1200</v>
      </c>
      <c r="K1396">
        <v>1.05</v>
      </c>
      <c r="L1396">
        <v>3</v>
      </c>
    </row>
    <row r="1397" spans="1:12">
      <c r="A1397">
        <v>8300</v>
      </c>
      <c r="B1397" s="63" t="s">
        <v>408</v>
      </c>
      <c r="C1397" s="63" t="s">
        <v>2571</v>
      </c>
      <c r="D1397" s="63" t="s">
        <v>59</v>
      </c>
      <c r="E1397" s="63" t="s">
        <v>203</v>
      </c>
      <c r="F1397" s="63" t="s">
        <v>1531</v>
      </c>
      <c r="G1397">
        <v>1</v>
      </c>
      <c r="H1397">
        <v>42</v>
      </c>
      <c r="I1397">
        <v>839</v>
      </c>
      <c r="J1397">
        <v>839</v>
      </c>
      <c r="K1397">
        <v>2.87</v>
      </c>
      <c r="L1397">
        <v>3</v>
      </c>
    </row>
    <row r="1398" spans="1:12">
      <c r="A1398">
        <v>8300</v>
      </c>
      <c r="B1398" s="63" t="s">
        <v>408</v>
      </c>
      <c r="C1398" s="63" t="s">
        <v>2571</v>
      </c>
      <c r="D1398" s="63" t="s">
        <v>59</v>
      </c>
      <c r="E1398" s="63" t="s">
        <v>203</v>
      </c>
      <c r="F1398" s="63" t="s">
        <v>368</v>
      </c>
      <c r="G1398">
        <v>1</v>
      </c>
      <c r="H1398">
        <v>60</v>
      </c>
      <c r="I1398">
        <v>1174</v>
      </c>
      <c r="J1398">
        <v>1174</v>
      </c>
      <c r="K1398">
        <v>0.55000000000000004</v>
      </c>
      <c r="L1398">
        <v>4</v>
      </c>
    </row>
    <row r="1399" spans="1:12">
      <c r="A1399">
        <v>8300</v>
      </c>
      <c r="B1399" s="63" t="s">
        <v>408</v>
      </c>
      <c r="C1399" s="63" t="s">
        <v>2571</v>
      </c>
      <c r="D1399" s="63" t="s">
        <v>59</v>
      </c>
      <c r="E1399" s="63" t="s">
        <v>203</v>
      </c>
      <c r="F1399" s="63" t="s">
        <v>1477</v>
      </c>
      <c r="G1399">
        <v>1</v>
      </c>
      <c r="H1399">
        <v>60</v>
      </c>
      <c r="I1399">
        <v>1197</v>
      </c>
      <c r="J1399">
        <v>1197</v>
      </c>
      <c r="K1399">
        <v>2.4500000000000002</v>
      </c>
      <c r="L1399">
        <v>3</v>
      </c>
    </row>
    <row r="1400" spans="1:12">
      <c r="A1400">
        <v>8300</v>
      </c>
      <c r="B1400" s="63" t="s">
        <v>408</v>
      </c>
      <c r="C1400" s="63" t="s">
        <v>2571</v>
      </c>
      <c r="D1400" s="63" t="s">
        <v>59</v>
      </c>
      <c r="E1400" s="63" t="s">
        <v>203</v>
      </c>
      <c r="F1400" s="63" t="s">
        <v>1817</v>
      </c>
      <c r="G1400">
        <v>1</v>
      </c>
      <c r="H1400">
        <v>60</v>
      </c>
      <c r="I1400">
        <v>1170</v>
      </c>
      <c r="J1400">
        <v>1170</v>
      </c>
      <c r="K1400">
        <v>2.0299999999999998</v>
      </c>
      <c r="L1400">
        <v>4</v>
      </c>
    </row>
    <row r="1401" spans="1:12">
      <c r="A1401">
        <v>8300</v>
      </c>
      <c r="B1401" s="63" t="s">
        <v>408</v>
      </c>
      <c r="C1401" s="63" t="s">
        <v>2573</v>
      </c>
      <c r="D1401" s="63" t="s">
        <v>59</v>
      </c>
      <c r="E1401" s="63" t="s">
        <v>203</v>
      </c>
      <c r="F1401" s="63" t="s">
        <v>1385</v>
      </c>
      <c r="G1401">
        <v>1</v>
      </c>
      <c r="H1401">
        <v>60</v>
      </c>
      <c r="I1401">
        <v>1171</v>
      </c>
      <c r="J1401">
        <v>1171</v>
      </c>
      <c r="K1401">
        <v>0.57999999999999996</v>
      </c>
      <c r="L1401">
        <v>4</v>
      </c>
    </row>
    <row r="1402" spans="1:12">
      <c r="A1402">
        <v>8300</v>
      </c>
      <c r="B1402" s="63" t="s">
        <v>408</v>
      </c>
      <c r="C1402" s="63" t="s">
        <v>2573</v>
      </c>
      <c r="D1402" s="63" t="s">
        <v>59</v>
      </c>
      <c r="E1402" s="63" t="s">
        <v>203</v>
      </c>
      <c r="F1402" s="63" t="s">
        <v>1983</v>
      </c>
      <c r="G1402">
        <v>1</v>
      </c>
      <c r="H1402">
        <v>60</v>
      </c>
      <c r="I1402">
        <v>1199</v>
      </c>
      <c r="J1402">
        <v>1199</v>
      </c>
      <c r="K1402">
        <v>1.95</v>
      </c>
      <c r="L1402">
        <v>3</v>
      </c>
    </row>
    <row r="1403" spans="1:12">
      <c r="A1403">
        <v>8300</v>
      </c>
      <c r="B1403" s="63" t="s">
        <v>408</v>
      </c>
      <c r="C1403" s="63" t="s">
        <v>2573</v>
      </c>
      <c r="D1403" s="63" t="s">
        <v>59</v>
      </c>
      <c r="E1403" s="63" t="s">
        <v>203</v>
      </c>
      <c r="F1403" s="63" t="s">
        <v>1304</v>
      </c>
      <c r="G1403">
        <v>1</v>
      </c>
      <c r="H1403">
        <v>60</v>
      </c>
      <c r="I1403">
        <v>1200</v>
      </c>
      <c r="J1403">
        <v>1200</v>
      </c>
      <c r="K1403">
        <v>1.42</v>
      </c>
      <c r="L1403">
        <v>4</v>
      </c>
    </row>
    <row r="1404" spans="1:12">
      <c r="A1404">
        <v>8300</v>
      </c>
      <c r="B1404" s="63" t="s">
        <v>408</v>
      </c>
      <c r="C1404" s="63" t="s">
        <v>2573</v>
      </c>
      <c r="D1404" s="63" t="s">
        <v>59</v>
      </c>
      <c r="E1404" s="63" t="s">
        <v>203</v>
      </c>
      <c r="F1404" s="63" t="s">
        <v>1231</v>
      </c>
      <c r="G1404">
        <v>1</v>
      </c>
      <c r="H1404">
        <v>60</v>
      </c>
      <c r="I1404">
        <v>1199</v>
      </c>
      <c r="J1404">
        <v>1199</v>
      </c>
      <c r="K1404">
        <v>0.32</v>
      </c>
      <c r="L1404">
        <v>4</v>
      </c>
    </row>
    <row r="1405" spans="1:12">
      <c r="A1405">
        <v>8300</v>
      </c>
      <c r="B1405" s="63" t="s">
        <v>408</v>
      </c>
      <c r="C1405" s="63" t="s">
        <v>2573</v>
      </c>
      <c r="D1405" s="63" t="s">
        <v>59</v>
      </c>
      <c r="E1405" s="63" t="s">
        <v>203</v>
      </c>
      <c r="F1405" s="63" t="s">
        <v>1219</v>
      </c>
      <c r="G1405">
        <v>1</v>
      </c>
      <c r="H1405">
        <v>60</v>
      </c>
      <c r="I1405">
        <v>1196</v>
      </c>
      <c r="J1405">
        <v>1196</v>
      </c>
      <c r="K1405">
        <v>0.77</v>
      </c>
      <c r="L1405">
        <v>4</v>
      </c>
    </row>
    <row r="1406" spans="1:12">
      <c r="A1406">
        <v>8300</v>
      </c>
      <c r="B1406" s="63" t="s">
        <v>408</v>
      </c>
      <c r="C1406" s="63" t="s">
        <v>2573</v>
      </c>
      <c r="D1406" s="63" t="s">
        <v>59</v>
      </c>
      <c r="E1406" s="63" t="s">
        <v>203</v>
      </c>
      <c r="F1406" s="63" t="s">
        <v>1539</v>
      </c>
      <c r="G1406">
        <v>1</v>
      </c>
      <c r="H1406">
        <v>60</v>
      </c>
      <c r="I1406">
        <v>1200</v>
      </c>
      <c r="J1406">
        <v>1200</v>
      </c>
      <c r="K1406">
        <v>1.62</v>
      </c>
      <c r="L1406">
        <v>3</v>
      </c>
    </row>
    <row r="1407" spans="1:12">
      <c r="A1407">
        <v>8300</v>
      </c>
      <c r="B1407" s="63" t="s">
        <v>408</v>
      </c>
      <c r="C1407" s="63" t="s">
        <v>2573</v>
      </c>
      <c r="D1407" s="63" t="s">
        <v>59</v>
      </c>
      <c r="E1407" s="63" t="s">
        <v>203</v>
      </c>
      <c r="F1407" s="63" t="s">
        <v>1993</v>
      </c>
      <c r="G1407">
        <v>1</v>
      </c>
      <c r="H1407">
        <v>18</v>
      </c>
      <c r="I1407">
        <v>355</v>
      </c>
      <c r="J1407">
        <v>355</v>
      </c>
      <c r="K1407">
        <v>2.4500000000000002</v>
      </c>
      <c r="L1407">
        <v>4</v>
      </c>
    </row>
    <row r="1408" spans="1:12">
      <c r="A1408">
        <v>8300</v>
      </c>
      <c r="B1408" s="63" t="s">
        <v>408</v>
      </c>
      <c r="C1408" s="63" t="s">
        <v>2573</v>
      </c>
      <c r="D1408" s="63" t="s">
        <v>59</v>
      </c>
      <c r="E1408" s="63" t="s">
        <v>203</v>
      </c>
      <c r="F1408" s="63" t="s">
        <v>2696</v>
      </c>
      <c r="G1408">
        <v>1</v>
      </c>
      <c r="H1408">
        <v>60</v>
      </c>
      <c r="I1408">
        <v>1199</v>
      </c>
      <c r="J1408">
        <v>1199</v>
      </c>
      <c r="K1408">
        <v>2.1</v>
      </c>
      <c r="L1408">
        <v>3</v>
      </c>
    </row>
    <row r="1409" spans="1:12">
      <c r="A1409">
        <v>8300</v>
      </c>
      <c r="B1409" s="63" t="s">
        <v>408</v>
      </c>
      <c r="C1409" s="63" t="s">
        <v>2573</v>
      </c>
      <c r="D1409" s="63" t="s">
        <v>59</v>
      </c>
      <c r="E1409" s="63" t="s">
        <v>203</v>
      </c>
      <c r="F1409" s="63" t="s">
        <v>1726</v>
      </c>
      <c r="G1409">
        <v>1</v>
      </c>
      <c r="H1409">
        <v>60</v>
      </c>
      <c r="I1409">
        <v>1194</v>
      </c>
      <c r="J1409">
        <v>1194</v>
      </c>
      <c r="K1409">
        <v>1.1000000000000001</v>
      </c>
      <c r="L1409">
        <v>4</v>
      </c>
    </row>
    <row r="1410" spans="1:12">
      <c r="A1410">
        <v>8300</v>
      </c>
      <c r="B1410" s="63" t="s">
        <v>408</v>
      </c>
      <c r="C1410" s="63" t="s">
        <v>2573</v>
      </c>
      <c r="D1410" s="63" t="s">
        <v>59</v>
      </c>
      <c r="E1410" s="63" t="s">
        <v>203</v>
      </c>
      <c r="F1410" s="63" t="s">
        <v>984</v>
      </c>
      <c r="G1410">
        <v>1</v>
      </c>
      <c r="H1410">
        <v>60</v>
      </c>
      <c r="I1410">
        <v>1174</v>
      </c>
      <c r="J1410">
        <v>1174</v>
      </c>
      <c r="K1410">
        <v>0.93</v>
      </c>
      <c r="L1410">
        <v>4</v>
      </c>
    </row>
    <row r="1411" spans="1:12">
      <c r="A1411">
        <v>8300</v>
      </c>
      <c r="B1411" s="63" t="s">
        <v>408</v>
      </c>
      <c r="C1411" s="63" t="s">
        <v>2573</v>
      </c>
      <c r="D1411" s="63" t="s">
        <v>59</v>
      </c>
      <c r="E1411" s="63" t="s">
        <v>174</v>
      </c>
      <c r="F1411" s="63" t="s">
        <v>1969</v>
      </c>
      <c r="G1411">
        <v>1</v>
      </c>
      <c r="H1411">
        <v>60</v>
      </c>
      <c r="I1411">
        <v>1192</v>
      </c>
      <c r="J1411">
        <v>1192</v>
      </c>
      <c r="K1411">
        <v>0.22</v>
      </c>
      <c r="L1411">
        <v>4</v>
      </c>
    </row>
    <row r="1412" spans="1:12">
      <c r="A1412">
        <v>8300</v>
      </c>
      <c r="B1412" s="63" t="s">
        <v>334</v>
      </c>
      <c r="C1412" s="63" t="s">
        <v>1177</v>
      </c>
      <c r="D1412" s="63" t="s">
        <v>365</v>
      </c>
      <c r="E1412" s="63" t="s">
        <v>203</v>
      </c>
      <c r="F1412" s="63" t="s">
        <v>1222</v>
      </c>
      <c r="G1412">
        <v>1</v>
      </c>
      <c r="H1412">
        <v>1</v>
      </c>
      <c r="I1412">
        <v>6</v>
      </c>
      <c r="J1412">
        <v>6</v>
      </c>
      <c r="K1412">
        <v>94.12</v>
      </c>
      <c r="L1412">
        <v>4</v>
      </c>
    </row>
    <row r="1413" spans="1:12">
      <c r="A1413">
        <v>8300</v>
      </c>
      <c r="B1413" s="63" t="s">
        <v>334</v>
      </c>
      <c r="C1413" s="63" t="s">
        <v>1725</v>
      </c>
      <c r="D1413" s="63" t="s">
        <v>305</v>
      </c>
      <c r="E1413" s="63" t="s">
        <v>172</v>
      </c>
      <c r="F1413" s="63" t="s">
        <v>1603</v>
      </c>
      <c r="G1413">
        <v>1</v>
      </c>
      <c r="H1413">
        <v>51</v>
      </c>
      <c r="I1413">
        <v>306</v>
      </c>
      <c r="J1413">
        <v>306</v>
      </c>
      <c r="K1413">
        <v>123.87</v>
      </c>
      <c r="L1413">
        <v>10</v>
      </c>
    </row>
    <row r="1414" spans="1:12">
      <c r="A1414">
        <v>8300</v>
      </c>
      <c r="B1414" s="63" t="s">
        <v>334</v>
      </c>
      <c r="C1414" s="63" t="s">
        <v>1725</v>
      </c>
      <c r="D1414" s="63" t="s">
        <v>59</v>
      </c>
      <c r="E1414" s="63" t="s">
        <v>185</v>
      </c>
      <c r="F1414" s="63" t="s">
        <v>1458</v>
      </c>
      <c r="G1414">
        <v>1</v>
      </c>
      <c r="H1414">
        <v>60</v>
      </c>
      <c r="I1414">
        <v>356</v>
      </c>
      <c r="J1414">
        <v>356</v>
      </c>
      <c r="K1414">
        <v>14.35</v>
      </c>
      <c r="L1414">
        <v>4</v>
      </c>
    </row>
    <row r="1415" spans="1:12">
      <c r="A1415">
        <v>8300</v>
      </c>
      <c r="B1415" s="63" t="s">
        <v>334</v>
      </c>
      <c r="C1415" s="63" t="s">
        <v>1725</v>
      </c>
      <c r="D1415" s="63" t="s">
        <v>59</v>
      </c>
      <c r="E1415" s="63" t="s">
        <v>172</v>
      </c>
      <c r="F1415" s="63" t="s">
        <v>1511</v>
      </c>
      <c r="G1415">
        <v>1</v>
      </c>
      <c r="H1415">
        <v>60</v>
      </c>
      <c r="I1415">
        <v>360</v>
      </c>
      <c r="J1415">
        <v>360</v>
      </c>
      <c r="K1415">
        <v>46.73</v>
      </c>
      <c r="L1415">
        <v>4</v>
      </c>
    </row>
    <row r="1416" spans="1:12">
      <c r="A1416">
        <v>8300</v>
      </c>
      <c r="B1416" s="63" t="s">
        <v>334</v>
      </c>
      <c r="C1416" s="63" t="s">
        <v>1725</v>
      </c>
      <c r="D1416" s="63" t="s">
        <v>59</v>
      </c>
      <c r="E1416" s="63" t="s">
        <v>172</v>
      </c>
      <c r="F1416" s="63" t="s">
        <v>1529</v>
      </c>
      <c r="G1416">
        <v>1</v>
      </c>
      <c r="H1416">
        <v>60</v>
      </c>
      <c r="I1416">
        <v>360</v>
      </c>
      <c r="J1416">
        <v>360</v>
      </c>
      <c r="K1416">
        <v>42.03</v>
      </c>
      <c r="L1416">
        <v>3</v>
      </c>
    </row>
    <row r="1417" spans="1:12">
      <c r="A1417">
        <v>8300</v>
      </c>
      <c r="B1417" s="63" t="s">
        <v>334</v>
      </c>
      <c r="C1417" s="63" t="s">
        <v>1725</v>
      </c>
      <c r="D1417" s="63" t="s">
        <v>59</v>
      </c>
      <c r="E1417" s="63" t="s">
        <v>172</v>
      </c>
      <c r="F1417" s="63" t="s">
        <v>2009</v>
      </c>
      <c r="G1417">
        <v>1</v>
      </c>
      <c r="H1417">
        <v>60</v>
      </c>
      <c r="I1417">
        <v>360</v>
      </c>
      <c r="J1417">
        <v>360</v>
      </c>
      <c r="K1417">
        <v>76.02</v>
      </c>
      <c r="L1417">
        <v>4</v>
      </c>
    </row>
    <row r="1418" spans="1:12">
      <c r="A1418">
        <v>8300</v>
      </c>
      <c r="B1418" s="63" t="s">
        <v>334</v>
      </c>
      <c r="C1418" s="63" t="s">
        <v>1725</v>
      </c>
      <c r="D1418" s="63" t="s">
        <v>59</v>
      </c>
      <c r="E1418" s="63" t="s">
        <v>172</v>
      </c>
      <c r="F1418" s="63" t="s">
        <v>2017</v>
      </c>
      <c r="G1418">
        <v>1</v>
      </c>
      <c r="H1418">
        <v>60</v>
      </c>
      <c r="I1418">
        <v>343</v>
      </c>
      <c r="J1418">
        <v>343</v>
      </c>
      <c r="K1418">
        <v>15.97</v>
      </c>
      <c r="L1418">
        <v>5</v>
      </c>
    </row>
    <row r="1419" spans="1:12">
      <c r="A1419">
        <v>8300</v>
      </c>
      <c r="B1419" s="63" t="s">
        <v>334</v>
      </c>
      <c r="C1419" s="63" t="s">
        <v>1725</v>
      </c>
      <c r="D1419" s="63" t="s">
        <v>59</v>
      </c>
      <c r="E1419" s="63" t="s">
        <v>203</v>
      </c>
      <c r="F1419" s="63" t="s">
        <v>2697</v>
      </c>
      <c r="G1419">
        <v>1</v>
      </c>
      <c r="H1419">
        <v>60</v>
      </c>
      <c r="I1419">
        <v>360</v>
      </c>
      <c r="J1419">
        <v>360</v>
      </c>
      <c r="K1419">
        <v>69.53</v>
      </c>
      <c r="L1419">
        <v>4</v>
      </c>
    </row>
    <row r="1420" spans="1:12">
      <c r="A1420">
        <v>8300</v>
      </c>
      <c r="B1420" s="63" t="s">
        <v>334</v>
      </c>
      <c r="C1420" s="63" t="s">
        <v>1725</v>
      </c>
      <c r="D1420" s="63" t="s">
        <v>59</v>
      </c>
      <c r="E1420" s="63" t="s">
        <v>203</v>
      </c>
      <c r="F1420" s="63" t="s">
        <v>1106</v>
      </c>
      <c r="G1420">
        <v>1</v>
      </c>
      <c r="H1420">
        <v>60</v>
      </c>
      <c r="I1420">
        <v>360</v>
      </c>
      <c r="J1420">
        <v>360</v>
      </c>
      <c r="K1420">
        <v>50.4</v>
      </c>
      <c r="L1420">
        <v>4</v>
      </c>
    </row>
    <row r="1421" spans="1:12">
      <c r="A1421">
        <v>8300</v>
      </c>
      <c r="B1421" s="63" t="s">
        <v>334</v>
      </c>
      <c r="C1421" s="63" t="s">
        <v>1725</v>
      </c>
      <c r="D1421" s="63" t="s">
        <v>59</v>
      </c>
      <c r="E1421" s="63" t="s">
        <v>203</v>
      </c>
      <c r="F1421" s="63" t="s">
        <v>1011</v>
      </c>
      <c r="G1421">
        <v>1</v>
      </c>
      <c r="H1421">
        <v>60</v>
      </c>
      <c r="I1421">
        <v>360</v>
      </c>
      <c r="J1421">
        <v>360</v>
      </c>
      <c r="K1421">
        <v>44.58</v>
      </c>
      <c r="L1421">
        <v>4</v>
      </c>
    </row>
    <row r="1422" spans="1:12">
      <c r="A1422">
        <v>8300</v>
      </c>
      <c r="B1422" s="63" t="s">
        <v>334</v>
      </c>
      <c r="C1422" s="63" t="s">
        <v>1725</v>
      </c>
      <c r="D1422" s="63" t="s">
        <v>59</v>
      </c>
      <c r="E1422" s="63" t="s">
        <v>203</v>
      </c>
      <c r="F1422" s="63" t="s">
        <v>1476</v>
      </c>
      <c r="G1422">
        <v>1</v>
      </c>
      <c r="H1422">
        <v>60</v>
      </c>
      <c r="I1422">
        <v>360</v>
      </c>
      <c r="J1422">
        <v>360</v>
      </c>
      <c r="K1422">
        <v>47.92</v>
      </c>
      <c r="L1422">
        <v>3</v>
      </c>
    </row>
    <row r="1423" spans="1:12">
      <c r="A1423">
        <v>8300</v>
      </c>
      <c r="B1423" s="63" t="s">
        <v>334</v>
      </c>
      <c r="C1423" s="63" t="s">
        <v>1725</v>
      </c>
      <c r="D1423" s="63" t="s">
        <v>59</v>
      </c>
      <c r="E1423" s="63" t="s">
        <v>203</v>
      </c>
      <c r="F1423" s="63" t="s">
        <v>1290</v>
      </c>
      <c r="G1423">
        <v>1</v>
      </c>
      <c r="H1423">
        <v>60</v>
      </c>
      <c r="I1423">
        <v>360</v>
      </c>
      <c r="J1423">
        <v>360</v>
      </c>
      <c r="K1423">
        <v>50.08</v>
      </c>
      <c r="L1423">
        <v>4</v>
      </c>
    </row>
    <row r="1424" spans="1:12">
      <c r="A1424">
        <v>8300</v>
      </c>
      <c r="B1424" s="63" t="s">
        <v>334</v>
      </c>
      <c r="C1424" s="63" t="s">
        <v>1725</v>
      </c>
      <c r="D1424" s="63" t="s">
        <v>59</v>
      </c>
      <c r="E1424" s="63" t="s">
        <v>203</v>
      </c>
      <c r="F1424" s="63" t="s">
        <v>1337</v>
      </c>
      <c r="G1424">
        <v>1</v>
      </c>
      <c r="H1424">
        <v>60</v>
      </c>
      <c r="I1424">
        <v>346</v>
      </c>
      <c r="J1424">
        <v>346</v>
      </c>
      <c r="K1424">
        <v>16.45</v>
      </c>
      <c r="L1424">
        <v>5</v>
      </c>
    </row>
    <row r="1425" spans="1:12">
      <c r="A1425">
        <v>8300</v>
      </c>
      <c r="B1425" s="63" t="s">
        <v>334</v>
      </c>
      <c r="C1425" s="63" t="s">
        <v>1725</v>
      </c>
      <c r="D1425" s="63" t="s">
        <v>59</v>
      </c>
      <c r="E1425" s="63" t="s">
        <v>203</v>
      </c>
      <c r="F1425" s="63" t="s">
        <v>2698</v>
      </c>
      <c r="G1425">
        <v>1</v>
      </c>
      <c r="H1425">
        <v>60</v>
      </c>
      <c r="I1425">
        <v>360</v>
      </c>
      <c r="J1425">
        <v>360</v>
      </c>
      <c r="K1425">
        <v>45.73</v>
      </c>
      <c r="L1425">
        <v>4</v>
      </c>
    </row>
    <row r="1426" spans="1:12">
      <c r="A1426">
        <v>8300</v>
      </c>
      <c r="B1426" s="63" t="s">
        <v>334</v>
      </c>
      <c r="C1426" s="63" t="s">
        <v>1725</v>
      </c>
      <c r="D1426" s="63" t="s">
        <v>59</v>
      </c>
      <c r="E1426" s="63" t="s">
        <v>173</v>
      </c>
      <c r="F1426" s="63" t="s">
        <v>1820</v>
      </c>
      <c r="G1426">
        <v>1</v>
      </c>
      <c r="H1426">
        <v>60</v>
      </c>
      <c r="I1426">
        <v>360</v>
      </c>
      <c r="J1426">
        <v>360</v>
      </c>
      <c r="K1426">
        <v>68.28</v>
      </c>
      <c r="L1426">
        <v>4</v>
      </c>
    </row>
    <row r="1427" spans="1:12">
      <c r="A1427">
        <v>8300</v>
      </c>
      <c r="B1427" s="63" t="s">
        <v>334</v>
      </c>
      <c r="C1427" s="63" t="s">
        <v>1725</v>
      </c>
      <c r="D1427" s="63" t="s">
        <v>59</v>
      </c>
      <c r="E1427" s="63" t="s">
        <v>173</v>
      </c>
      <c r="F1427" s="63" t="s">
        <v>2133</v>
      </c>
      <c r="G1427">
        <v>1</v>
      </c>
      <c r="H1427">
        <v>60</v>
      </c>
      <c r="I1427">
        <v>360</v>
      </c>
      <c r="J1427">
        <v>360</v>
      </c>
      <c r="K1427">
        <v>49.18</v>
      </c>
      <c r="L1427">
        <v>4</v>
      </c>
    </row>
    <row r="1428" spans="1:12">
      <c r="A1428">
        <v>8300</v>
      </c>
      <c r="B1428" s="63" t="s">
        <v>334</v>
      </c>
      <c r="C1428" s="63" t="s">
        <v>1725</v>
      </c>
      <c r="D1428" s="63" t="s">
        <v>59</v>
      </c>
      <c r="E1428" s="63" t="s">
        <v>173</v>
      </c>
      <c r="F1428" s="63" t="s">
        <v>2024</v>
      </c>
      <c r="G1428">
        <v>1</v>
      </c>
      <c r="H1428">
        <v>60</v>
      </c>
      <c r="I1428">
        <v>360</v>
      </c>
      <c r="J1428">
        <v>360</v>
      </c>
      <c r="K1428">
        <v>42.82</v>
      </c>
      <c r="L1428">
        <v>3</v>
      </c>
    </row>
    <row r="1429" spans="1:12">
      <c r="A1429">
        <v>8300</v>
      </c>
      <c r="B1429" s="63" t="s">
        <v>334</v>
      </c>
      <c r="C1429" s="63" t="s">
        <v>1725</v>
      </c>
      <c r="D1429" s="63" t="s">
        <v>59</v>
      </c>
      <c r="E1429" s="63" t="s">
        <v>173</v>
      </c>
      <c r="F1429" s="63" t="s">
        <v>2699</v>
      </c>
      <c r="G1429">
        <v>1</v>
      </c>
      <c r="H1429">
        <v>60</v>
      </c>
      <c r="I1429">
        <v>360</v>
      </c>
      <c r="J1429">
        <v>360</v>
      </c>
      <c r="K1429">
        <v>46.15</v>
      </c>
      <c r="L1429">
        <v>4</v>
      </c>
    </row>
    <row r="1430" spans="1:12">
      <c r="A1430">
        <v>8300</v>
      </c>
      <c r="B1430" s="63" t="s">
        <v>334</v>
      </c>
      <c r="C1430" s="63" t="s">
        <v>1725</v>
      </c>
      <c r="D1430" s="63" t="s">
        <v>59</v>
      </c>
      <c r="E1430" s="63" t="s">
        <v>173</v>
      </c>
      <c r="F1430" s="63" t="s">
        <v>1409</v>
      </c>
      <c r="G1430">
        <v>1</v>
      </c>
      <c r="H1430">
        <v>60</v>
      </c>
      <c r="I1430">
        <v>360</v>
      </c>
      <c r="J1430">
        <v>360</v>
      </c>
      <c r="K1430">
        <v>46.1</v>
      </c>
      <c r="L1430">
        <v>4</v>
      </c>
    </row>
    <row r="1431" spans="1:12">
      <c r="A1431">
        <v>8300</v>
      </c>
      <c r="B1431" s="63" t="s">
        <v>334</v>
      </c>
      <c r="C1431" s="63" t="s">
        <v>1725</v>
      </c>
      <c r="D1431" s="63" t="s">
        <v>59</v>
      </c>
      <c r="E1431" s="63" t="s">
        <v>174</v>
      </c>
      <c r="F1431" s="63" t="s">
        <v>1310</v>
      </c>
      <c r="G1431">
        <v>1</v>
      </c>
      <c r="H1431">
        <v>38</v>
      </c>
      <c r="I1431">
        <v>228</v>
      </c>
      <c r="J1431">
        <v>228</v>
      </c>
      <c r="K1431">
        <v>75.3</v>
      </c>
      <c r="L1431">
        <v>4</v>
      </c>
    </row>
    <row r="1432" spans="1:12">
      <c r="A1432">
        <v>8300</v>
      </c>
      <c r="B1432" s="63" t="s">
        <v>334</v>
      </c>
      <c r="C1432" s="63" t="s">
        <v>1725</v>
      </c>
      <c r="D1432" s="63" t="s">
        <v>59</v>
      </c>
      <c r="E1432" s="63" t="s">
        <v>175</v>
      </c>
      <c r="F1432" s="63" t="s">
        <v>1432</v>
      </c>
      <c r="G1432">
        <v>1</v>
      </c>
      <c r="H1432">
        <v>60</v>
      </c>
      <c r="I1432">
        <v>360</v>
      </c>
      <c r="J1432">
        <v>360</v>
      </c>
      <c r="K1432">
        <v>45.27</v>
      </c>
      <c r="L1432">
        <v>3</v>
      </c>
    </row>
    <row r="1433" spans="1:12">
      <c r="A1433">
        <v>8300</v>
      </c>
      <c r="B1433" s="63" t="s">
        <v>334</v>
      </c>
      <c r="C1433" s="63" t="s">
        <v>1725</v>
      </c>
      <c r="D1433" s="63" t="s">
        <v>59</v>
      </c>
      <c r="E1433" s="63" t="s">
        <v>175</v>
      </c>
      <c r="F1433" s="63" t="s">
        <v>652</v>
      </c>
      <c r="G1433">
        <v>1</v>
      </c>
      <c r="H1433">
        <v>60</v>
      </c>
      <c r="I1433">
        <v>360</v>
      </c>
      <c r="J1433">
        <v>360</v>
      </c>
      <c r="K1433">
        <v>49.65</v>
      </c>
      <c r="L1433">
        <v>4</v>
      </c>
    </row>
    <row r="1434" spans="1:12">
      <c r="A1434">
        <v>8300</v>
      </c>
      <c r="B1434" s="63" t="s">
        <v>334</v>
      </c>
      <c r="C1434" s="63" t="s">
        <v>1725</v>
      </c>
      <c r="D1434" s="63" t="s">
        <v>59</v>
      </c>
      <c r="E1434" s="63" t="s">
        <v>175</v>
      </c>
      <c r="F1434" s="63" t="s">
        <v>1333</v>
      </c>
      <c r="G1434">
        <v>1</v>
      </c>
      <c r="H1434">
        <v>60</v>
      </c>
      <c r="I1434">
        <v>344</v>
      </c>
      <c r="J1434">
        <v>344</v>
      </c>
      <c r="K1434">
        <v>15.45</v>
      </c>
      <c r="L1434">
        <v>5</v>
      </c>
    </row>
    <row r="1435" spans="1:12">
      <c r="A1435">
        <v>8300</v>
      </c>
      <c r="B1435" s="63" t="s">
        <v>334</v>
      </c>
      <c r="C1435" s="63" t="s">
        <v>1725</v>
      </c>
      <c r="D1435" s="63" t="s">
        <v>59</v>
      </c>
      <c r="E1435" s="63" t="s">
        <v>175</v>
      </c>
      <c r="F1435" s="63" t="s">
        <v>987</v>
      </c>
      <c r="G1435">
        <v>1</v>
      </c>
      <c r="H1435">
        <v>60</v>
      </c>
      <c r="I1435">
        <v>360</v>
      </c>
      <c r="J1435">
        <v>360</v>
      </c>
      <c r="K1435">
        <v>71.02</v>
      </c>
      <c r="L1435">
        <v>5</v>
      </c>
    </row>
    <row r="1436" spans="1:12">
      <c r="A1436">
        <v>8300</v>
      </c>
      <c r="B1436" s="63" t="s">
        <v>334</v>
      </c>
      <c r="C1436" s="63" t="s">
        <v>1725</v>
      </c>
      <c r="D1436" s="63" t="s">
        <v>59</v>
      </c>
      <c r="E1436" s="63" t="s">
        <v>175</v>
      </c>
      <c r="F1436" s="63" t="s">
        <v>1455</v>
      </c>
      <c r="G1436">
        <v>1</v>
      </c>
      <c r="H1436">
        <v>60</v>
      </c>
      <c r="I1436">
        <v>351</v>
      </c>
      <c r="J1436">
        <v>351</v>
      </c>
      <c r="K1436">
        <v>16.95</v>
      </c>
      <c r="L1436">
        <v>5</v>
      </c>
    </row>
    <row r="1437" spans="1:12">
      <c r="A1437">
        <v>8300</v>
      </c>
      <c r="B1437" s="63" t="s">
        <v>334</v>
      </c>
      <c r="C1437" s="63" t="s">
        <v>1725</v>
      </c>
      <c r="D1437" s="63" t="s">
        <v>59</v>
      </c>
      <c r="E1437" s="63" t="s">
        <v>175</v>
      </c>
      <c r="F1437" s="63" t="s">
        <v>769</v>
      </c>
      <c r="G1437">
        <v>1</v>
      </c>
      <c r="H1437">
        <v>60</v>
      </c>
      <c r="I1437">
        <v>360</v>
      </c>
      <c r="J1437">
        <v>360</v>
      </c>
      <c r="K1437">
        <v>43.15</v>
      </c>
      <c r="L1437">
        <v>4</v>
      </c>
    </row>
    <row r="1438" spans="1:12">
      <c r="A1438">
        <v>8300</v>
      </c>
      <c r="B1438" s="63" t="s">
        <v>334</v>
      </c>
      <c r="C1438" s="63" t="s">
        <v>1725</v>
      </c>
      <c r="D1438" s="63" t="s">
        <v>59</v>
      </c>
      <c r="E1438" s="63" t="s">
        <v>175</v>
      </c>
      <c r="F1438" s="63" t="s">
        <v>763</v>
      </c>
      <c r="G1438">
        <v>1</v>
      </c>
      <c r="H1438">
        <v>60</v>
      </c>
      <c r="I1438">
        <v>359</v>
      </c>
      <c r="J1438">
        <v>359</v>
      </c>
      <c r="K1438">
        <v>48.6</v>
      </c>
      <c r="L1438">
        <v>4</v>
      </c>
    </row>
    <row r="1439" spans="1:12">
      <c r="A1439">
        <v>8300</v>
      </c>
      <c r="B1439" s="63" t="s">
        <v>334</v>
      </c>
      <c r="C1439" s="63" t="s">
        <v>1725</v>
      </c>
      <c r="D1439" s="63" t="s">
        <v>59</v>
      </c>
      <c r="E1439" s="63" t="s">
        <v>175</v>
      </c>
      <c r="F1439" s="63" t="s">
        <v>1544</v>
      </c>
      <c r="G1439">
        <v>1</v>
      </c>
      <c r="H1439">
        <v>60</v>
      </c>
      <c r="I1439">
        <v>358</v>
      </c>
      <c r="J1439">
        <v>358</v>
      </c>
      <c r="K1439">
        <v>43.92</v>
      </c>
      <c r="L1439">
        <v>4</v>
      </c>
    </row>
    <row r="1440" spans="1:12">
      <c r="A1440">
        <v>8300</v>
      </c>
      <c r="B1440" s="63" t="s">
        <v>334</v>
      </c>
      <c r="C1440" s="63" t="s">
        <v>1725</v>
      </c>
      <c r="D1440" s="63" t="s">
        <v>59</v>
      </c>
      <c r="E1440" s="63" t="s">
        <v>175</v>
      </c>
      <c r="F1440" s="63" t="s">
        <v>351</v>
      </c>
      <c r="G1440">
        <v>1</v>
      </c>
      <c r="H1440">
        <v>60</v>
      </c>
      <c r="I1440">
        <v>360</v>
      </c>
      <c r="J1440">
        <v>360</v>
      </c>
      <c r="K1440">
        <v>71.87</v>
      </c>
      <c r="L1440">
        <v>4</v>
      </c>
    </row>
    <row r="1441" spans="1:12">
      <c r="A1441">
        <v>8300</v>
      </c>
      <c r="B1441" s="63" t="s">
        <v>334</v>
      </c>
      <c r="C1441" s="63" t="s">
        <v>1725</v>
      </c>
      <c r="D1441" s="63" t="s">
        <v>59</v>
      </c>
      <c r="E1441" s="63" t="s">
        <v>175</v>
      </c>
      <c r="F1441" s="63" t="s">
        <v>2073</v>
      </c>
      <c r="G1441">
        <v>1</v>
      </c>
      <c r="H1441">
        <v>60</v>
      </c>
      <c r="I1441">
        <v>360</v>
      </c>
      <c r="J1441">
        <v>360</v>
      </c>
      <c r="K1441">
        <v>70.62</v>
      </c>
      <c r="L1441">
        <v>5</v>
      </c>
    </row>
    <row r="1442" spans="1:12">
      <c r="A1442">
        <v>8300</v>
      </c>
      <c r="B1442" s="63" t="s">
        <v>334</v>
      </c>
      <c r="C1442" s="63" t="s">
        <v>1725</v>
      </c>
      <c r="D1442" s="63" t="s">
        <v>59</v>
      </c>
      <c r="E1442" s="63" t="s">
        <v>175</v>
      </c>
      <c r="F1442" s="63" t="s">
        <v>1729</v>
      </c>
      <c r="G1442">
        <v>1</v>
      </c>
      <c r="H1442">
        <v>60</v>
      </c>
      <c r="I1442">
        <v>347</v>
      </c>
      <c r="J1442">
        <v>347</v>
      </c>
      <c r="K1442">
        <v>14.83</v>
      </c>
      <c r="L1442">
        <v>5</v>
      </c>
    </row>
    <row r="1443" spans="1:12">
      <c r="A1443">
        <v>8300</v>
      </c>
      <c r="B1443" s="63" t="s">
        <v>334</v>
      </c>
      <c r="C1443" s="63" t="s">
        <v>1725</v>
      </c>
      <c r="D1443" s="63" t="s">
        <v>59</v>
      </c>
      <c r="E1443" s="63" t="s">
        <v>175</v>
      </c>
      <c r="F1443" s="63" t="s">
        <v>748</v>
      </c>
      <c r="G1443">
        <v>1</v>
      </c>
      <c r="H1443">
        <v>59</v>
      </c>
      <c r="I1443">
        <v>347</v>
      </c>
      <c r="J1443">
        <v>347</v>
      </c>
      <c r="K1443">
        <v>44.47</v>
      </c>
      <c r="L1443">
        <v>4</v>
      </c>
    </row>
    <row r="1444" spans="1:12">
      <c r="A1444">
        <v>8300</v>
      </c>
      <c r="B1444" s="63" t="s">
        <v>334</v>
      </c>
      <c r="C1444" s="63" t="s">
        <v>1725</v>
      </c>
      <c r="D1444" s="63" t="s">
        <v>59</v>
      </c>
      <c r="E1444" s="63" t="s">
        <v>184</v>
      </c>
      <c r="F1444" s="63" t="s">
        <v>1111</v>
      </c>
      <c r="G1444">
        <v>1</v>
      </c>
      <c r="H1444">
        <v>40</v>
      </c>
      <c r="I1444">
        <v>240</v>
      </c>
      <c r="J1444">
        <v>240</v>
      </c>
      <c r="K1444">
        <v>71.45</v>
      </c>
      <c r="L1444">
        <v>4</v>
      </c>
    </row>
    <row r="1445" spans="1:12">
      <c r="A1445">
        <v>8300</v>
      </c>
      <c r="B1445" s="63" t="s">
        <v>334</v>
      </c>
      <c r="C1445" s="63" t="s">
        <v>1071</v>
      </c>
      <c r="D1445" s="63" t="s">
        <v>59</v>
      </c>
      <c r="G1445">
        <v>1</v>
      </c>
      <c r="H1445">
        <v>160</v>
      </c>
      <c r="I1445">
        <v>947</v>
      </c>
      <c r="J1445">
        <v>947</v>
      </c>
      <c r="K1445">
        <v>3.28</v>
      </c>
      <c r="L1445">
        <v>6</v>
      </c>
    </row>
    <row r="1446" spans="1:12">
      <c r="A1446">
        <v>8300</v>
      </c>
      <c r="B1446" s="63" t="s">
        <v>334</v>
      </c>
      <c r="C1446" s="63" t="s">
        <v>1071</v>
      </c>
      <c r="D1446" s="63" t="s">
        <v>59</v>
      </c>
      <c r="E1446" s="63" t="s">
        <v>2143</v>
      </c>
      <c r="F1446" s="63" t="s">
        <v>381</v>
      </c>
      <c r="G1446">
        <v>1</v>
      </c>
      <c r="H1446">
        <v>60</v>
      </c>
      <c r="I1446">
        <v>360</v>
      </c>
      <c r="J1446">
        <v>360</v>
      </c>
      <c r="K1446">
        <v>17.43</v>
      </c>
      <c r="L1446">
        <v>2</v>
      </c>
    </row>
    <row r="1447" spans="1:12">
      <c r="A1447">
        <v>8300</v>
      </c>
      <c r="B1447" s="63" t="s">
        <v>334</v>
      </c>
      <c r="C1447" s="63" t="s">
        <v>1071</v>
      </c>
      <c r="D1447" s="63" t="s">
        <v>59</v>
      </c>
      <c r="E1447" s="63" t="s">
        <v>2143</v>
      </c>
      <c r="F1447" s="63" t="s">
        <v>2142</v>
      </c>
      <c r="G1447">
        <v>1</v>
      </c>
      <c r="H1447">
        <v>60</v>
      </c>
      <c r="I1447">
        <v>359</v>
      </c>
      <c r="J1447">
        <v>359</v>
      </c>
      <c r="K1447">
        <v>15.28</v>
      </c>
      <c r="L1447">
        <v>3</v>
      </c>
    </row>
    <row r="1448" spans="1:12">
      <c r="A1448">
        <v>8300</v>
      </c>
      <c r="B1448" s="63" t="s">
        <v>334</v>
      </c>
      <c r="C1448" s="63" t="s">
        <v>1071</v>
      </c>
      <c r="D1448" s="63" t="s">
        <v>59</v>
      </c>
      <c r="E1448" s="63" t="s">
        <v>172</v>
      </c>
      <c r="F1448" s="63" t="s">
        <v>1953</v>
      </c>
      <c r="G1448">
        <v>1</v>
      </c>
      <c r="H1448">
        <v>60</v>
      </c>
      <c r="I1448">
        <v>359</v>
      </c>
      <c r="J1448">
        <v>359</v>
      </c>
      <c r="K1448">
        <v>5.43</v>
      </c>
      <c r="L1448">
        <v>3</v>
      </c>
    </row>
    <row r="1449" spans="1:12">
      <c r="A1449">
        <v>8300</v>
      </c>
      <c r="B1449" s="63" t="s">
        <v>334</v>
      </c>
      <c r="C1449" s="63" t="s">
        <v>1071</v>
      </c>
      <c r="D1449" s="63" t="s">
        <v>59</v>
      </c>
      <c r="E1449" s="63" t="s">
        <v>172</v>
      </c>
      <c r="F1449" s="63" t="s">
        <v>1210</v>
      </c>
      <c r="G1449">
        <v>1</v>
      </c>
      <c r="H1449">
        <v>60</v>
      </c>
      <c r="I1449">
        <v>360</v>
      </c>
      <c r="J1449">
        <v>360</v>
      </c>
      <c r="K1449">
        <v>13.62</v>
      </c>
      <c r="L1449">
        <v>2</v>
      </c>
    </row>
    <row r="1450" spans="1:12">
      <c r="A1450">
        <v>8300</v>
      </c>
      <c r="B1450" s="63" t="s">
        <v>334</v>
      </c>
      <c r="C1450" s="63" t="s">
        <v>1071</v>
      </c>
      <c r="D1450" s="63" t="s">
        <v>59</v>
      </c>
      <c r="E1450" s="63" t="s">
        <v>172</v>
      </c>
      <c r="F1450" s="63" t="s">
        <v>1088</v>
      </c>
      <c r="G1450">
        <v>1</v>
      </c>
      <c r="H1450">
        <v>60</v>
      </c>
      <c r="I1450">
        <v>360</v>
      </c>
      <c r="J1450">
        <v>360</v>
      </c>
      <c r="K1450">
        <v>40.770000000000003</v>
      </c>
      <c r="L1450">
        <v>5</v>
      </c>
    </row>
    <row r="1451" spans="1:12">
      <c r="A1451">
        <v>8300</v>
      </c>
      <c r="B1451" s="63" t="s">
        <v>334</v>
      </c>
      <c r="C1451" s="63" t="s">
        <v>1071</v>
      </c>
      <c r="D1451" s="63" t="s">
        <v>59</v>
      </c>
      <c r="E1451" s="63" t="s">
        <v>203</v>
      </c>
      <c r="F1451" s="63" t="s">
        <v>1397</v>
      </c>
      <c r="G1451">
        <v>1</v>
      </c>
      <c r="H1451">
        <v>60</v>
      </c>
      <c r="I1451">
        <v>359</v>
      </c>
      <c r="J1451">
        <v>359</v>
      </c>
      <c r="K1451">
        <v>13.32</v>
      </c>
      <c r="L1451">
        <v>2</v>
      </c>
    </row>
    <row r="1452" spans="1:12">
      <c r="A1452">
        <v>8300</v>
      </c>
      <c r="B1452" s="63" t="s">
        <v>334</v>
      </c>
      <c r="C1452" s="63" t="s">
        <v>1071</v>
      </c>
      <c r="D1452" s="63" t="s">
        <v>59</v>
      </c>
      <c r="E1452" s="63" t="s">
        <v>203</v>
      </c>
      <c r="F1452" s="63" t="s">
        <v>764</v>
      </c>
      <c r="G1452">
        <v>1</v>
      </c>
      <c r="H1452">
        <v>60</v>
      </c>
      <c r="I1452">
        <v>359</v>
      </c>
      <c r="J1452">
        <v>359</v>
      </c>
      <c r="K1452">
        <v>2.4300000000000002</v>
      </c>
      <c r="L1452">
        <v>2</v>
      </c>
    </row>
    <row r="1453" spans="1:12">
      <c r="A1453">
        <v>8300</v>
      </c>
      <c r="B1453" s="63" t="s">
        <v>334</v>
      </c>
      <c r="C1453" s="63" t="s">
        <v>1071</v>
      </c>
      <c r="D1453" s="63" t="s">
        <v>59</v>
      </c>
      <c r="E1453" s="63" t="s">
        <v>203</v>
      </c>
      <c r="F1453" s="63" t="s">
        <v>1149</v>
      </c>
      <c r="G1453">
        <v>1</v>
      </c>
      <c r="H1453">
        <v>60</v>
      </c>
      <c r="I1453">
        <v>360</v>
      </c>
      <c r="J1453">
        <v>360</v>
      </c>
      <c r="K1453">
        <v>2.0499999999999998</v>
      </c>
      <c r="L1453">
        <v>2</v>
      </c>
    </row>
    <row r="1454" spans="1:12">
      <c r="A1454">
        <v>8300</v>
      </c>
      <c r="B1454" s="63" t="s">
        <v>334</v>
      </c>
      <c r="C1454" s="63" t="s">
        <v>1071</v>
      </c>
      <c r="D1454" s="63" t="s">
        <v>59</v>
      </c>
      <c r="E1454" s="63" t="s">
        <v>203</v>
      </c>
      <c r="F1454" s="63" t="s">
        <v>1324</v>
      </c>
      <c r="G1454">
        <v>1</v>
      </c>
      <c r="H1454">
        <v>60</v>
      </c>
      <c r="I1454">
        <v>360</v>
      </c>
      <c r="J1454">
        <v>360</v>
      </c>
      <c r="K1454">
        <v>10.92</v>
      </c>
      <c r="L1454">
        <v>2</v>
      </c>
    </row>
    <row r="1455" spans="1:12">
      <c r="A1455">
        <v>8300</v>
      </c>
      <c r="B1455" s="63" t="s">
        <v>334</v>
      </c>
      <c r="C1455" s="63" t="s">
        <v>1071</v>
      </c>
      <c r="D1455" s="63" t="s">
        <v>59</v>
      </c>
      <c r="E1455" s="63" t="s">
        <v>203</v>
      </c>
      <c r="F1455" s="63" t="s">
        <v>2134</v>
      </c>
      <c r="G1455">
        <v>1</v>
      </c>
      <c r="H1455">
        <v>60</v>
      </c>
      <c r="I1455">
        <v>360</v>
      </c>
      <c r="J1455">
        <v>360</v>
      </c>
      <c r="K1455">
        <v>15.67</v>
      </c>
      <c r="L1455">
        <v>3</v>
      </c>
    </row>
    <row r="1456" spans="1:12">
      <c r="A1456">
        <v>8300</v>
      </c>
      <c r="B1456" s="63" t="s">
        <v>334</v>
      </c>
      <c r="C1456" s="63" t="s">
        <v>1071</v>
      </c>
      <c r="D1456" s="63" t="s">
        <v>59</v>
      </c>
      <c r="E1456" s="63" t="s">
        <v>203</v>
      </c>
      <c r="F1456" s="63" t="s">
        <v>1625</v>
      </c>
      <c r="G1456">
        <v>1</v>
      </c>
      <c r="H1456">
        <v>60</v>
      </c>
      <c r="I1456">
        <v>360</v>
      </c>
      <c r="J1456">
        <v>360</v>
      </c>
      <c r="K1456">
        <v>39.5</v>
      </c>
      <c r="L1456">
        <v>3</v>
      </c>
    </row>
    <row r="1457" spans="1:12">
      <c r="A1457">
        <v>8300</v>
      </c>
      <c r="B1457" s="63" t="s">
        <v>334</v>
      </c>
      <c r="C1457" s="63" t="s">
        <v>1071</v>
      </c>
      <c r="D1457" s="63" t="s">
        <v>59</v>
      </c>
      <c r="E1457" s="63" t="s">
        <v>203</v>
      </c>
      <c r="F1457" s="63" t="s">
        <v>1412</v>
      </c>
      <c r="G1457">
        <v>1</v>
      </c>
      <c r="H1457">
        <v>60</v>
      </c>
      <c r="I1457">
        <v>359</v>
      </c>
      <c r="J1457">
        <v>359</v>
      </c>
      <c r="K1457">
        <v>13.93</v>
      </c>
      <c r="L1457">
        <v>2</v>
      </c>
    </row>
    <row r="1458" spans="1:12">
      <c r="A1458">
        <v>8300</v>
      </c>
      <c r="B1458" s="63" t="s">
        <v>334</v>
      </c>
      <c r="C1458" s="63" t="s">
        <v>1071</v>
      </c>
      <c r="D1458" s="63" t="s">
        <v>59</v>
      </c>
      <c r="E1458" s="63" t="s">
        <v>203</v>
      </c>
      <c r="F1458" s="63" t="s">
        <v>1401</v>
      </c>
      <c r="G1458">
        <v>1</v>
      </c>
      <c r="H1458">
        <v>60</v>
      </c>
      <c r="I1458">
        <v>360</v>
      </c>
      <c r="J1458">
        <v>360</v>
      </c>
      <c r="K1458">
        <v>104.4</v>
      </c>
      <c r="L1458">
        <v>6</v>
      </c>
    </row>
    <row r="1459" spans="1:12">
      <c r="A1459">
        <v>8300</v>
      </c>
      <c r="B1459" s="63" t="s">
        <v>334</v>
      </c>
      <c r="C1459" s="63" t="s">
        <v>1071</v>
      </c>
      <c r="D1459" s="63" t="s">
        <v>59</v>
      </c>
      <c r="E1459" s="63" t="s">
        <v>203</v>
      </c>
      <c r="F1459" s="63" t="s">
        <v>610</v>
      </c>
      <c r="G1459">
        <v>1</v>
      </c>
      <c r="H1459">
        <v>60</v>
      </c>
      <c r="I1459">
        <v>359</v>
      </c>
      <c r="J1459">
        <v>359</v>
      </c>
      <c r="K1459">
        <v>16.100000000000001</v>
      </c>
      <c r="L1459">
        <v>3</v>
      </c>
    </row>
    <row r="1460" spans="1:12">
      <c r="A1460">
        <v>8300</v>
      </c>
      <c r="B1460" s="63" t="s">
        <v>334</v>
      </c>
      <c r="C1460" s="63" t="s">
        <v>1071</v>
      </c>
      <c r="D1460" s="63" t="s">
        <v>59</v>
      </c>
      <c r="E1460" s="63" t="s">
        <v>203</v>
      </c>
      <c r="F1460" s="63" t="s">
        <v>494</v>
      </c>
      <c r="G1460">
        <v>1</v>
      </c>
      <c r="H1460">
        <v>60</v>
      </c>
      <c r="I1460">
        <v>358</v>
      </c>
      <c r="J1460">
        <v>358</v>
      </c>
      <c r="K1460">
        <v>11.3</v>
      </c>
      <c r="L1460">
        <v>2</v>
      </c>
    </row>
    <row r="1461" spans="1:12">
      <c r="A1461">
        <v>8300</v>
      </c>
      <c r="B1461" s="63" t="s">
        <v>334</v>
      </c>
      <c r="C1461" s="63" t="s">
        <v>1071</v>
      </c>
      <c r="D1461" s="63" t="s">
        <v>59</v>
      </c>
      <c r="E1461" s="63" t="s">
        <v>203</v>
      </c>
      <c r="F1461" s="63" t="s">
        <v>1104</v>
      </c>
      <c r="G1461">
        <v>1</v>
      </c>
      <c r="H1461">
        <v>60</v>
      </c>
      <c r="I1461">
        <v>360</v>
      </c>
      <c r="J1461">
        <v>360</v>
      </c>
      <c r="K1461">
        <v>0.75</v>
      </c>
      <c r="L1461">
        <v>2</v>
      </c>
    </row>
    <row r="1462" spans="1:12">
      <c r="A1462">
        <v>8300</v>
      </c>
      <c r="B1462" s="63" t="s">
        <v>334</v>
      </c>
      <c r="C1462" s="63" t="s">
        <v>1071</v>
      </c>
      <c r="D1462" s="63" t="s">
        <v>59</v>
      </c>
      <c r="E1462" s="63" t="s">
        <v>203</v>
      </c>
      <c r="F1462" s="63" t="s">
        <v>951</v>
      </c>
      <c r="G1462">
        <v>1</v>
      </c>
      <c r="H1462">
        <v>60</v>
      </c>
      <c r="I1462">
        <v>359</v>
      </c>
      <c r="J1462">
        <v>359</v>
      </c>
      <c r="K1462">
        <v>16.62</v>
      </c>
      <c r="L1462">
        <v>3</v>
      </c>
    </row>
    <row r="1463" spans="1:12">
      <c r="A1463">
        <v>8300</v>
      </c>
      <c r="B1463" s="63" t="s">
        <v>334</v>
      </c>
      <c r="C1463" s="63" t="s">
        <v>1071</v>
      </c>
      <c r="D1463" s="63" t="s">
        <v>59</v>
      </c>
      <c r="E1463" s="63" t="s">
        <v>203</v>
      </c>
      <c r="F1463" s="63" t="s">
        <v>2006</v>
      </c>
      <c r="G1463">
        <v>1</v>
      </c>
      <c r="H1463">
        <v>53</v>
      </c>
      <c r="I1463">
        <v>318</v>
      </c>
      <c r="J1463">
        <v>318</v>
      </c>
      <c r="K1463">
        <v>25.57</v>
      </c>
      <c r="L1463">
        <v>3</v>
      </c>
    </row>
    <row r="1464" spans="1:12">
      <c r="A1464">
        <v>8300</v>
      </c>
      <c r="B1464" s="63" t="s">
        <v>334</v>
      </c>
      <c r="C1464" s="63" t="s">
        <v>1071</v>
      </c>
      <c r="D1464" s="63" t="s">
        <v>59</v>
      </c>
      <c r="E1464" s="63" t="s">
        <v>203</v>
      </c>
      <c r="F1464" s="63" t="s">
        <v>1198</v>
      </c>
      <c r="G1464">
        <v>1</v>
      </c>
      <c r="H1464">
        <v>60</v>
      </c>
      <c r="I1464">
        <v>360</v>
      </c>
      <c r="J1464">
        <v>360</v>
      </c>
      <c r="K1464">
        <v>26.03</v>
      </c>
      <c r="L1464">
        <v>3</v>
      </c>
    </row>
    <row r="1465" spans="1:12">
      <c r="A1465">
        <v>8300</v>
      </c>
      <c r="B1465" s="63" t="s">
        <v>334</v>
      </c>
      <c r="C1465" s="63" t="s">
        <v>1071</v>
      </c>
      <c r="D1465" s="63" t="s">
        <v>59</v>
      </c>
      <c r="E1465" s="63" t="s">
        <v>203</v>
      </c>
      <c r="F1465" s="63" t="s">
        <v>2700</v>
      </c>
      <c r="G1465">
        <v>1</v>
      </c>
      <c r="H1465">
        <v>60</v>
      </c>
      <c r="I1465">
        <v>360</v>
      </c>
      <c r="J1465">
        <v>360</v>
      </c>
      <c r="K1465">
        <v>40.130000000000003</v>
      </c>
      <c r="L1465">
        <v>3</v>
      </c>
    </row>
    <row r="1466" spans="1:12">
      <c r="A1466">
        <v>8300</v>
      </c>
      <c r="B1466" s="63" t="s">
        <v>334</v>
      </c>
      <c r="C1466" s="63" t="s">
        <v>1071</v>
      </c>
      <c r="D1466" s="63" t="s">
        <v>59</v>
      </c>
      <c r="E1466" s="63" t="s">
        <v>203</v>
      </c>
      <c r="F1466" s="63" t="s">
        <v>965</v>
      </c>
      <c r="G1466">
        <v>1</v>
      </c>
      <c r="H1466">
        <v>60</v>
      </c>
      <c r="I1466">
        <v>360</v>
      </c>
      <c r="J1466">
        <v>360</v>
      </c>
      <c r="K1466">
        <v>17.02</v>
      </c>
      <c r="L1466">
        <v>2</v>
      </c>
    </row>
    <row r="1467" spans="1:12">
      <c r="A1467">
        <v>8300</v>
      </c>
      <c r="B1467" s="63" t="s">
        <v>334</v>
      </c>
      <c r="C1467" s="63" t="s">
        <v>1071</v>
      </c>
      <c r="D1467" s="63" t="s">
        <v>59</v>
      </c>
      <c r="E1467" s="63" t="s">
        <v>203</v>
      </c>
      <c r="F1467" s="63" t="s">
        <v>1340</v>
      </c>
      <c r="G1467">
        <v>1</v>
      </c>
      <c r="H1467">
        <v>60</v>
      </c>
      <c r="I1467">
        <v>360</v>
      </c>
      <c r="J1467">
        <v>360</v>
      </c>
      <c r="K1467">
        <v>19.23</v>
      </c>
      <c r="L1467">
        <v>3</v>
      </c>
    </row>
    <row r="1468" spans="1:12">
      <c r="A1468">
        <v>8300</v>
      </c>
      <c r="B1468" s="63" t="s">
        <v>334</v>
      </c>
      <c r="C1468" s="63" t="s">
        <v>1071</v>
      </c>
      <c r="D1468" s="63" t="s">
        <v>59</v>
      </c>
      <c r="E1468" s="63" t="s">
        <v>203</v>
      </c>
      <c r="F1468" s="63" t="s">
        <v>1448</v>
      </c>
      <c r="G1468">
        <v>1</v>
      </c>
      <c r="H1468">
        <v>60</v>
      </c>
      <c r="I1468">
        <v>360</v>
      </c>
      <c r="J1468">
        <v>360</v>
      </c>
      <c r="K1468">
        <v>18.62</v>
      </c>
      <c r="L1468">
        <v>3</v>
      </c>
    </row>
    <row r="1469" spans="1:12">
      <c r="A1469">
        <v>8300</v>
      </c>
      <c r="B1469" s="63" t="s">
        <v>334</v>
      </c>
      <c r="C1469" s="63" t="s">
        <v>1071</v>
      </c>
      <c r="D1469" s="63" t="s">
        <v>59</v>
      </c>
      <c r="E1469" s="63" t="s">
        <v>203</v>
      </c>
      <c r="F1469" s="63" t="s">
        <v>681</v>
      </c>
      <c r="G1469">
        <v>1</v>
      </c>
      <c r="H1469">
        <v>57</v>
      </c>
      <c r="I1469">
        <v>342</v>
      </c>
      <c r="J1469">
        <v>342</v>
      </c>
      <c r="K1469">
        <v>102.63</v>
      </c>
      <c r="L1469">
        <v>6</v>
      </c>
    </row>
    <row r="1470" spans="1:12">
      <c r="A1470">
        <v>8300</v>
      </c>
      <c r="B1470" s="63" t="s">
        <v>334</v>
      </c>
      <c r="C1470" s="63" t="s">
        <v>1071</v>
      </c>
      <c r="D1470" s="63" t="s">
        <v>59</v>
      </c>
      <c r="E1470" s="63" t="s">
        <v>203</v>
      </c>
      <c r="F1470" s="63" t="s">
        <v>1178</v>
      </c>
      <c r="G1470">
        <v>1</v>
      </c>
      <c r="H1470">
        <v>60</v>
      </c>
      <c r="I1470">
        <v>358</v>
      </c>
      <c r="J1470">
        <v>358</v>
      </c>
      <c r="K1470">
        <v>14.63</v>
      </c>
      <c r="L1470">
        <v>2</v>
      </c>
    </row>
    <row r="1471" spans="1:12">
      <c r="A1471">
        <v>8300</v>
      </c>
      <c r="B1471" s="63" t="s">
        <v>334</v>
      </c>
      <c r="C1471" s="63" t="s">
        <v>1071</v>
      </c>
      <c r="D1471" s="63" t="s">
        <v>59</v>
      </c>
      <c r="E1471" s="63" t="s">
        <v>203</v>
      </c>
      <c r="F1471" s="63" t="s">
        <v>1970</v>
      </c>
      <c r="G1471">
        <v>1</v>
      </c>
      <c r="H1471">
        <v>60</v>
      </c>
      <c r="I1471">
        <v>360</v>
      </c>
      <c r="J1471">
        <v>360</v>
      </c>
      <c r="K1471">
        <v>23.55</v>
      </c>
      <c r="L1471">
        <v>3</v>
      </c>
    </row>
    <row r="1472" spans="1:12">
      <c r="A1472">
        <v>8300</v>
      </c>
      <c r="B1472" s="63" t="s">
        <v>334</v>
      </c>
      <c r="C1472" s="63" t="s">
        <v>1071</v>
      </c>
      <c r="D1472" s="63" t="s">
        <v>59</v>
      </c>
      <c r="E1472" s="63" t="s">
        <v>203</v>
      </c>
      <c r="F1472" s="63" t="s">
        <v>495</v>
      </c>
      <c r="G1472">
        <v>1</v>
      </c>
      <c r="H1472">
        <v>46</v>
      </c>
      <c r="I1472">
        <v>276</v>
      </c>
      <c r="J1472">
        <v>276</v>
      </c>
      <c r="K1472">
        <v>10</v>
      </c>
      <c r="L1472">
        <v>2</v>
      </c>
    </row>
    <row r="1473" spans="1:12">
      <c r="A1473">
        <v>8300</v>
      </c>
      <c r="B1473" s="63" t="s">
        <v>334</v>
      </c>
      <c r="C1473" s="63" t="s">
        <v>1071</v>
      </c>
      <c r="D1473" s="63" t="s">
        <v>59</v>
      </c>
      <c r="E1473" s="63" t="s">
        <v>203</v>
      </c>
      <c r="F1473" s="63" t="s">
        <v>1358</v>
      </c>
      <c r="G1473">
        <v>1</v>
      </c>
      <c r="H1473">
        <v>60</v>
      </c>
      <c r="I1473">
        <v>360</v>
      </c>
      <c r="J1473">
        <v>360</v>
      </c>
      <c r="K1473">
        <v>1.75</v>
      </c>
      <c r="L1473">
        <v>2</v>
      </c>
    </row>
    <row r="1474" spans="1:12">
      <c r="A1474">
        <v>8300</v>
      </c>
      <c r="B1474" s="63" t="s">
        <v>334</v>
      </c>
      <c r="C1474" s="63" t="s">
        <v>1071</v>
      </c>
      <c r="D1474" s="63" t="s">
        <v>59</v>
      </c>
      <c r="E1474" s="63" t="s">
        <v>203</v>
      </c>
      <c r="F1474" s="63" t="s">
        <v>1605</v>
      </c>
      <c r="G1474">
        <v>1</v>
      </c>
      <c r="H1474">
        <v>60</v>
      </c>
      <c r="I1474">
        <v>360</v>
      </c>
      <c r="J1474">
        <v>360</v>
      </c>
      <c r="K1474">
        <v>0.27</v>
      </c>
      <c r="L1474">
        <v>2</v>
      </c>
    </row>
    <row r="1475" spans="1:12">
      <c r="A1475">
        <v>8300</v>
      </c>
      <c r="B1475" s="63" t="s">
        <v>334</v>
      </c>
      <c r="C1475" s="63" t="s">
        <v>1071</v>
      </c>
      <c r="D1475" s="63" t="s">
        <v>59</v>
      </c>
      <c r="E1475" s="63" t="s">
        <v>203</v>
      </c>
      <c r="F1475" s="63" t="s">
        <v>2035</v>
      </c>
      <c r="G1475">
        <v>1</v>
      </c>
      <c r="H1475">
        <v>60</v>
      </c>
      <c r="I1475">
        <v>360</v>
      </c>
      <c r="J1475">
        <v>360</v>
      </c>
      <c r="K1475">
        <v>1.42</v>
      </c>
      <c r="L1475">
        <v>2</v>
      </c>
    </row>
    <row r="1476" spans="1:12">
      <c r="A1476">
        <v>8300</v>
      </c>
      <c r="B1476" s="63" t="s">
        <v>334</v>
      </c>
      <c r="C1476" s="63" t="s">
        <v>1071</v>
      </c>
      <c r="D1476" s="63" t="s">
        <v>59</v>
      </c>
      <c r="E1476" s="63" t="s">
        <v>203</v>
      </c>
      <c r="F1476" s="63" t="s">
        <v>1260</v>
      </c>
      <c r="G1476">
        <v>1</v>
      </c>
      <c r="H1476">
        <v>60</v>
      </c>
      <c r="I1476">
        <v>360</v>
      </c>
      <c r="J1476">
        <v>360</v>
      </c>
      <c r="K1476">
        <v>41.42</v>
      </c>
      <c r="L1476">
        <v>3</v>
      </c>
    </row>
    <row r="1477" spans="1:12">
      <c r="A1477">
        <v>8300</v>
      </c>
      <c r="B1477" s="63" t="s">
        <v>334</v>
      </c>
      <c r="C1477" s="63" t="s">
        <v>1071</v>
      </c>
      <c r="D1477" s="63" t="s">
        <v>59</v>
      </c>
      <c r="E1477" s="63" t="s">
        <v>203</v>
      </c>
      <c r="F1477" s="63" t="s">
        <v>444</v>
      </c>
      <c r="G1477">
        <v>1</v>
      </c>
      <c r="H1477">
        <v>60</v>
      </c>
      <c r="I1477">
        <v>360</v>
      </c>
      <c r="J1477">
        <v>360</v>
      </c>
      <c r="K1477">
        <v>18.2</v>
      </c>
      <c r="L1477">
        <v>3</v>
      </c>
    </row>
    <row r="1478" spans="1:12">
      <c r="A1478">
        <v>8300</v>
      </c>
      <c r="B1478" s="63" t="s">
        <v>334</v>
      </c>
      <c r="C1478" s="63" t="s">
        <v>1071</v>
      </c>
      <c r="D1478" s="63" t="s">
        <v>59</v>
      </c>
      <c r="E1478" s="63" t="s">
        <v>203</v>
      </c>
      <c r="F1478" s="63" t="s">
        <v>2095</v>
      </c>
      <c r="G1478">
        <v>1</v>
      </c>
      <c r="H1478">
        <v>60</v>
      </c>
      <c r="I1478">
        <v>360</v>
      </c>
      <c r="J1478">
        <v>360</v>
      </c>
      <c r="K1478">
        <v>20.12</v>
      </c>
      <c r="L1478">
        <v>3</v>
      </c>
    </row>
    <row r="1479" spans="1:12">
      <c r="A1479">
        <v>8300</v>
      </c>
      <c r="B1479" s="63" t="s">
        <v>334</v>
      </c>
      <c r="C1479" s="63" t="s">
        <v>1071</v>
      </c>
      <c r="D1479" s="63" t="s">
        <v>59</v>
      </c>
      <c r="E1479" s="63" t="s">
        <v>203</v>
      </c>
      <c r="F1479" s="63" t="s">
        <v>1353</v>
      </c>
      <c r="G1479">
        <v>1</v>
      </c>
      <c r="H1479">
        <v>60</v>
      </c>
      <c r="I1479">
        <v>360</v>
      </c>
      <c r="J1479">
        <v>360</v>
      </c>
      <c r="K1479">
        <v>14.3</v>
      </c>
      <c r="L1479">
        <v>2</v>
      </c>
    </row>
    <row r="1480" spans="1:12">
      <c r="A1480">
        <v>8300</v>
      </c>
      <c r="B1480" s="63" t="s">
        <v>334</v>
      </c>
      <c r="C1480" s="63" t="s">
        <v>1071</v>
      </c>
      <c r="D1480" s="63" t="s">
        <v>59</v>
      </c>
      <c r="E1480" s="63" t="s">
        <v>175</v>
      </c>
      <c r="F1480" s="63" t="s">
        <v>1977</v>
      </c>
      <c r="G1480">
        <v>1</v>
      </c>
      <c r="H1480">
        <v>60</v>
      </c>
      <c r="I1480">
        <v>360</v>
      </c>
      <c r="J1480">
        <v>360</v>
      </c>
      <c r="K1480">
        <v>12.75</v>
      </c>
      <c r="L1480">
        <v>2</v>
      </c>
    </row>
    <row r="1481" spans="1:12">
      <c r="A1481">
        <v>8571</v>
      </c>
      <c r="B1481" s="63" t="s">
        <v>334</v>
      </c>
      <c r="C1481" s="63" t="s">
        <v>2687</v>
      </c>
      <c r="D1481" s="63" t="s">
        <v>59</v>
      </c>
      <c r="E1481" s="63" t="s">
        <v>184</v>
      </c>
      <c r="F1481" s="63" t="s">
        <v>1113</v>
      </c>
      <c r="G1481">
        <v>1</v>
      </c>
      <c r="H1481">
        <v>60</v>
      </c>
      <c r="I1481">
        <v>359</v>
      </c>
      <c r="J1481">
        <v>359</v>
      </c>
      <c r="K1481">
        <v>3.38</v>
      </c>
      <c r="L1481">
        <v>6</v>
      </c>
    </row>
    <row r="1482" spans="1:12">
      <c r="A1482" s="63" t="s">
        <v>2144</v>
      </c>
      <c r="B1482" s="63" t="s">
        <v>256</v>
      </c>
      <c r="C1482" s="63" t="s">
        <v>373</v>
      </c>
      <c r="D1482" s="63" t="s">
        <v>59</v>
      </c>
      <c r="E1482" s="63" t="s">
        <v>184</v>
      </c>
      <c r="F1482" s="63" t="s">
        <v>1532</v>
      </c>
      <c r="G1482">
        <v>1</v>
      </c>
      <c r="H1482">
        <v>60</v>
      </c>
      <c r="I1482">
        <v>360</v>
      </c>
      <c r="J1482">
        <v>7181</v>
      </c>
      <c r="K1482">
        <v>11.2</v>
      </c>
      <c r="L1482">
        <v>3</v>
      </c>
    </row>
    <row r="1483" spans="1:12">
      <c r="A1483">
        <v>9080</v>
      </c>
      <c r="B1483" s="63" t="s">
        <v>985</v>
      </c>
      <c r="C1483" s="63" t="s">
        <v>986</v>
      </c>
      <c r="D1483" s="63" t="s">
        <v>309</v>
      </c>
      <c r="E1483" s="63" t="s">
        <v>176</v>
      </c>
      <c r="F1483" s="63" t="s">
        <v>2701</v>
      </c>
      <c r="G1483">
        <v>1</v>
      </c>
      <c r="H1483">
        <v>2</v>
      </c>
      <c r="I1483">
        <v>12</v>
      </c>
      <c r="J1483">
        <v>119</v>
      </c>
      <c r="K1483">
        <v>323.5</v>
      </c>
      <c r="L1483">
        <v>60</v>
      </c>
    </row>
    <row r="1484" spans="1:12">
      <c r="A1484">
        <v>9080</v>
      </c>
      <c r="B1484" s="63" t="s">
        <v>2328</v>
      </c>
      <c r="C1484" s="63" t="s">
        <v>2329</v>
      </c>
      <c r="D1484" s="63" t="s">
        <v>59</v>
      </c>
      <c r="E1484" s="63" t="s">
        <v>176</v>
      </c>
      <c r="F1484" s="63" t="s">
        <v>2702</v>
      </c>
      <c r="G1484">
        <v>1</v>
      </c>
      <c r="H1484">
        <v>1</v>
      </c>
      <c r="I1484">
        <v>8</v>
      </c>
      <c r="J1484">
        <v>32</v>
      </c>
      <c r="K1484">
        <v>164.97</v>
      </c>
      <c r="L1484">
        <v>11</v>
      </c>
    </row>
    <row r="1485" spans="1:12">
      <c r="A1485">
        <v>9080</v>
      </c>
      <c r="B1485" s="63" t="s">
        <v>649</v>
      </c>
      <c r="C1485" s="63" t="s">
        <v>650</v>
      </c>
      <c r="D1485" s="63" t="s">
        <v>309</v>
      </c>
      <c r="E1485" s="63" t="s">
        <v>177</v>
      </c>
      <c r="F1485" s="63" t="s">
        <v>1663</v>
      </c>
      <c r="G1485">
        <v>1</v>
      </c>
      <c r="H1485">
        <v>3</v>
      </c>
      <c r="I1485">
        <v>74</v>
      </c>
      <c r="J1485">
        <v>74</v>
      </c>
      <c r="K1485">
        <v>635.29999999999995</v>
      </c>
      <c r="L1485">
        <v>29</v>
      </c>
    </row>
    <row r="1486" spans="1:12">
      <c r="A1486">
        <v>9080</v>
      </c>
      <c r="B1486" s="63" t="s">
        <v>1282</v>
      </c>
      <c r="C1486" s="63" t="s">
        <v>1283</v>
      </c>
      <c r="D1486" s="63" t="s">
        <v>59</v>
      </c>
      <c r="E1486" s="63" t="s">
        <v>177</v>
      </c>
      <c r="F1486" s="63" t="s">
        <v>2703</v>
      </c>
      <c r="G1486">
        <v>1</v>
      </c>
      <c r="H1486">
        <v>2</v>
      </c>
      <c r="I1486">
        <v>44</v>
      </c>
      <c r="J1486">
        <v>44</v>
      </c>
      <c r="K1486">
        <v>2.83</v>
      </c>
      <c r="L1486">
        <v>2</v>
      </c>
    </row>
    <row r="1487" spans="1:12">
      <c r="A1487">
        <v>9080</v>
      </c>
      <c r="B1487" s="63" t="s">
        <v>259</v>
      </c>
      <c r="C1487" s="63" t="s">
        <v>406</v>
      </c>
      <c r="D1487" s="63" t="s">
        <v>59</v>
      </c>
      <c r="E1487" s="63" t="s">
        <v>177</v>
      </c>
      <c r="F1487" s="63" t="s">
        <v>2704</v>
      </c>
      <c r="G1487">
        <v>1</v>
      </c>
      <c r="H1487">
        <v>19</v>
      </c>
      <c r="I1487">
        <v>370</v>
      </c>
      <c r="J1487">
        <v>370</v>
      </c>
      <c r="K1487">
        <v>156.55000000000001</v>
      </c>
      <c r="L1487">
        <v>14</v>
      </c>
    </row>
    <row r="1488" spans="1:12">
      <c r="A1488">
        <v>9080</v>
      </c>
      <c r="B1488" s="63" t="s">
        <v>337</v>
      </c>
      <c r="C1488" s="63" t="s">
        <v>338</v>
      </c>
      <c r="D1488" s="63" t="s">
        <v>307</v>
      </c>
      <c r="E1488" s="63" t="s">
        <v>177</v>
      </c>
      <c r="F1488" s="63" t="s">
        <v>2705</v>
      </c>
      <c r="G1488">
        <v>1</v>
      </c>
      <c r="H1488">
        <v>1</v>
      </c>
      <c r="I1488">
        <v>18</v>
      </c>
      <c r="J1488">
        <v>18</v>
      </c>
      <c r="K1488">
        <v>656.62</v>
      </c>
      <c r="L1488">
        <v>29</v>
      </c>
    </row>
    <row r="1489" spans="1:12">
      <c r="A1489">
        <v>9080</v>
      </c>
      <c r="B1489" s="63" t="s">
        <v>204</v>
      </c>
      <c r="C1489" s="63" t="s">
        <v>310</v>
      </c>
      <c r="D1489" s="63" t="s">
        <v>309</v>
      </c>
      <c r="E1489" s="63" t="s">
        <v>177</v>
      </c>
      <c r="F1489" s="63" t="s">
        <v>1927</v>
      </c>
      <c r="G1489">
        <v>1</v>
      </c>
      <c r="H1489">
        <v>6</v>
      </c>
      <c r="I1489">
        <v>34</v>
      </c>
      <c r="J1489">
        <v>34</v>
      </c>
      <c r="K1489">
        <v>375.02</v>
      </c>
      <c r="L1489">
        <v>19</v>
      </c>
    </row>
    <row r="1490" spans="1:12">
      <c r="A1490">
        <v>9081</v>
      </c>
      <c r="B1490" s="63" t="s">
        <v>256</v>
      </c>
      <c r="C1490" s="63" t="s">
        <v>350</v>
      </c>
      <c r="D1490" s="63" t="s">
        <v>59</v>
      </c>
      <c r="E1490" s="63" t="s">
        <v>173</v>
      </c>
      <c r="F1490" s="63" t="s">
        <v>1352</v>
      </c>
      <c r="G1490">
        <v>1</v>
      </c>
      <c r="H1490">
        <v>60</v>
      </c>
      <c r="I1490">
        <v>354</v>
      </c>
      <c r="J1490">
        <v>7080</v>
      </c>
      <c r="K1490">
        <v>13.02</v>
      </c>
      <c r="L1490">
        <v>3</v>
      </c>
    </row>
    <row r="1491" spans="1:12">
      <c r="A1491">
        <v>9081</v>
      </c>
      <c r="B1491" s="63" t="s">
        <v>256</v>
      </c>
      <c r="C1491" s="63" t="s">
        <v>373</v>
      </c>
      <c r="D1491" s="63" t="s">
        <v>59</v>
      </c>
      <c r="E1491" s="63" t="s">
        <v>174</v>
      </c>
      <c r="F1491" s="63" t="s">
        <v>2107</v>
      </c>
      <c r="G1491">
        <v>1</v>
      </c>
      <c r="H1491">
        <v>60</v>
      </c>
      <c r="I1491">
        <v>354</v>
      </c>
      <c r="J1491">
        <v>7080</v>
      </c>
      <c r="K1491">
        <v>17.579999999999998</v>
      </c>
      <c r="L1491">
        <v>3</v>
      </c>
    </row>
    <row r="1492" spans="1:12">
      <c r="A1492">
        <v>9081</v>
      </c>
      <c r="B1492" s="63" t="s">
        <v>519</v>
      </c>
      <c r="C1492" s="63" t="s">
        <v>874</v>
      </c>
      <c r="D1492" s="63" t="s">
        <v>59</v>
      </c>
      <c r="E1492" s="63" t="s">
        <v>175</v>
      </c>
      <c r="F1492" s="63" t="s">
        <v>369</v>
      </c>
      <c r="G1492">
        <v>1</v>
      </c>
      <c r="H1492">
        <v>60</v>
      </c>
      <c r="I1492">
        <v>360</v>
      </c>
      <c r="J1492">
        <v>7189</v>
      </c>
      <c r="K1492">
        <v>1.1299999999999999</v>
      </c>
      <c r="L1492">
        <v>8</v>
      </c>
    </row>
    <row r="1493" spans="1:12">
      <c r="A1493">
        <v>9081</v>
      </c>
      <c r="B1493" s="63" t="s">
        <v>334</v>
      </c>
      <c r="C1493" s="63" t="s">
        <v>1071</v>
      </c>
      <c r="D1493" s="63" t="s">
        <v>59</v>
      </c>
      <c r="G1493">
        <v>1</v>
      </c>
      <c r="H1493">
        <v>77</v>
      </c>
      <c r="I1493">
        <v>410</v>
      </c>
      <c r="J1493">
        <v>410</v>
      </c>
      <c r="K1493">
        <v>1.08</v>
      </c>
      <c r="L1493">
        <v>6</v>
      </c>
    </row>
    <row r="1494" spans="1:12">
      <c r="A1494">
        <v>9199</v>
      </c>
      <c r="B1494" s="63" t="s">
        <v>471</v>
      </c>
      <c r="C1494" s="63" t="s">
        <v>472</v>
      </c>
      <c r="D1494" s="63" t="s">
        <v>59</v>
      </c>
      <c r="E1494" s="63" t="s">
        <v>177</v>
      </c>
      <c r="F1494" s="63" t="s">
        <v>2706</v>
      </c>
      <c r="G1494">
        <v>1</v>
      </c>
      <c r="H1494">
        <v>27</v>
      </c>
      <c r="I1494">
        <v>141</v>
      </c>
      <c r="J1494">
        <v>3278</v>
      </c>
      <c r="K1494">
        <v>769.22</v>
      </c>
      <c r="L1494">
        <v>40</v>
      </c>
    </row>
    <row r="1495" spans="1:12">
      <c r="A1495">
        <v>9199</v>
      </c>
      <c r="B1495" s="63" t="s">
        <v>471</v>
      </c>
      <c r="C1495" s="63" t="s">
        <v>488</v>
      </c>
      <c r="D1495" s="63" t="s">
        <v>59</v>
      </c>
      <c r="E1495" s="63" t="s">
        <v>177</v>
      </c>
      <c r="F1495" s="63" t="s">
        <v>2054</v>
      </c>
      <c r="G1495">
        <v>1</v>
      </c>
      <c r="H1495">
        <v>11</v>
      </c>
      <c r="I1495">
        <v>66</v>
      </c>
      <c r="J1495">
        <v>1583</v>
      </c>
      <c r="K1495">
        <v>27.08</v>
      </c>
      <c r="L1495">
        <v>6</v>
      </c>
    </row>
    <row r="1496" spans="1:12">
      <c r="A1496">
        <v>9199</v>
      </c>
      <c r="B1496" s="63" t="s">
        <v>2535</v>
      </c>
      <c r="C1496" s="63" t="s">
        <v>2536</v>
      </c>
      <c r="D1496" s="63" t="s">
        <v>59</v>
      </c>
      <c r="E1496" s="63" t="s">
        <v>177</v>
      </c>
      <c r="F1496" s="63" t="s">
        <v>2707</v>
      </c>
      <c r="G1496">
        <v>1</v>
      </c>
      <c r="H1496">
        <v>11</v>
      </c>
      <c r="I1496">
        <v>66</v>
      </c>
      <c r="J1496">
        <v>1576</v>
      </c>
      <c r="K1496">
        <v>35.700000000000003</v>
      </c>
      <c r="L1496">
        <v>7</v>
      </c>
    </row>
    <row r="1497" spans="1:12">
      <c r="A1497">
        <v>9199</v>
      </c>
      <c r="B1497" s="63" t="s">
        <v>866</v>
      </c>
      <c r="C1497" s="63" t="s">
        <v>1837</v>
      </c>
      <c r="D1497" s="63" t="s">
        <v>59</v>
      </c>
      <c r="E1497" s="63" t="s">
        <v>177</v>
      </c>
      <c r="F1497" s="63" t="s">
        <v>2708</v>
      </c>
      <c r="G1497">
        <v>1</v>
      </c>
      <c r="H1497">
        <v>21</v>
      </c>
      <c r="I1497">
        <v>126</v>
      </c>
      <c r="J1497">
        <v>2510</v>
      </c>
      <c r="K1497">
        <v>102.17</v>
      </c>
      <c r="L1497">
        <v>19</v>
      </c>
    </row>
    <row r="1498" spans="1:12">
      <c r="A1498">
        <v>9199</v>
      </c>
      <c r="B1498" s="63" t="s">
        <v>256</v>
      </c>
      <c r="C1498" s="63" t="s">
        <v>350</v>
      </c>
      <c r="D1498" s="63" t="s">
        <v>59</v>
      </c>
      <c r="E1498" s="63" t="s">
        <v>254</v>
      </c>
      <c r="F1498" s="63" t="s">
        <v>1857</v>
      </c>
      <c r="G1498">
        <v>1</v>
      </c>
      <c r="H1498">
        <v>9</v>
      </c>
      <c r="I1498">
        <v>54</v>
      </c>
      <c r="J1498">
        <v>1076</v>
      </c>
      <c r="K1498">
        <v>0.78</v>
      </c>
      <c r="L1498">
        <v>13</v>
      </c>
    </row>
    <row r="1499" spans="1:12">
      <c r="A1499">
        <v>9199</v>
      </c>
      <c r="B1499" s="63" t="s">
        <v>256</v>
      </c>
      <c r="C1499" s="63" t="s">
        <v>350</v>
      </c>
      <c r="D1499" s="63" t="s">
        <v>59</v>
      </c>
      <c r="E1499" s="63" t="s">
        <v>177</v>
      </c>
      <c r="F1499" s="63" t="s">
        <v>1108</v>
      </c>
      <c r="G1499">
        <v>1</v>
      </c>
      <c r="H1499">
        <v>5</v>
      </c>
      <c r="I1499">
        <v>30</v>
      </c>
      <c r="J1499">
        <v>585</v>
      </c>
      <c r="K1499">
        <v>100.25</v>
      </c>
      <c r="L1499">
        <v>13</v>
      </c>
    </row>
    <row r="1500" spans="1:12">
      <c r="A1500">
        <v>9199</v>
      </c>
      <c r="B1500" s="63" t="s">
        <v>256</v>
      </c>
      <c r="C1500" s="63" t="s">
        <v>350</v>
      </c>
      <c r="D1500" s="63" t="s">
        <v>59</v>
      </c>
      <c r="E1500" s="63" t="s">
        <v>177</v>
      </c>
      <c r="F1500" s="63" t="s">
        <v>2709</v>
      </c>
      <c r="G1500">
        <v>1</v>
      </c>
      <c r="H1500">
        <v>21</v>
      </c>
      <c r="I1500">
        <v>126</v>
      </c>
      <c r="J1500">
        <v>2504</v>
      </c>
      <c r="K1500">
        <v>0.78</v>
      </c>
      <c r="L1500">
        <v>12</v>
      </c>
    </row>
    <row r="1501" spans="1:12">
      <c r="A1501">
        <v>9199</v>
      </c>
      <c r="B1501" s="63" t="s">
        <v>519</v>
      </c>
      <c r="C1501" s="63" t="s">
        <v>873</v>
      </c>
      <c r="D1501" s="63" t="s">
        <v>59</v>
      </c>
      <c r="E1501" s="63" t="s">
        <v>177</v>
      </c>
      <c r="F1501" s="63" t="s">
        <v>1227</v>
      </c>
      <c r="G1501">
        <v>1</v>
      </c>
      <c r="H1501">
        <v>16</v>
      </c>
      <c r="I1501">
        <v>96</v>
      </c>
      <c r="J1501">
        <v>1874</v>
      </c>
      <c r="K1501">
        <v>23.78</v>
      </c>
      <c r="L1501">
        <v>8</v>
      </c>
    </row>
    <row r="1502" spans="1:12">
      <c r="A1502">
        <v>9199</v>
      </c>
      <c r="B1502" s="63" t="s">
        <v>519</v>
      </c>
      <c r="C1502" s="63" t="s">
        <v>873</v>
      </c>
      <c r="D1502" s="63" t="s">
        <v>59</v>
      </c>
      <c r="E1502" s="63" t="s">
        <v>177</v>
      </c>
      <c r="F1502" s="63" t="s">
        <v>2148</v>
      </c>
      <c r="G1502">
        <v>1</v>
      </c>
      <c r="H1502">
        <v>3</v>
      </c>
      <c r="I1502">
        <v>18</v>
      </c>
      <c r="J1502">
        <v>360</v>
      </c>
      <c r="K1502">
        <v>5.27</v>
      </c>
      <c r="L1502">
        <v>5</v>
      </c>
    </row>
    <row r="1503" spans="1:12">
      <c r="A1503">
        <v>9199</v>
      </c>
      <c r="B1503" s="63" t="s">
        <v>519</v>
      </c>
      <c r="C1503" s="63" t="s">
        <v>874</v>
      </c>
      <c r="D1503" s="63" t="s">
        <v>59</v>
      </c>
      <c r="E1503" s="63" t="s">
        <v>177</v>
      </c>
      <c r="F1503" s="63" t="s">
        <v>2710</v>
      </c>
      <c r="G1503">
        <v>1</v>
      </c>
      <c r="H1503">
        <v>20</v>
      </c>
      <c r="I1503">
        <v>120</v>
      </c>
      <c r="J1503">
        <v>2393</v>
      </c>
      <c r="K1503">
        <v>28.13</v>
      </c>
      <c r="L1503">
        <v>8</v>
      </c>
    </row>
    <row r="1504" spans="1:12">
      <c r="A1504">
        <v>9199</v>
      </c>
      <c r="B1504" s="63" t="s">
        <v>890</v>
      </c>
      <c r="C1504" s="63" t="s">
        <v>1602</v>
      </c>
      <c r="D1504" s="63" t="s">
        <v>59</v>
      </c>
      <c r="E1504" s="63" t="s">
        <v>177</v>
      </c>
      <c r="F1504" s="63" t="s">
        <v>1934</v>
      </c>
      <c r="G1504">
        <v>1</v>
      </c>
      <c r="H1504">
        <v>48</v>
      </c>
      <c r="I1504">
        <v>384</v>
      </c>
      <c r="J1504">
        <v>3789</v>
      </c>
      <c r="K1504">
        <v>734.2</v>
      </c>
      <c r="L1504">
        <v>40</v>
      </c>
    </row>
    <row r="1505" spans="1:12">
      <c r="A1505">
        <v>9199</v>
      </c>
      <c r="B1505" s="63" t="s">
        <v>474</v>
      </c>
      <c r="C1505" s="63" t="s">
        <v>2310</v>
      </c>
      <c r="D1505" s="63" t="s">
        <v>59</v>
      </c>
      <c r="E1505" s="63" t="s">
        <v>177</v>
      </c>
      <c r="F1505" s="63" t="s">
        <v>2711</v>
      </c>
      <c r="G1505">
        <v>1</v>
      </c>
      <c r="H1505">
        <v>13</v>
      </c>
      <c r="I1505">
        <v>78</v>
      </c>
      <c r="J1505">
        <v>1000</v>
      </c>
      <c r="K1505">
        <v>50.22</v>
      </c>
      <c r="L1505">
        <v>11</v>
      </c>
    </row>
    <row r="1506" spans="1:12">
      <c r="A1506">
        <v>9199</v>
      </c>
      <c r="B1506" s="63" t="s">
        <v>429</v>
      </c>
      <c r="C1506" s="63" t="s">
        <v>430</v>
      </c>
      <c r="D1506" s="63" t="s">
        <v>59</v>
      </c>
      <c r="E1506" s="63" t="s">
        <v>254</v>
      </c>
      <c r="F1506" s="63" t="s">
        <v>1365</v>
      </c>
      <c r="G1506">
        <v>1</v>
      </c>
      <c r="H1506">
        <v>37</v>
      </c>
      <c r="I1506">
        <v>518</v>
      </c>
      <c r="J1506">
        <v>2829</v>
      </c>
      <c r="K1506">
        <v>1347.27</v>
      </c>
      <c r="L1506">
        <v>67</v>
      </c>
    </row>
    <row r="1507" spans="1:12">
      <c r="A1507">
        <v>9199</v>
      </c>
      <c r="B1507" s="63" t="s">
        <v>429</v>
      </c>
      <c r="C1507" s="63" t="s">
        <v>430</v>
      </c>
      <c r="D1507" s="63" t="s">
        <v>59</v>
      </c>
      <c r="E1507" s="63" t="s">
        <v>177</v>
      </c>
      <c r="F1507" s="63" t="s">
        <v>2712</v>
      </c>
      <c r="G1507">
        <v>1</v>
      </c>
      <c r="H1507">
        <v>12</v>
      </c>
      <c r="I1507">
        <v>168</v>
      </c>
      <c r="J1507">
        <v>922</v>
      </c>
      <c r="K1507">
        <v>106.33</v>
      </c>
      <c r="L1507">
        <v>30</v>
      </c>
    </row>
    <row r="1508" spans="1:12">
      <c r="A1508">
        <v>9199</v>
      </c>
      <c r="B1508" s="63" t="s">
        <v>376</v>
      </c>
      <c r="C1508" s="63" t="s">
        <v>927</v>
      </c>
      <c r="D1508" s="63" t="s">
        <v>59</v>
      </c>
      <c r="E1508" s="63" t="s">
        <v>177</v>
      </c>
      <c r="F1508" s="63" t="s">
        <v>2713</v>
      </c>
      <c r="G1508">
        <v>1</v>
      </c>
      <c r="H1508">
        <v>54</v>
      </c>
      <c r="I1508">
        <v>324</v>
      </c>
      <c r="J1508">
        <v>3333</v>
      </c>
      <c r="K1508">
        <v>240.4</v>
      </c>
      <c r="L1508">
        <v>34</v>
      </c>
    </row>
    <row r="1509" spans="1:12">
      <c r="A1509">
        <v>9199</v>
      </c>
      <c r="B1509" s="63" t="s">
        <v>376</v>
      </c>
      <c r="C1509" s="63" t="s">
        <v>928</v>
      </c>
      <c r="D1509" s="63" t="s">
        <v>59</v>
      </c>
      <c r="E1509" s="63" t="s">
        <v>177</v>
      </c>
      <c r="F1509" s="63" t="s">
        <v>2714</v>
      </c>
      <c r="G1509">
        <v>1</v>
      </c>
      <c r="H1509">
        <v>31</v>
      </c>
      <c r="I1509">
        <v>186</v>
      </c>
      <c r="J1509">
        <v>1851</v>
      </c>
      <c r="K1509">
        <v>134.9</v>
      </c>
      <c r="L1509">
        <v>15</v>
      </c>
    </row>
    <row r="1510" spans="1:12">
      <c r="A1510">
        <v>9199</v>
      </c>
      <c r="B1510" s="63" t="s">
        <v>376</v>
      </c>
      <c r="C1510" s="63" t="s">
        <v>928</v>
      </c>
      <c r="D1510" s="63" t="s">
        <v>59</v>
      </c>
      <c r="E1510" s="63" t="s">
        <v>177</v>
      </c>
      <c r="F1510" s="63" t="s">
        <v>2715</v>
      </c>
      <c r="G1510">
        <v>1</v>
      </c>
      <c r="H1510">
        <v>19</v>
      </c>
      <c r="I1510">
        <v>114</v>
      </c>
      <c r="J1510">
        <v>1184</v>
      </c>
      <c r="K1510">
        <v>130</v>
      </c>
      <c r="L1510">
        <v>16</v>
      </c>
    </row>
    <row r="1511" spans="1:12">
      <c r="A1511">
        <v>9199</v>
      </c>
      <c r="B1511" s="63" t="s">
        <v>352</v>
      </c>
      <c r="C1511" s="63" t="s">
        <v>2317</v>
      </c>
      <c r="D1511" s="63" t="s">
        <v>59</v>
      </c>
      <c r="E1511" s="63" t="s">
        <v>177</v>
      </c>
      <c r="F1511" s="63" t="s">
        <v>1481</v>
      </c>
      <c r="G1511">
        <v>1</v>
      </c>
      <c r="H1511">
        <v>25</v>
      </c>
      <c r="I1511">
        <v>375</v>
      </c>
      <c r="J1511">
        <v>870</v>
      </c>
      <c r="K1511">
        <v>236.58</v>
      </c>
      <c r="L1511">
        <v>20</v>
      </c>
    </row>
    <row r="1512" spans="1:12">
      <c r="A1512">
        <v>9199</v>
      </c>
      <c r="B1512" s="63" t="s">
        <v>829</v>
      </c>
      <c r="C1512" s="63" t="s">
        <v>1787</v>
      </c>
      <c r="D1512" s="63" t="s">
        <v>305</v>
      </c>
      <c r="E1512" s="63" t="s">
        <v>177</v>
      </c>
      <c r="F1512" s="63" t="s">
        <v>2716</v>
      </c>
      <c r="G1512">
        <v>1</v>
      </c>
      <c r="H1512">
        <v>8</v>
      </c>
      <c r="I1512">
        <v>224</v>
      </c>
      <c r="J1512">
        <v>224</v>
      </c>
      <c r="K1512">
        <v>641.87</v>
      </c>
      <c r="L1512">
        <v>37</v>
      </c>
    </row>
    <row r="1513" spans="1:12">
      <c r="A1513">
        <v>9199</v>
      </c>
      <c r="B1513" s="63" t="s">
        <v>829</v>
      </c>
      <c r="C1513" s="63" t="s">
        <v>1787</v>
      </c>
      <c r="D1513" s="63" t="s">
        <v>59</v>
      </c>
      <c r="E1513" s="63" t="s">
        <v>311</v>
      </c>
      <c r="F1513" s="63" t="s">
        <v>2717</v>
      </c>
      <c r="G1513">
        <v>1</v>
      </c>
      <c r="H1513">
        <v>39</v>
      </c>
      <c r="I1513">
        <v>1082</v>
      </c>
      <c r="J1513">
        <v>1082</v>
      </c>
      <c r="K1513">
        <v>644.6</v>
      </c>
      <c r="L1513">
        <v>38</v>
      </c>
    </row>
    <row r="1514" spans="1:12">
      <c r="A1514">
        <v>9199</v>
      </c>
      <c r="B1514" s="63" t="s">
        <v>829</v>
      </c>
      <c r="C1514" s="63" t="s">
        <v>1787</v>
      </c>
      <c r="D1514" s="63" t="s">
        <v>59</v>
      </c>
      <c r="E1514" s="63" t="s">
        <v>177</v>
      </c>
      <c r="F1514" s="63" t="s">
        <v>1760</v>
      </c>
      <c r="G1514">
        <v>1</v>
      </c>
      <c r="H1514">
        <v>36</v>
      </c>
      <c r="I1514">
        <v>1003</v>
      </c>
      <c r="J1514">
        <v>1003</v>
      </c>
      <c r="K1514">
        <v>94.18</v>
      </c>
      <c r="L1514">
        <v>38</v>
      </c>
    </row>
    <row r="1515" spans="1:12">
      <c r="A1515">
        <v>9199</v>
      </c>
      <c r="B1515" s="63" t="s">
        <v>829</v>
      </c>
      <c r="C1515" s="63" t="s">
        <v>1787</v>
      </c>
      <c r="D1515" s="63" t="s">
        <v>59</v>
      </c>
      <c r="E1515" s="63" t="s">
        <v>177</v>
      </c>
      <c r="F1515" s="63" t="s">
        <v>2718</v>
      </c>
      <c r="G1515">
        <v>1</v>
      </c>
      <c r="H1515">
        <v>12</v>
      </c>
      <c r="I1515">
        <v>333</v>
      </c>
      <c r="J1515">
        <v>333</v>
      </c>
      <c r="K1515">
        <v>106.78</v>
      </c>
      <c r="L1515">
        <v>38</v>
      </c>
    </row>
    <row r="1516" spans="1:12">
      <c r="A1516">
        <v>9199</v>
      </c>
      <c r="B1516" s="63" t="s">
        <v>432</v>
      </c>
      <c r="C1516" s="63" t="s">
        <v>2719</v>
      </c>
      <c r="D1516" s="63" t="s">
        <v>59</v>
      </c>
      <c r="E1516" s="63" t="s">
        <v>177</v>
      </c>
      <c r="F1516" s="63" t="s">
        <v>2720</v>
      </c>
      <c r="G1516">
        <v>1</v>
      </c>
      <c r="H1516">
        <v>7</v>
      </c>
      <c r="I1516">
        <v>168</v>
      </c>
      <c r="J1516">
        <v>168</v>
      </c>
      <c r="K1516">
        <v>177.4</v>
      </c>
      <c r="L1516">
        <v>14</v>
      </c>
    </row>
    <row r="1517" spans="1:12">
      <c r="A1517">
        <v>9199</v>
      </c>
      <c r="B1517" s="63" t="s">
        <v>257</v>
      </c>
      <c r="C1517" s="63" t="s">
        <v>1815</v>
      </c>
      <c r="D1517" s="63" t="s">
        <v>59</v>
      </c>
      <c r="E1517" s="63" t="s">
        <v>459</v>
      </c>
      <c r="F1517" s="63" t="s">
        <v>1858</v>
      </c>
      <c r="G1517">
        <v>1</v>
      </c>
      <c r="H1517">
        <v>26</v>
      </c>
      <c r="I1517">
        <v>620</v>
      </c>
      <c r="J1517">
        <v>620</v>
      </c>
      <c r="K1517">
        <v>1246.0999999999999</v>
      </c>
      <c r="L1517">
        <v>82</v>
      </c>
    </row>
    <row r="1518" spans="1:12">
      <c r="A1518">
        <v>9199</v>
      </c>
      <c r="B1518" s="63" t="s">
        <v>393</v>
      </c>
      <c r="C1518" s="63" t="s">
        <v>1665</v>
      </c>
      <c r="D1518" s="63" t="s">
        <v>59</v>
      </c>
      <c r="E1518" s="63" t="s">
        <v>177</v>
      </c>
      <c r="F1518" s="63" t="s">
        <v>2721</v>
      </c>
      <c r="G1518">
        <v>1</v>
      </c>
      <c r="H1518">
        <v>27</v>
      </c>
      <c r="I1518">
        <v>640</v>
      </c>
      <c r="J1518">
        <v>640</v>
      </c>
      <c r="K1518">
        <v>244.4</v>
      </c>
      <c r="L1518">
        <v>30</v>
      </c>
    </row>
    <row r="1519" spans="1:12">
      <c r="A1519">
        <v>9199</v>
      </c>
      <c r="B1519" s="63" t="s">
        <v>900</v>
      </c>
      <c r="C1519" s="63" t="s">
        <v>958</v>
      </c>
      <c r="D1519" s="63" t="s">
        <v>301</v>
      </c>
      <c r="E1519" s="63" t="s">
        <v>177</v>
      </c>
      <c r="F1519" s="63" t="s">
        <v>1482</v>
      </c>
      <c r="G1519">
        <v>1</v>
      </c>
      <c r="H1519">
        <v>2</v>
      </c>
      <c r="I1519">
        <v>24</v>
      </c>
      <c r="J1519">
        <v>24</v>
      </c>
      <c r="K1519">
        <v>312</v>
      </c>
      <c r="L1519">
        <v>89</v>
      </c>
    </row>
    <row r="1520" spans="1:12">
      <c r="A1520">
        <v>9199</v>
      </c>
      <c r="B1520" s="63" t="s">
        <v>303</v>
      </c>
      <c r="C1520" s="63" t="s">
        <v>304</v>
      </c>
      <c r="D1520" s="63" t="s">
        <v>59</v>
      </c>
      <c r="E1520" s="63" t="s">
        <v>311</v>
      </c>
      <c r="F1520" s="63" t="s">
        <v>2722</v>
      </c>
      <c r="G1520">
        <v>1</v>
      </c>
      <c r="H1520">
        <v>16</v>
      </c>
      <c r="I1520">
        <v>96</v>
      </c>
      <c r="J1520">
        <v>382</v>
      </c>
      <c r="K1520">
        <v>171.35</v>
      </c>
      <c r="L1520">
        <v>15</v>
      </c>
    </row>
    <row r="1521" spans="1:12">
      <c r="A1521">
        <v>9199</v>
      </c>
      <c r="B1521" s="63" t="s">
        <v>419</v>
      </c>
      <c r="C1521" s="63" t="s">
        <v>420</v>
      </c>
      <c r="D1521" s="63" t="s">
        <v>59</v>
      </c>
      <c r="E1521" s="63" t="s">
        <v>177</v>
      </c>
      <c r="F1521" s="63" t="s">
        <v>1203</v>
      </c>
      <c r="G1521">
        <v>1</v>
      </c>
      <c r="H1521">
        <v>19</v>
      </c>
      <c r="I1521">
        <v>380</v>
      </c>
      <c r="J1521">
        <v>380</v>
      </c>
      <c r="K1521">
        <v>4.3499999999999996</v>
      </c>
      <c r="L1521">
        <v>17</v>
      </c>
    </row>
    <row r="1522" spans="1:12">
      <c r="A1522">
        <v>9199</v>
      </c>
      <c r="B1522" s="63" t="s">
        <v>2723</v>
      </c>
      <c r="C1522" s="63" t="s">
        <v>2724</v>
      </c>
      <c r="D1522" s="63" t="s">
        <v>59</v>
      </c>
      <c r="E1522" s="63" t="s">
        <v>177</v>
      </c>
      <c r="F1522" s="63" t="s">
        <v>1551</v>
      </c>
      <c r="G1522">
        <v>1</v>
      </c>
      <c r="H1522">
        <v>45</v>
      </c>
      <c r="I1522">
        <v>900</v>
      </c>
      <c r="J1522">
        <v>900</v>
      </c>
      <c r="K1522">
        <v>321.97000000000003</v>
      </c>
      <c r="L1522">
        <v>23</v>
      </c>
    </row>
    <row r="1523" spans="1:12">
      <c r="A1523">
        <v>9199</v>
      </c>
      <c r="B1523" s="63" t="s">
        <v>490</v>
      </c>
      <c r="C1523" s="63" t="s">
        <v>491</v>
      </c>
      <c r="D1523" s="63" t="s">
        <v>59</v>
      </c>
      <c r="E1523" s="63" t="s">
        <v>177</v>
      </c>
      <c r="F1523" s="63" t="s">
        <v>2725</v>
      </c>
      <c r="G1523">
        <v>1</v>
      </c>
      <c r="H1523">
        <v>6</v>
      </c>
      <c r="I1523">
        <v>104</v>
      </c>
      <c r="J1523">
        <v>104</v>
      </c>
      <c r="K1523">
        <v>13.2</v>
      </c>
      <c r="L1523">
        <v>5</v>
      </c>
    </row>
    <row r="1524" spans="1:12">
      <c r="A1524">
        <v>9199</v>
      </c>
      <c r="B1524" s="63" t="s">
        <v>490</v>
      </c>
      <c r="C1524" s="63" t="s">
        <v>2668</v>
      </c>
      <c r="D1524" s="63" t="s">
        <v>59</v>
      </c>
      <c r="E1524" s="63" t="s">
        <v>2147</v>
      </c>
      <c r="F1524" s="63" t="s">
        <v>966</v>
      </c>
      <c r="G1524">
        <v>1</v>
      </c>
      <c r="H1524">
        <v>41</v>
      </c>
      <c r="I1524">
        <v>735</v>
      </c>
      <c r="J1524">
        <v>735</v>
      </c>
      <c r="K1524">
        <v>11.75</v>
      </c>
      <c r="L1524">
        <v>5</v>
      </c>
    </row>
    <row r="1525" spans="1:12">
      <c r="A1525">
        <v>9199</v>
      </c>
      <c r="B1525" s="63" t="s">
        <v>861</v>
      </c>
      <c r="C1525" s="63" t="s">
        <v>2726</v>
      </c>
      <c r="D1525" s="63" t="s">
        <v>59</v>
      </c>
      <c r="E1525" s="63" t="s">
        <v>177</v>
      </c>
      <c r="F1525" s="63" t="s">
        <v>1205</v>
      </c>
      <c r="G1525">
        <v>1</v>
      </c>
      <c r="H1525">
        <v>20</v>
      </c>
      <c r="I1525">
        <v>360</v>
      </c>
      <c r="J1525">
        <v>360</v>
      </c>
      <c r="K1525">
        <v>597.28</v>
      </c>
      <c r="L1525">
        <v>30</v>
      </c>
    </row>
    <row r="1526" spans="1:12">
      <c r="A1526">
        <v>9199</v>
      </c>
      <c r="B1526" s="63" t="s">
        <v>386</v>
      </c>
      <c r="C1526" s="63" t="s">
        <v>387</v>
      </c>
      <c r="D1526" s="63" t="s">
        <v>59</v>
      </c>
      <c r="E1526" s="63" t="s">
        <v>311</v>
      </c>
      <c r="F1526" s="63" t="s">
        <v>1300</v>
      </c>
      <c r="G1526">
        <v>1</v>
      </c>
      <c r="H1526">
        <v>54</v>
      </c>
      <c r="I1526">
        <v>958</v>
      </c>
      <c r="J1526">
        <v>958</v>
      </c>
      <c r="K1526">
        <v>1191.98</v>
      </c>
      <c r="L1526">
        <v>71</v>
      </c>
    </row>
    <row r="1527" spans="1:12">
      <c r="A1527">
        <v>9199</v>
      </c>
      <c r="B1527" s="63" t="s">
        <v>386</v>
      </c>
      <c r="C1527" s="63" t="s">
        <v>387</v>
      </c>
      <c r="D1527" s="63" t="s">
        <v>59</v>
      </c>
      <c r="E1527" s="63" t="s">
        <v>508</v>
      </c>
      <c r="F1527" s="63" t="s">
        <v>1883</v>
      </c>
      <c r="G1527">
        <v>1</v>
      </c>
      <c r="H1527">
        <v>39</v>
      </c>
      <c r="I1527">
        <v>698</v>
      </c>
      <c r="J1527">
        <v>698</v>
      </c>
      <c r="K1527">
        <v>1837.78</v>
      </c>
      <c r="L1527">
        <v>96</v>
      </c>
    </row>
    <row r="1528" spans="1:12">
      <c r="A1528">
        <v>9199</v>
      </c>
      <c r="B1528" s="63" t="s">
        <v>1863</v>
      </c>
      <c r="C1528" s="63" t="s">
        <v>1892</v>
      </c>
      <c r="D1528" s="63" t="s">
        <v>59</v>
      </c>
      <c r="E1528" s="63" t="s">
        <v>311</v>
      </c>
      <c r="F1528" s="63" t="s">
        <v>1549</v>
      </c>
      <c r="G1528">
        <v>1</v>
      </c>
      <c r="H1528">
        <v>33</v>
      </c>
      <c r="I1528">
        <v>594</v>
      </c>
      <c r="J1528">
        <v>594</v>
      </c>
      <c r="K1528">
        <v>582.04999999999995</v>
      </c>
      <c r="L1528">
        <v>60</v>
      </c>
    </row>
    <row r="1529" spans="1:12">
      <c r="A1529">
        <v>9199</v>
      </c>
      <c r="B1529" s="63" t="s">
        <v>396</v>
      </c>
      <c r="C1529" s="63" t="s">
        <v>2576</v>
      </c>
      <c r="D1529" s="63" t="s">
        <v>59</v>
      </c>
      <c r="E1529" s="63" t="s">
        <v>177</v>
      </c>
      <c r="F1529" s="63" t="s">
        <v>2727</v>
      </c>
      <c r="G1529">
        <v>1</v>
      </c>
      <c r="H1529">
        <v>22</v>
      </c>
      <c r="I1529">
        <v>374</v>
      </c>
      <c r="J1529">
        <v>374</v>
      </c>
      <c r="K1529">
        <v>64.47</v>
      </c>
      <c r="L1529">
        <v>7</v>
      </c>
    </row>
    <row r="1530" spans="1:12">
      <c r="A1530">
        <v>9199</v>
      </c>
      <c r="B1530" s="63" t="s">
        <v>396</v>
      </c>
      <c r="C1530" s="63" t="s">
        <v>2576</v>
      </c>
      <c r="D1530" s="63" t="s">
        <v>59</v>
      </c>
      <c r="E1530" s="63" t="s">
        <v>177</v>
      </c>
      <c r="F1530" s="63" t="s">
        <v>1202</v>
      </c>
      <c r="G1530">
        <v>1</v>
      </c>
      <c r="H1530">
        <v>28</v>
      </c>
      <c r="I1530">
        <v>503</v>
      </c>
      <c r="J1530">
        <v>503</v>
      </c>
      <c r="K1530">
        <v>56.38</v>
      </c>
      <c r="L1530">
        <v>7</v>
      </c>
    </row>
    <row r="1531" spans="1:12">
      <c r="A1531">
        <v>9199</v>
      </c>
      <c r="B1531" s="63" t="s">
        <v>356</v>
      </c>
      <c r="C1531" s="63" t="s">
        <v>357</v>
      </c>
      <c r="D1531" s="63" t="s">
        <v>59</v>
      </c>
      <c r="E1531" s="63" t="s">
        <v>177</v>
      </c>
      <c r="F1531" s="63" t="s">
        <v>2728</v>
      </c>
      <c r="G1531">
        <v>1</v>
      </c>
      <c r="H1531">
        <v>1</v>
      </c>
      <c r="I1531">
        <v>17</v>
      </c>
      <c r="J1531">
        <v>17</v>
      </c>
      <c r="K1531">
        <v>433.33</v>
      </c>
      <c r="L1531">
        <v>25</v>
      </c>
    </row>
    <row r="1532" spans="1:12">
      <c r="A1532">
        <v>9199</v>
      </c>
      <c r="B1532" s="63" t="s">
        <v>356</v>
      </c>
      <c r="C1532" s="63" t="s">
        <v>2729</v>
      </c>
      <c r="D1532" s="63" t="s">
        <v>59</v>
      </c>
      <c r="E1532" s="63" t="s">
        <v>177</v>
      </c>
      <c r="F1532" s="63" t="s">
        <v>1569</v>
      </c>
      <c r="G1532">
        <v>1</v>
      </c>
      <c r="H1532">
        <v>14</v>
      </c>
      <c r="I1532">
        <v>252</v>
      </c>
      <c r="J1532">
        <v>252</v>
      </c>
      <c r="K1532">
        <v>279.45</v>
      </c>
      <c r="L1532">
        <v>15</v>
      </c>
    </row>
    <row r="1533" spans="1:12">
      <c r="A1533">
        <v>9199</v>
      </c>
      <c r="B1533" s="63" t="s">
        <v>832</v>
      </c>
      <c r="C1533" s="63" t="s">
        <v>1824</v>
      </c>
      <c r="D1533" s="63" t="s">
        <v>59</v>
      </c>
      <c r="E1533" s="63" t="s">
        <v>311</v>
      </c>
      <c r="F1533" s="63" t="s">
        <v>2730</v>
      </c>
      <c r="G1533">
        <v>1</v>
      </c>
      <c r="H1533">
        <v>25</v>
      </c>
      <c r="I1533">
        <v>445</v>
      </c>
      <c r="J1533">
        <v>445</v>
      </c>
      <c r="K1533">
        <v>652.47</v>
      </c>
      <c r="L1533">
        <v>39</v>
      </c>
    </row>
    <row r="1534" spans="1:12">
      <c r="A1534">
        <v>9199</v>
      </c>
      <c r="B1534" s="63" t="s">
        <v>698</v>
      </c>
      <c r="C1534" s="63" t="s">
        <v>2324</v>
      </c>
      <c r="D1534" s="63" t="s">
        <v>59</v>
      </c>
      <c r="E1534" s="63" t="s">
        <v>177</v>
      </c>
      <c r="F1534" s="63" t="s">
        <v>2731</v>
      </c>
      <c r="G1534">
        <v>1</v>
      </c>
      <c r="H1534">
        <v>30</v>
      </c>
      <c r="I1534">
        <v>538</v>
      </c>
      <c r="J1534">
        <v>538</v>
      </c>
      <c r="K1534">
        <v>5.33</v>
      </c>
      <c r="L1534">
        <v>8</v>
      </c>
    </row>
    <row r="1535" spans="1:12">
      <c r="A1535">
        <v>9199</v>
      </c>
      <c r="B1535" s="63" t="s">
        <v>698</v>
      </c>
      <c r="C1535" s="63" t="s">
        <v>2324</v>
      </c>
      <c r="D1535" s="63" t="s">
        <v>59</v>
      </c>
      <c r="E1535" s="63" t="s">
        <v>177</v>
      </c>
      <c r="F1535" s="63" t="s">
        <v>617</v>
      </c>
      <c r="G1535">
        <v>1</v>
      </c>
      <c r="H1535">
        <v>10</v>
      </c>
      <c r="I1535">
        <v>172</v>
      </c>
      <c r="J1535">
        <v>172</v>
      </c>
      <c r="K1535">
        <v>8.07</v>
      </c>
      <c r="L1535">
        <v>8</v>
      </c>
    </row>
    <row r="1536" spans="1:12">
      <c r="A1536">
        <v>9199</v>
      </c>
      <c r="B1536" s="63" t="s">
        <v>698</v>
      </c>
      <c r="C1536" s="63" t="s">
        <v>2324</v>
      </c>
      <c r="D1536" s="63" t="s">
        <v>59</v>
      </c>
      <c r="E1536" s="63" t="s">
        <v>177</v>
      </c>
      <c r="F1536" s="63" t="s">
        <v>1877</v>
      </c>
      <c r="G1536">
        <v>1</v>
      </c>
      <c r="H1536">
        <v>50</v>
      </c>
      <c r="I1536">
        <v>897</v>
      </c>
      <c r="J1536">
        <v>897</v>
      </c>
      <c r="K1536">
        <v>7.83</v>
      </c>
      <c r="L1536">
        <v>8</v>
      </c>
    </row>
    <row r="1537" spans="1:12">
      <c r="A1537">
        <v>9199</v>
      </c>
      <c r="B1537" s="63" t="s">
        <v>698</v>
      </c>
      <c r="C1537" s="63" t="s">
        <v>2324</v>
      </c>
      <c r="D1537" s="63" t="s">
        <v>59</v>
      </c>
      <c r="E1537" s="63" t="s">
        <v>177</v>
      </c>
      <c r="F1537" s="63" t="s">
        <v>1093</v>
      </c>
      <c r="G1537">
        <v>1</v>
      </c>
      <c r="H1537">
        <v>52</v>
      </c>
      <c r="I1537">
        <v>864</v>
      </c>
      <c r="J1537">
        <v>864</v>
      </c>
      <c r="K1537">
        <v>46.17</v>
      </c>
      <c r="L1537">
        <v>8</v>
      </c>
    </row>
    <row r="1538" spans="1:12">
      <c r="A1538">
        <v>9199</v>
      </c>
      <c r="B1538" s="63" t="s">
        <v>480</v>
      </c>
      <c r="C1538" s="63" t="s">
        <v>670</v>
      </c>
      <c r="D1538" s="63" t="s">
        <v>59</v>
      </c>
      <c r="E1538" s="63" t="s">
        <v>177</v>
      </c>
      <c r="F1538" s="63" t="s">
        <v>1894</v>
      </c>
      <c r="G1538">
        <v>1</v>
      </c>
      <c r="H1538">
        <v>18</v>
      </c>
      <c r="I1538">
        <v>305</v>
      </c>
      <c r="J1538">
        <v>305</v>
      </c>
      <c r="K1538">
        <v>90.1</v>
      </c>
      <c r="L1538">
        <v>13</v>
      </c>
    </row>
    <row r="1539" spans="1:12">
      <c r="A1539">
        <v>9199</v>
      </c>
      <c r="B1539" s="63" t="s">
        <v>480</v>
      </c>
      <c r="C1539" s="63" t="s">
        <v>670</v>
      </c>
      <c r="D1539" s="63" t="s">
        <v>59</v>
      </c>
      <c r="E1539" s="63" t="s">
        <v>177</v>
      </c>
      <c r="F1539" s="63" t="s">
        <v>2732</v>
      </c>
      <c r="G1539">
        <v>1</v>
      </c>
      <c r="H1539">
        <v>28</v>
      </c>
      <c r="I1539">
        <v>500</v>
      </c>
      <c r="J1539">
        <v>500</v>
      </c>
      <c r="K1539">
        <v>106.07</v>
      </c>
      <c r="L1539">
        <v>13</v>
      </c>
    </row>
    <row r="1540" spans="1:12">
      <c r="A1540">
        <v>9199</v>
      </c>
      <c r="B1540" s="63" t="s">
        <v>480</v>
      </c>
      <c r="C1540" s="63" t="s">
        <v>670</v>
      </c>
      <c r="D1540" s="63" t="s">
        <v>59</v>
      </c>
      <c r="E1540" s="63" t="s">
        <v>177</v>
      </c>
      <c r="F1540" s="63" t="s">
        <v>1864</v>
      </c>
      <c r="G1540">
        <v>1</v>
      </c>
      <c r="H1540">
        <v>21</v>
      </c>
      <c r="I1540">
        <v>337</v>
      </c>
      <c r="J1540">
        <v>337</v>
      </c>
      <c r="K1540">
        <v>1176.3</v>
      </c>
      <c r="L1540">
        <v>57</v>
      </c>
    </row>
    <row r="1541" spans="1:12">
      <c r="A1541">
        <v>9199</v>
      </c>
      <c r="B1541" s="63" t="s">
        <v>480</v>
      </c>
      <c r="C1541" s="63" t="s">
        <v>670</v>
      </c>
      <c r="D1541" s="63" t="s">
        <v>59</v>
      </c>
      <c r="E1541" s="63" t="s">
        <v>177</v>
      </c>
      <c r="F1541" s="63" t="s">
        <v>2207</v>
      </c>
      <c r="G1541">
        <v>1</v>
      </c>
      <c r="H1541">
        <v>1</v>
      </c>
      <c r="I1541">
        <v>18</v>
      </c>
      <c r="J1541">
        <v>18</v>
      </c>
      <c r="K1541">
        <v>0.6</v>
      </c>
      <c r="L1541">
        <v>13</v>
      </c>
    </row>
    <row r="1542" spans="1:12">
      <c r="A1542">
        <v>9199</v>
      </c>
      <c r="B1542" s="63" t="s">
        <v>2733</v>
      </c>
      <c r="C1542" s="63" t="s">
        <v>2734</v>
      </c>
      <c r="D1542" s="63" t="s">
        <v>301</v>
      </c>
      <c r="E1542" s="63" t="s">
        <v>177</v>
      </c>
      <c r="F1542" s="63" t="s">
        <v>2735</v>
      </c>
      <c r="G1542">
        <v>1</v>
      </c>
      <c r="H1542">
        <v>18</v>
      </c>
      <c r="I1542">
        <v>269</v>
      </c>
      <c r="J1542">
        <v>269</v>
      </c>
      <c r="K1542">
        <v>485.6</v>
      </c>
      <c r="L1542">
        <v>68</v>
      </c>
    </row>
    <row r="1543" spans="1:12">
      <c r="A1543">
        <v>9199</v>
      </c>
      <c r="B1543" s="63" t="s">
        <v>389</v>
      </c>
      <c r="C1543" s="63" t="s">
        <v>2736</v>
      </c>
      <c r="D1543" s="63" t="s">
        <v>59</v>
      </c>
      <c r="E1543" s="63" t="s">
        <v>177</v>
      </c>
      <c r="F1543" s="63" t="s">
        <v>2737</v>
      </c>
      <c r="G1543">
        <v>1</v>
      </c>
      <c r="H1543">
        <v>48</v>
      </c>
      <c r="I1543">
        <v>557</v>
      </c>
      <c r="J1543">
        <v>557</v>
      </c>
      <c r="K1543">
        <v>220.82</v>
      </c>
      <c r="L1543">
        <v>24</v>
      </c>
    </row>
    <row r="1544" spans="1:12">
      <c r="A1544">
        <v>9199</v>
      </c>
      <c r="B1544" s="63" t="s">
        <v>391</v>
      </c>
      <c r="C1544" s="63" t="s">
        <v>450</v>
      </c>
      <c r="D1544" s="63" t="s">
        <v>59</v>
      </c>
      <c r="E1544" s="63" t="s">
        <v>177</v>
      </c>
      <c r="F1544" s="63" t="s">
        <v>2738</v>
      </c>
      <c r="G1544">
        <v>1</v>
      </c>
      <c r="H1544">
        <v>40</v>
      </c>
      <c r="I1544">
        <v>479</v>
      </c>
      <c r="J1544">
        <v>479</v>
      </c>
      <c r="K1544">
        <v>449.58</v>
      </c>
      <c r="L1544">
        <v>32</v>
      </c>
    </row>
    <row r="1545" spans="1:12">
      <c r="A1545">
        <v>9199</v>
      </c>
      <c r="B1545" s="63" t="s">
        <v>1887</v>
      </c>
      <c r="C1545" s="63" t="s">
        <v>1888</v>
      </c>
      <c r="D1545" s="63" t="s">
        <v>59</v>
      </c>
      <c r="E1545" s="63" t="s">
        <v>177</v>
      </c>
      <c r="F1545" s="63" t="s">
        <v>2739</v>
      </c>
      <c r="G1545">
        <v>1</v>
      </c>
      <c r="H1545">
        <v>13</v>
      </c>
      <c r="I1545">
        <v>153</v>
      </c>
      <c r="J1545">
        <v>153</v>
      </c>
      <c r="K1545">
        <v>10.63</v>
      </c>
      <c r="L1545">
        <v>11</v>
      </c>
    </row>
    <row r="1546" spans="1:12">
      <c r="A1546">
        <v>9199</v>
      </c>
      <c r="B1546" s="63" t="s">
        <v>1887</v>
      </c>
      <c r="C1546" s="63" t="s">
        <v>1888</v>
      </c>
      <c r="D1546" s="63" t="s">
        <v>59</v>
      </c>
      <c r="E1546" s="63" t="s">
        <v>177</v>
      </c>
      <c r="F1546" s="63" t="s">
        <v>1929</v>
      </c>
      <c r="G1546">
        <v>1</v>
      </c>
      <c r="H1546">
        <v>20</v>
      </c>
      <c r="I1546">
        <v>238</v>
      </c>
      <c r="J1546">
        <v>238</v>
      </c>
      <c r="K1546">
        <v>2.0299999999999998</v>
      </c>
      <c r="L1546">
        <v>11</v>
      </c>
    </row>
    <row r="1547" spans="1:12">
      <c r="A1547">
        <v>9199</v>
      </c>
      <c r="B1547" s="63" t="s">
        <v>1887</v>
      </c>
      <c r="C1547" s="63" t="s">
        <v>1888</v>
      </c>
      <c r="D1547" s="63" t="s">
        <v>59</v>
      </c>
      <c r="E1547" s="63" t="s">
        <v>177</v>
      </c>
      <c r="F1547" s="63" t="s">
        <v>2244</v>
      </c>
      <c r="G1547">
        <v>1</v>
      </c>
      <c r="H1547">
        <v>1</v>
      </c>
      <c r="I1547">
        <v>11</v>
      </c>
      <c r="J1547">
        <v>11</v>
      </c>
      <c r="K1547">
        <v>2.02</v>
      </c>
      <c r="L1547">
        <v>9</v>
      </c>
    </row>
    <row r="1548" spans="1:12">
      <c r="A1548">
        <v>9199</v>
      </c>
      <c r="B1548" s="63" t="s">
        <v>506</v>
      </c>
      <c r="C1548" s="63" t="s">
        <v>507</v>
      </c>
      <c r="D1548" s="63" t="s">
        <v>59</v>
      </c>
      <c r="E1548" s="63" t="s">
        <v>177</v>
      </c>
      <c r="F1548" s="63" t="s">
        <v>1367</v>
      </c>
      <c r="G1548">
        <v>1</v>
      </c>
      <c r="H1548">
        <v>17</v>
      </c>
      <c r="I1548">
        <v>202</v>
      </c>
      <c r="J1548">
        <v>202</v>
      </c>
      <c r="K1548">
        <v>839.08</v>
      </c>
      <c r="L1548">
        <v>48</v>
      </c>
    </row>
    <row r="1549" spans="1:12">
      <c r="A1549">
        <v>9199</v>
      </c>
      <c r="B1549" s="63" t="s">
        <v>485</v>
      </c>
      <c r="C1549" s="63" t="s">
        <v>486</v>
      </c>
      <c r="D1549" s="63" t="s">
        <v>59</v>
      </c>
      <c r="E1549" s="63" t="s">
        <v>177</v>
      </c>
      <c r="F1549" s="63" t="s">
        <v>1865</v>
      </c>
      <c r="G1549">
        <v>1</v>
      </c>
      <c r="H1549">
        <v>53</v>
      </c>
      <c r="I1549">
        <v>631</v>
      </c>
      <c r="J1549">
        <v>631</v>
      </c>
      <c r="K1549">
        <v>1734.18</v>
      </c>
      <c r="L1549">
        <v>89</v>
      </c>
    </row>
    <row r="1550" spans="1:12">
      <c r="A1550">
        <v>9199</v>
      </c>
      <c r="B1550" s="63" t="s">
        <v>835</v>
      </c>
      <c r="C1550" s="63" t="s">
        <v>869</v>
      </c>
      <c r="D1550" s="63" t="s">
        <v>59</v>
      </c>
      <c r="E1550" s="63" t="s">
        <v>311</v>
      </c>
      <c r="F1550" s="63" t="s">
        <v>964</v>
      </c>
      <c r="G1550">
        <v>1</v>
      </c>
      <c r="H1550">
        <v>56</v>
      </c>
      <c r="I1550">
        <v>330</v>
      </c>
      <c r="J1550">
        <v>330</v>
      </c>
      <c r="K1550">
        <v>2185.2800000000002</v>
      </c>
      <c r="L1550">
        <v>110</v>
      </c>
    </row>
    <row r="1551" spans="1:12">
      <c r="A1551">
        <v>9199</v>
      </c>
      <c r="B1551" s="63" t="s">
        <v>2740</v>
      </c>
      <c r="C1551" s="63" t="s">
        <v>2741</v>
      </c>
      <c r="D1551" s="63" t="s">
        <v>59</v>
      </c>
      <c r="E1551" s="63" t="s">
        <v>177</v>
      </c>
      <c r="F1551" s="63" t="s">
        <v>2742</v>
      </c>
      <c r="G1551">
        <v>1</v>
      </c>
      <c r="H1551">
        <v>9</v>
      </c>
      <c r="I1551">
        <v>52</v>
      </c>
      <c r="J1551">
        <v>52</v>
      </c>
      <c r="K1551">
        <v>159.69999999999999</v>
      </c>
      <c r="L1551">
        <v>20</v>
      </c>
    </row>
    <row r="1552" spans="1:12">
      <c r="A1552">
        <v>9199</v>
      </c>
      <c r="B1552" s="63" t="s">
        <v>2740</v>
      </c>
      <c r="C1552" s="63" t="s">
        <v>2741</v>
      </c>
      <c r="D1552" s="63" t="s">
        <v>59</v>
      </c>
      <c r="E1552" s="63" t="s">
        <v>177</v>
      </c>
      <c r="F1552" s="63" t="s">
        <v>2743</v>
      </c>
      <c r="G1552">
        <v>1</v>
      </c>
      <c r="H1552">
        <v>41</v>
      </c>
      <c r="I1552">
        <v>223</v>
      </c>
      <c r="J1552">
        <v>223</v>
      </c>
      <c r="K1552">
        <v>191.42</v>
      </c>
      <c r="L1552">
        <v>21</v>
      </c>
    </row>
    <row r="1553" spans="1:12">
      <c r="A1553">
        <v>9199</v>
      </c>
      <c r="B1553" s="63" t="s">
        <v>334</v>
      </c>
      <c r="C1553" s="63" t="s">
        <v>2326</v>
      </c>
      <c r="D1553" s="63" t="s">
        <v>59</v>
      </c>
      <c r="E1553" s="63" t="s">
        <v>177</v>
      </c>
      <c r="F1553" s="63" t="s">
        <v>2744</v>
      </c>
      <c r="G1553">
        <v>1</v>
      </c>
      <c r="H1553">
        <v>24</v>
      </c>
      <c r="I1553">
        <v>128</v>
      </c>
      <c r="J1553">
        <v>128</v>
      </c>
      <c r="K1553">
        <v>166.37</v>
      </c>
      <c r="L1553">
        <v>22</v>
      </c>
    </row>
    <row r="1554" spans="1:12">
      <c r="A1554">
        <v>9199</v>
      </c>
      <c r="B1554" s="63" t="s">
        <v>334</v>
      </c>
      <c r="C1554" s="63" t="s">
        <v>2326</v>
      </c>
      <c r="D1554" s="63" t="s">
        <v>59</v>
      </c>
      <c r="E1554" s="63" t="s">
        <v>177</v>
      </c>
      <c r="F1554" s="63" t="s">
        <v>2745</v>
      </c>
      <c r="G1554">
        <v>1</v>
      </c>
      <c r="H1554">
        <v>38</v>
      </c>
      <c r="I1554">
        <v>226</v>
      </c>
      <c r="J1554">
        <v>226</v>
      </c>
      <c r="K1554">
        <v>82.58</v>
      </c>
      <c r="L1554">
        <v>10</v>
      </c>
    </row>
    <row r="1555" spans="1:12">
      <c r="A1555">
        <v>9199</v>
      </c>
      <c r="B1555" s="63" t="s">
        <v>258</v>
      </c>
      <c r="C1555" s="63" t="s">
        <v>860</v>
      </c>
      <c r="D1555" s="63" t="s">
        <v>307</v>
      </c>
      <c r="E1555" s="63" t="s">
        <v>311</v>
      </c>
      <c r="F1555" s="63" t="s">
        <v>878</v>
      </c>
      <c r="G1555">
        <v>1</v>
      </c>
      <c r="H1555">
        <v>41</v>
      </c>
      <c r="I1555">
        <v>217</v>
      </c>
      <c r="J1555">
        <v>217</v>
      </c>
      <c r="K1555">
        <v>2456.8000000000002</v>
      </c>
      <c r="L1555">
        <v>139</v>
      </c>
    </row>
    <row r="1556" spans="1:12">
      <c r="A1556">
        <v>9199</v>
      </c>
      <c r="B1556" s="63" t="s">
        <v>258</v>
      </c>
      <c r="C1556" s="63" t="s">
        <v>860</v>
      </c>
      <c r="D1556" s="63" t="s">
        <v>59</v>
      </c>
      <c r="E1556" s="63" t="s">
        <v>177</v>
      </c>
      <c r="F1556" s="63" t="s">
        <v>2746</v>
      </c>
      <c r="G1556">
        <v>1</v>
      </c>
      <c r="H1556">
        <v>21</v>
      </c>
      <c r="I1556">
        <v>124</v>
      </c>
      <c r="J1556">
        <v>124</v>
      </c>
      <c r="K1556">
        <v>358.63</v>
      </c>
      <c r="L1556">
        <v>27</v>
      </c>
    </row>
    <row r="1557" spans="1:12">
      <c r="A1557">
        <v>9199</v>
      </c>
      <c r="B1557" s="63" t="s">
        <v>451</v>
      </c>
      <c r="C1557" s="63" t="s">
        <v>1868</v>
      </c>
      <c r="D1557" s="63" t="s">
        <v>301</v>
      </c>
      <c r="E1557" s="63" t="s">
        <v>177</v>
      </c>
      <c r="F1557" s="63" t="s">
        <v>1869</v>
      </c>
      <c r="G1557">
        <v>1</v>
      </c>
      <c r="H1557">
        <v>37</v>
      </c>
      <c r="I1557">
        <v>214</v>
      </c>
      <c r="J1557">
        <v>214</v>
      </c>
      <c r="K1557">
        <v>865.8</v>
      </c>
      <c r="L1557">
        <v>70</v>
      </c>
    </row>
    <row r="1558" spans="1:12">
      <c r="A1558">
        <v>9500</v>
      </c>
      <c r="B1558" s="63" t="s">
        <v>256</v>
      </c>
      <c r="C1558" s="63" t="s">
        <v>350</v>
      </c>
      <c r="D1558" s="63" t="s">
        <v>59</v>
      </c>
      <c r="E1558" s="63" t="s">
        <v>177</v>
      </c>
      <c r="F1558" s="63" t="s">
        <v>2747</v>
      </c>
      <c r="G1558">
        <v>1</v>
      </c>
      <c r="H1558">
        <v>24</v>
      </c>
      <c r="I1558">
        <v>144</v>
      </c>
      <c r="J1558">
        <v>2841</v>
      </c>
      <c r="K1558">
        <v>0.55000000000000004</v>
      </c>
      <c r="L1558">
        <v>12</v>
      </c>
    </row>
    <row r="1559" spans="1:12">
      <c r="A1559">
        <v>9500</v>
      </c>
      <c r="B1559" s="63" t="s">
        <v>2748</v>
      </c>
      <c r="C1559" s="63" t="s">
        <v>2749</v>
      </c>
      <c r="D1559" s="63" t="s">
        <v>285</v>
      </c>
      <c r="E1559" s="63" t="s">
        <v>172</v>
      </c>
      <c r="F1559" s="63" t="s">
        <v>1673</v>
      </c>
      <c r="G1559">
        <v>1</v>
      </c>
      <c r="H1559">
        <v>36</v>
      </c>
      <c r="I1559">
        <v>844</v>
      </c>
      <c r="J1559">
        <v>844</v>
      </c>
      <c r="K1559">
        <v>156.77000000000001</v>
      </c>
      <c r="L1559">
        <v>24</v>
      </c>
    </row>
    <row r="1560" spans="1:12">
      <c r="A1560">
        <v>9500</v>
      </c>
      <c r="B1560" s="63" t="s">
        <v>2676</v>
      </c>
      <c r="C1560" s="63" t="s">
        <v>2750</v>
      </c>
      <c r="D1560" s="63" t="s">
        <v>285</v>
      </c>
      <c r="E1560" s="63" t="s">
        <v>254</v>
      </c>
      <c r="F1560" s="63" t="s">
        <v>1084</v>
      </c>
      <c r="G1560">
        <v>1</v>
      </c>
      <c r="H1560">
        <v>5</v>
      </c>
      <c r="I1560">
        <v>90</v>
      </c>
      <c r="J1560">
        <v>90</v>
      </c>
      <c r="K1560">
        <v>66.23</v>
      </c>
      <c r="L1560">
        <v>31</v>
      </c>
    </row>
    <row r="1561" spans="1:12">
      <c r="A1561">
        <v>9500</v>
      </c>
      <c r="B1561" s="63" t="s">
        <v>480</v>
      </c>
      <c r="C1561" s="63" t="s">
        <v>670</v>
      </c>
      <c r="D1561" s="63" t="s">
        <v>59</v>
      </c>
      <c r="E1561" s="63" t="s">
        <v>176</v>
      </c>
      <c r="F1561" s="63" t="s">
        <v>1117</v>
      </c>
      <c r="G1561">
        <v>1</v>
      </c>
      <c r="H1561">
        <v>50</v>
      </c>
      <c r="I1561">
        <v>897</v>
      </c>
      <c r="J1561">
        <v>897</v>
      </c>
      <c r="K1561">
        <v>0.68</v>
      </c>
      <c r="L1561">
        <v>12</v>
      </c>
    </row>
    <row r="1562" spans="1:12">
      <c r="A1562">
        <v>9500</v>
      </c>
      <c r="B1562" s="63" t="s">
        <v>2751</v>
      </c>
      <c r="C1562" s="63" t="s">
        <v>2752</v>
      </c>
      <c r="D1562" s="63" t="s">
        <v>285</v>
      </c>
      <c r="E1562" s="63" t="s">
        <v>172</v>
      </c>
      <c r="F1562" s="63" t="s">
        <v>2753</v>
      </c>
      <c r="G1562">
        <v>1</v>
      </c>
      <c r="H1562">
        <v>26</v>
      </c>
      <c r="I1562">
        <v>153</v>
      </c>
      <c r="J1562">
        <v>153</v>
      </c>
      <c r="K1562">
        <v>157.35</v>
      </c>
      <c r="L1562">
        <v>25</v>
      </c>
    </row>
    <row r="1563" spans="1:12">
      <c r="A1563">
        <v>9507</v>
      </c>
      <c r="B1563" s="63" t="s">
        <v>428</v>
      </c>
      <c r="C1563" s="63" t="s">
        <v>1101</v>
      </c>
      <c r="D1563" s="63" t="s">
        <v>59</v>
      </c>
      <c r="E1563" s="63" t="s">
        <v>504</v>
      </c>
      <c r="F1563" s="63" t="s">
        <v>1064</v>
      </c>
      <c r="G1563">
        <v>1</v>
      </c>
      <c r="H1563">
        <v>53</v>
      </c>
      <c r="I1563">
        <v>424</v>
      </c>
      <c r="J1563">
        <v>4222</v>
      </c>
      <c r="K1563">
        <v>1940.28</v>
      </c>
      <c r="L1563">
        <v>124</v>
      </c>
    </row>
    <row r="1564" spans="1:12">
      <c r="A1564">
        <v>9507</v>
      </c>
      <c r="B1564" s="63" t="s">
        <v>890</v>
      </c>
      <c r="C1564" s="63" t="s">
        <v>894</v>
      </c>
      <c r="D1564" s="63" t="s">
        <v>59</v>
      </c>
      <c r="E1564" s="63" t="s">
        <v>172</v>
      </c>
      <c r="F1564" s="63" t="s">
        <v>1150</v>
      </c>
      <c r="G1564">
        <v>1</v>
      </c>
      <c r="H1564">
        <v>7</v>
      </c>
      <c r="I1564">
        <v>56</v>
      </c>
      <c r="J1564">
        <v>559</v>
      </c>
      <c r="K1564">
        <v>2091.92</v>
      </c>
      <c r="L1564">
        <v>97</v>
      </c>
    </row>
    <row r="1565" spans="1:12">
      <c r="A1565">
        <v>9507</v>
      </c>
      <c r="B1565" s="63" t="s">
        <v>429</v>
      </c>
      <c r="C1565" s="63" t="s">
        <v>430</v>
      </c>
      <c r="D1565" s="63" t="s">
        <v>59</v>
      </c>
      <c r="E1565" s="63" t="s">
        <v>177</v>
      </c>
      <c r="F1565" s="63" t="s">
        <v>1075</v>
      </c>
      <c r="G1565">
        <v>1</v>
      </c>
      <c r="H1565">
        <v>60</v>
      </c>
      <c r="I1565">
        <v>840</v>
      </c>
      <c r="J1565">
        <v>4607</v>
      </c>
      <c r="K1565">
        <v>1524.28</v>
      </c>
      <c r="L1565">
        <v>67</v>
      </c>
    </row>
    <row r="1566" spans="1:12">
      <c r="A1566">
        <v>9507</v>
      </c>
      <c r="B1566" s="63" t="s">
        <v>468</v>
      </c>
      <c r="C1566" s="63" t="s">
        <v>469</v>
      </c>
      <c r="D1566" s="63" t="s">
        <v>59</v>
      </c>
      <c r="E1566" s="63" t="s">
        <v>459</v>
      </c>
      <c r="F1566" s="63" t="s">
        <v>886</v>
      </c>
      <c r="G1566">
        <v>1</v>
      </c>
      <c r="H1566">
        <v>42</v>
      </c>
      <c r="I1566">
        <v>882</v>
      </c>
      <c r="J1566">
        <v>2622</v>
      </c>
      <c r="K1566">
        <v>2434.6799999999998</v>
      </c>
      <c r="L1566">
        <v>172</v>
      </c>
    </row>
    <row r="1567" spans="1:12">
      <c r="A1567">
        <v>9507</v>
      </c>
      <c r="B1567" s="63" t="s">
        <v>303</v>
      </c>
      <c r="C1567" s="63" t="s">
        <v>304</v>
      </c>
      <c r="D1567" s="63" t="s">
        <v>59</v>
      </c>
      <c r="E1567" s="63" t="s">
        <v>459</v>
      </c>
      <c r="F1567" s="63" t="s">
        <v>1872</v>
      </c>
      <c r="G1567">
        <v>1</v>
      </c>
      <c r="H1567">
        <v>60</v>
      </c>
      <c r="I1567">
        <v>342</v>
      </c>
      <c r="J1567">
        <v>1365</v>
      </c>
      <c r="K1567">
        <v>1446.42</v>
      </c>
      <c r="L1567">
        <v>63</v>
      </c>
    </row>
    <row r="1568" spans="1:12">
      <c r="A1568">
        <v>9508</v>
      </c>
      <c r="B1568" s="63" t="s">
        <v>353</v>
      </c>
      <c r="C1568" s="63" t="s">
        <v>354</v>
      </c>
      <c r="D1568" s="63" t="s">
        <v>307</v>
      </c>
      <c r="E1568" s="63" t="s">
        <v>362</v>
      </c>
      <c r="F1568" s="63" t="s">
        <v>2754</v>
      </c>
      <c r="G1568">
        <v>1</v>
      </c>
      <c r="H1568">
        <v>20</v>
      </c>
      <c r="I1568">
        <v>300</v>
      </c>
      <c r="J1568">
        <v>698</v>
      </c>
      <c r="K1568">
        <v>47.78</v>
      </c>
      <c r="L1568">
        <v>128</v>
      </c>
    </row>
    <row r="1569" spans="1:12">
      <c r="A1569">
        <v>9508</v>
      </c>
      <c r="B1569" s="63" t="s">
        <v>353</v>
      </c>
      <c r="C1569" s="63" t="s">
        <v>354</v>
      </c>
      <c r="D1569" s="63" t="s">
        <v>307</v>
      </c>
      <c r="E1569" s="63" t="s">
        <v>362</v>
      </c>
      <c r="F1569" s="63" t="s">
        <v>2755</v>
      </c>
      <c r="G1569">
        <v>1</v>
      </c>
      <c r="H1569">
        <v>9</v>
      </c>
      <c r="I1569">
        <v>135</v>
      </c>
      <c r="J1569">
        <v>314</v>
      </c>
      <c r="K1569">
        <v>46.92</v>
      </c>
      <c r="L1569">
        <v>128</v>
      </c>
    </row>
    <row r="1570" spans="1:12">
      <c r="A1570">
        <v>9508</v>
      </c>
      <c r="B1570" s="63" t="s">
        <v>353</v>
      </c>
      <c r="C1570" s="63" t="s">
        <v>354</v>
      </c>
      <c r="D1570" s="63" t="s">
        <v>307</v>
      </c>
      <c r="E1570" s="63" t="s">
        <v>1616</v>
      </c>
      <c r="F1570" s="63" t="s">
        <v>2756</v>
      </c>
      <c r="G1570">
        <v>1</v>
      </c>
      <c r="H1570">
        <v>20</v>
      </c>
      <c r="I1570">
        <v>300</v>
      </c>
      <c r="J1570">
        <v>693</v>
      </c>
      <c r="K1570">
        <v>48.68</v>
      </c>
      <c r="L1570">
        <v>128</v>
      </c>
    </row>
    <row r="1571" spans="1:12">
      <c r="A1571">
        <v>9508</v>
      </c>
      <c r="B1571" s="63" t="s">
        <v>353</v>
      </c>
      <c r="C1571" s="63" t="s">
        <v>354</v>
      </c>
      <c r="D1571" s="63" t="s">
        <v>307</v>
      </c>
      <c r="E1571" s="63" t="s">
        <v>1616</v>
      </c>
      <c r="F1571" s="63" t="s">
        <v>1924</v>
      </c>
      <c r="G1571">
        <v>1</v>
      </c>
      <c r="H1571">
        <v>20</v>
      </c>
      <c r="I1571">
        <v>300</v>
      </c>
      <c r="J1571">
        <v>695</v>
      </c>
      <c r="K1571">
        <v>48.42</v>
      </c>
      <c r="L1571">
        <v>128</v>
      </c>
    </row>
    <row r="1572" spans="1:12">
      <c r="A1572">
        <v>9508</v>
      </c>
      <c r="B1572" s="63" t="s">
        <v>353</v>
      </c>
      <c r="C1572" s="63" t="s">
        <v>354</v>
      </c>
      <c r="D1572" s="63" t="s">
        <v>307</v>
      </c>
      <c r="E1572" s="63" t="s">
        <v>294</v>
      </c>
      <c r="F1572" s="63" t="s">
        <v>2757</v>
      </c>
      <c r="G1572">
        <v>1</v>
      </c>
      <c r="H1572">
        <v>20</v>
      </c>
      <c r="I1572">
        <v>300</v>
      </c>
      <c r="J1572">
        <v>699</v>
      </c>
      <c r="K1572">
        <v>50.22</v>
      </c>
      <c r="L1572">
        <v>130</v>
      </c>
    </row>
    <row r="1573" spans="1:12">
      <c r="A1573">
        <v>9508</v>
      </c>
      <c r="B1573" s="63" t="s">
        <v>353</v>
      </c>
      <c r="C1573" s="63" t="s">
        <v>354</v>
      </c>
      <c r="D1573" s="63" t="s">
        <v>307</v>
      </c>
      <c r="E1573" s="63" t="s">
        <v>294</v>
      </c>
      <c r="F1573" s="63" t="s">
        <v>888</v>
      </c>
      <c r="G1573">
        <v>1</v>
      </c>
      <c r="H1573">
        <v>20</v>
      </c>
      <c r="I1573">
        <v>300</v>
      </c>
      <c r="J1573">
        <v>697</v>
      </c>
      <c r="K1573">
        <v>52.77</v>
      </c>
      <c r="L1573">
        <v>129</v>
      </c>
    </row>
    <row r="1574" spans="1:12">
      <c r="A1574">
        <v>9508</v>
      </c>
      <c r="B1574" s="63" t="s">
        <v>353</v>
      </c>
      <c r="C1574" s="63" t="s">
        <v>354</v>
      </c>
      <c r="D1574" s="63" t="s">
        <v>307</v>
      </c>
      <c r="E1574" s="63" t="s">
        <v>294</v>
      </c>
      <c r="F1574" s="63" t="s">
        <v>2758</v>
      </c>
      <c r="G1574">
        <v>1</v>
      </c>
      <c r="H1574">
        <v>20</v>
      </c>
      <c r="I1574">
        <v>300</v>
      </c>
      <c r="J1574">
        <v>700</v>
      </c>
      <c r="K1574">
        <v>53.05</v>
      </c>
      <c r="L1574">
        <v>130</v>
      </c>
    </row>
    <row r="1575" spans="1:12">
      <c r="A1575">
        <v>9508</v>
      </c>
      <c r="B1575" s="63" t="s">
        <v>353</v>
      </c>
      <c r="C1575" s="63" t="s">
        <v>354</v>
      </c>
      <c r="D1575" s="63" t="s">
        <v>307</v>
      </c>
      <c r="E1575" s="63" t="s">
        <v>276</v>
      </c>
      <c r="F1575" s="63" t="s">
        <v>2759</v>
      </c>
      <c r="G1575">
        <v>1</v>
      </c>
      <c r="H1575">
        <v>20</v>
      </c>
      <c r="I1575">
        <v>300</v>
      </c>
      <c r="J1575">
        <v>697</v>
      </c>
      <c r="K1575">
        <v>47.22</v>
      </c>
      <c r="L1575">
        <v>128</v>
      </c>
    </row>
    <row r="1576" spans="1:12">
      <c r="A1576">
        <v>9508</v>
      </c>
      <c r="B1576" s="63" t="s">
        <v>353</v>
      </c>
      <c r="C1576" s="63" t="s">
        <v>354</v>
      </c>
      <c r="D1576" s="63" t="s">
        <v>307</v>
      </c>
      <c r="E1576" s="63" t="s">
        <v>1185</v>
      </c>
      <c r="F1576" s="63" t="s">
        <v>1918</v>
      </c>
      <c r="G1576">
        <v>1</v>
      </c>
      <c r="H1576">
        <v>20</v>
      </c>
      <c r="I1576">
        <v>300</v>
      </c>
      <c r="J1576">
        <v>696</v>
      </c>
      <c r="K1576">
        <v>48.13</v>
      </c>
      <c r="L1576">
        <v>128</v>
      </c>
    </row>
    <row r="1577" spans="1:12">
      <c r="A1577">
        <v>9508</v>
      </c>
      <c r="B1577" s="63" t="s">
        <v>353</v>
      </c>
      <c r="C1577" s="63" t="s">
        <v>354</v>
      </c>
      <c r="D1577" s="63" t="s">
        <v>307</v>
      </c>
      <c r="E1577" s="63" t="s">
        <v>1185</v>
      </c>
      <c r="F1577" s="63" t="s">
        <v>2760</v>
      </c>
      <c r="G1577">
        <v>1</v>
      </c>
      <c r="H1577">
        <v>20</v>
      </c>
      <c r="I1577">
        <v>300</v>
      </c>
      <c r="J1577">
        <v>698</v>
      </c>
      <c r="K1577">
        <v>47.5</v>
      </c>
      <c r="L1577">
        <v>128</v>
      </c>
    </row>
    <row r="1578" spans="1:12">
      <c r="A1578">
        <v>9508</v>
      </c>
      <c r="B1578" s="63" t="s">
        <v>353</v>
      </c>
      <c r="C1578" s="63" t="s">
        <v>354</v>
      </c>
      <c r="D1578" s="63" t="s">
        <v>307</v>
      </c>
      <c r="E1578" s="63" t="s">
        <v>277</v>
      </c>
      <c r="F1578" s="63" t="s">
        <v>1594</v>
      </c>
      <c r="G1578">
        <v>1</v>
      </c>
      <c r="H1578">
        <v>20</v>
      </c>
      <c r="I1578">
        <v>300</v>
      </c>
      <c r="J1578">
        <v>695</v>
      </c>
      <c r="K1578">
        <v>49.3</v>
      </c>
      <c r="L1578">
        <v>131</v>
      </c>
    </row>
    <row r="1579" spans="1:12">
      <c r="A1579">
        <v>9508</v>
      </c>
      <c r="B1579" s="63" t="s">
        <v>353</v>
      </c>
      <c r="C1579" s="63" t="s">
        <v>354</v>
      </c>
      <c r="D1579" s="63" t="s">
        <v>307</v>
      </c>
      <c r="E1579" s="63" t="s">
        <v>277</v>
      </c>
      <c r="F1579" s="63" t="s">
        <v>2761</v>
      </c>
      <c r="G1579">
        <v>1</v>
      </c>
      <c r="H1579">
        <v>20</v>
      </c>
      <c r="I1579">
        <v>300</v>
      </c>
      <c r="J1579">
        <v>697</v>
      </c>
      <c r="K1579">
        <v>49.58</v>
      </c>
      <c r="L1579">
        <v>130</v>
      </c>
    </row>
    <row r="1580" spans="1:12">
      <c r="A1580">
        <v>9508</v>
      </c>
      <c r="B1580" s="63" t="s">
        <v>353</v>
      </c>
      <c r="C1580" s="63" t="s">
        <v>354</v>
      </c>
      <c r="D1580" s="63" t="s">
        <v>307</v>
      </c>
      <c r="E1580" s="63" t="s">
        <v>277</v>
      </c>
      <c r="F1580" s="63" t="s">
        <v>2762</v>
      </c>
      <c r="G1580">
        <v>1</v>
      </c>
      <c r="H1580">
        <v>20</v>
      </c>
      <c r="I1580">
        <v>300</v>
      </c>
      <c r="J1580">
        <v>698</v>
      </c>
      <c r="K1580">
        <v>49.87</v>
      </c>
      <c r="L1580">
        <v>130</v>
      </c>
    </row>
    <row r="1581" spans="1:12">
      <c r="A1581">
        <v>9508</v>
      </c>
      <c r="B1581" s="63" t="s">
        <v>353</v>
      </c>
      <c r="C1581" s="63" t="s">
        <v>354</v>
      </c>
      <c r="D1581" s="63" t="s">
        <v>307</v>
      </c>
      <c r="E1581" s="63" t="s">
        <v>277</v>
      </c>
      <c r="F1581" s="63" t="s">
        <v>619</v>
      </c>
      <c r="G1581">
        <v>1</v>
      </c>
      <c r="H1581">
        <v>20</v>
      </c>
      <c r="I1581">
        <v>300</v>
      </c>
      <c r="J1581">
        <v>700</v>
      </c>
      <c r="K1581">
        <v>53.32</v>
      </c>
      <c r="L1581">
        <v>130</v>
      </c>
    </row>
    <row r="1582" spans="1:12">
      <c r="A1582">
        <v>9508</v>
      </c>
      <c r="B1582" s="63" t="s">
        <v>865</v>
      </c>
      <c r="C1582" s="63" t="s">
        <v>875</v>
      </c>
      <c r="D1582" s="63" t="s">
        <v>59</v>
      </c>
      <c r="E1582" s="63" t="s">
        <v>277</v>
      </c>
      <c r="F1582" s="63" t="s">
        <v>2763</v>
      </c>
      <c r="G1582">
        <v>1</v>
      </c>
      <c r="H1582">
        <v>20</v>
      </c>
      <c r="I1582">
        <v>60</v>
      </c>
      <c r="J1582">
        <v>60</v>
      </c>
      <c r="K1582">
        <v>335.23</v>
      </c>
      <c r="L1582">
        <v>103</v>
      </c>
    </row>
    <row r="1583" spans="1:12">
      <c r="A1583">
        <v>9508</v>
      </c>
      <c r="B1583" s="63" t="s">
        <v>865</v>
      </c>
      <c r="C1583" s="63" t="s">
        <v>875</v>
      </c>
      <c r="D1583" s="63" t="s">
        <v>59</v>
      </c>
      <c r="E1583" s="63" t="s">
        <v>277</v>
      </c>
      <c r="F1583" s="63" t="s">
        <v>1764</v>
      </c>
      <c r="G1583">
        <v>1</v>
      </c>
      <c r="H1583">
        <v>20</v>
      </c>
      <c r="I1583">
        <v>60</v>
      </c>
      <c r="J1583">
        <v>60</v>
      </c>
      <c r="K1583">
        <v>335.03</v>
      </c>
      <c r="L1583">
        <v>102</v>
      </c>
    </row>
    <row r="1584" spans="1:12">
      <c r="A1584">
        <v>9509</v>
      </c>
      <c r="B1584" s="63" t="s">
        <v>468</v>
      </c>
      <c r="C1584" s="63" t="s">
        <v>469</v>
      </c>
      <c r="D1584" s="63" t="s">
        <v>59</v>
      </c>
      <c r="E1584" s="63" t="s">
        <v>172</v>
      </c>
      <c r="F1584" s="63" t="s">
        <v>1036</v>
      </c>
      <c r="G1584">
        <v>1</v>
      </c>
      <c r="H1584">
        <v>19</v>
      </c>
      <c r="I1584">
        <v>399</v>
      </c>
      <c r="J1584">
        <v>1193</v>
      </c>
      <c r="K1584">
        <v>276.43</v>
      </c>
      <c r="L1584">
        <v>172</v>
      </c>
    </row>
    <row r="1585" spans="1:12">
      <c r="A1585">
        <v>9509</v>
      </c>
      <c r="B1585" s="63" t="s">
        <v>468</v>
      </c>
      <c r="C1585" s="63" t="s">
        <v>469</v>
      </c>
      <c r="D1585" s="63" t="s">
        <v>59</v>
      </c>
      <c r="E1585" s="63" t="s">
        <v>172</v>
      </c>
      <c r="F1585" s="63" t="s">
        <v>2764</v>
      </c>
      <c r="G1585">
        <v>1</v>
      </c>
      <c r="H1585">
        <v>60</v>
      </c>
      <c r="I1585">
        <v>1260</v>
      </c>
      <c r="J1585">
        <v>3754</v>
      </c>
      <c r="K1585">
        <v>276.62</v>
      </c>
      <c r="L1585">
        <v>172</v>
      </c>
    </row>
    <row r="1586" spans="1:12">
      <c r="A1586">
        <v>9509</v>
      </c>
      <c r="B1586" s="63" t="s">
        <v>468</v>
      </c>
      <c r="C1586" s="63" t="s">
        <v>469</v>
      </c>
      <c r="D1586" s="63" t="s">
        <v>59</v>
      </c>
      <c r="E1586" s="63" t="s">
        <v>172</v>
      </c>
      <c r="F1586" s="63" t="s">
        <v>1808</v>
      </c>
      <c r="G1586">
        <v>1</v>
      </c>
      <c r="H1586">
        <v>60</v>
      </c>
      <c r="I1586">
        <v>1260</v>
      </c>
      <c r="J1586">
        <v>3766</v>
      </c>
      <c r="K1586">
        <v>276.95</v>
      </c>
      <c r="L1586">
        <v>172</v>
      </c>
    </row>
    <row r="1587" spans="1:12">
      <c r="A1587">
        <v>9509</v>
      </c>
      <c r="B1587" s="63" t="s">
        <v>500</v>
      </c>
      <c r="C1587" s="63" t="s">
        <v>501</v>
      </c>
      <c r="D1587" s="63" t="s">
        <v>307</v>
      </c>
      <c r="E1587" s="63" t="s">
        <v>174</v>
      </c>
      <c r="F1587" s="63" t="s">
        <v>1992</v>
      </c>
      <c r="G1587">
        <v>1</v>
      </c>
      <c r="H1587">
        <v>47</v>
      </c>
      <c r="I1587">
        <v>470</v>
      </c>
      <c r="J1587">
        <v>1861</v>
      </c>
      <c r="K1587">
        <v>275.82</v>
      </c>
      <c r="L1587">
        <v>239</v>
      </c>
    </row>
    <row r="1588" spans="1:12">
      <c r="A1588">
        <v>9509</v>
      </c>
      <c r="B1588" s="63" t="s">
        <v>500</v>
      </c>
      <c r="C1588" s="63" t="s">
        <v>501</v>
      </c>
      <c r="D1588" s="63" t="s">
        <v>59</v>
      </c>
      <c r="E1588" s="63" t="s">
        <v>172</v>
      </c>
      <c r="F1588" s="63" t="s">
        <v>775</v>
      </c>
      <c r="G1588">
        <v>1</v>
      </c>
      <c r="H1588">
        <v>60</v>
      </c>
      <c r="I1588">
        <v>600</v>
      </c>
      <c r="J1588">
        <v>2383</v>
      </c>
      <c r="K1588">
        <v>279.27</v>
      </c>
      <c r="L1588">
        <v>240</v>
      </c>
    </row>
    <row r="1589" spans="1:12">
      <c r="A1589">
        <v>9509</v>
      </c>
      <c r="B1589" s="63" t="s">
        <v>500</v>
      </c>
      <c r="C1589" s="63" t="s">
        <v>501</v>
      </c>
      <c r="D1589" s="63" t="s">
        <v>59</v>
      </c>
      <c r="E1589" s="63" t="s">
        <v>172</v>
      </c>
      <c r="F1589" s="63" t="s">
        <v>1170</v>
      </c>
      <c r="G1589">
        <v>1</v>
      </c>
      <c r="H1589">
        <v>60</v>
      </c>
      <c r="I1589">
        <v>600</v>
      </c>
      <c r="J1589">
        <v>2378</v>
      </c>
      <c r="K1589">
        <v>275.48</v>
      </c>
      <c r="L1589">
        <v>240</v>
      </c>
    </row>
    <row r="1590" spans="1:12">
      <c r="A1590">
        <v>9509</v>
      </c>
      <c r="B1590" s="63" t="s">
        <v>855</v>
      </c>
      <c r="C1590" s="63" t="s">
        <v>856</v>
      </c>
      <c r="D1590" s="63" t="s">
        <v>59</v>
      </c>
      <c r="E1590" s="63" t="s">
        <v>172</v>
      </c>
      <c r="F1590" s="63" t="s">
        <v>1949</v>
      </c>
      <c r="G1590">
        <v>1</v>
      </c>
      <c r="H1590">
        <v>60</v>
      </c>
      <c r="I1590">
        <v>1059</v>
      </c>
      <c r="J1590">
        <v>1059</v>
      </c>
      <c r="K1590">
        <v>345.73</v>
      </c>
      <c r="L1590">
        <v>199</v>
      </c>
    </row>
    <row r="1591" spans="1:12">
      <c r="A1591">
        <v>9509</v>
      </c>
      <c r="B1591" s="63" t="s">
        <v>855</v>
      </c>
      <c r="C1591" s="63" t="s">
        <v>856</v>
      </c>
      <c r="D1591" s="63" t="s">
        <v>59</v>
      </c>
      <c r="E1591" s="63" t="s">
        <v>172</v>
      </c>
      <c r="F1591" s="63" t="s">
        <v>1167</v>
      </c>
      <c r="G1591">
        <v>1</v>
      </c>
      <c r="H1591">
        <v>8</v>
      </c>
      <c r="I1591">
        <v>144</v>
      </c>
      <c r="J1591">
        <v>144</v>
      </c>
      <c r="K1591">
        <v>345.68</v>
      </c>
      <c r="L1591">
        <v>199</v>
      </c>
    </row>
    <row r="1592" spans="1:12">
      <c r="A1592">
        <v>9509</v>
      </c>
      <c r="B1592" s="63" t="s">
        <v>386</v>
      </c>
      <c r="C1592" s="63" t="s">
        <v>387</v>
      </c>
      <c r="D1592" s="63" t="s">
        <v>59</v>
      </c>
      <c r="E1592" s="63" t="s">
        <v>172</v>
      </c>
      <c r="F1592" s="63" t="s">
        <v>2018</v>
      </c>
      <c r="G1592">
        <v>1</v>
      </c>
      <c r="H1592">
        <v>60</v>
      </c>
      <c r="I1592">
        <v>1065</v>
      </c>
      <c r="J1592">
        <v>1065</v>
      </c>
      <c r="K1592">
        <v>344.37</v>
      </c>
      <c r="L1592">
        <v>96</v>
      </c>
    </row>
    <row r="1593" spans="1:12">
      <c r="A1593">
        <v>9509</v>
      </c>
      <c r="B1593" s="63" t="s">
        <v>386</v>
      </c>
      <c r="C1593" s="63" t="s">
        <v>387</v>
      </c>
      <c r="D1593" s="63" t="s">
        <v>59</v>
      </c>
      <c r="E1593" s="63" t="s">
        <v>172</v>
      </c>
      <c r="F1593" s="63" t="s">
        <v>1023</v>
      </c>
      <c r="G1593">
        <v>1</v>
      </c>
      <c r="H1593">
        <v>44</v>
      </c>
      <c r="I1593">
        <v>789</v>
      </c>
      <c r="J1593">
        <v>789</v>
      </c>
      <c r="K1593">
        <v>345.42</v>
      </c>
      <c r="L1593">
        <v>120</v>
      </c>
    </row>
    <row r="1594" spans="1:12">
      <c r="A1594">
        <v>9509</v>
      </c>
      <c r="B1594" s="63" t="s">
        <v>386</v>
      </c>
      <c r="C1594" s="63" t="s">
        <v>387</v>
      </c>
      <c r="D1594" s="63" t="s">
        <v>59</v>
      </c>
      <c r="E1594" s="63" t="s">
        <v>172</v>
      </c>
      <c r="F1594" s="63" t="s">
        <v>2765</v>
      </c>
      <c r="G1594">
        <v>1</v>
      </c>
      <c r="H1594">
        <v>60</v>
      </c>
      <c r="I1594">
        <v>1070</v>
      </c>
      <c r="J1594">
        <v>1070</v>
      </c>
      <c r="K1594">
        <v>343.68</v>
      </c>
      <c r="L1594">
        <v>119</v>
      </c>
    </row>
    <row r="1595" spans="1:12">
      <c r="A1595">
        <v>9509</v>
      </c>
      <c r="B1595" s="63" t="s">
        <v>386</v>
      </c>
      <c r="C1595" s="63" t="s">
        <v>387</v>
      </c>
      <c r="D1595" s="63" t="s">
        <v>59</v>
      </c>
      <c r="E1595" s="63" t="s">
        <v>172</v>
      </c>
      <c r="F1595" s="63" t="s">
        <v>1276</v>
      </c>
      <c r="G1595">
        <v>1</v>
      </c>
      <c r="H1595">
        <v>60</v>
      </c>
      <c r="I1595">
        <v>1066</v>
      </c>
      <c r="J1595">
        <v>1066</v>
      </c>
      <c r="K1595">
        <v>344.03</v>
      </c>
      <c r="L1595">
        <v>96</v>
      </c>
    </row>
    <row r="1596" spans="1:12">
      <c r="A1596">
        <v>9509</v>
      </c>
      <c r="B1596" s="63" t="s">
        <v>389</v>
      </c>
      <c r="C1596" s="63" t="s">
        <v>2736</v>
      </c>
      <c r="D1596" s="63" t="s">
        <v>59</v>
      </c>
      <c r="E1596" s="63" t="s">
        <v>172</v>
      </c>
      <c r="F1596" s="63" t="s">
        <v>1273</v>
      </c>
      <c r="G1596">
        <v>1</v>
      </c>
      <c r="H1596">
        <v>60</v>
      </c>
      <c r="I1596">
        <v>706</v>
      </c>
      <c r="J1596">
        <v>706</v>
      </c>
      <c r="K1596">
        <v>133.38</v>
      </c>
      <c r="L1596">
        <v>24</v>
      </c>
    </row>
    <row r="1597" spans="1:12">
      <c r="A1597">
        <v>9509</v>
      </c>
      <c r="B1597" s="63" t="s">
        <v>389</v>
      </c>
      <c r="C1597" s="63" t="s">
        <v>2736</v>
      </c>
      <c r="D1597" s="63" t="s">
        <v>59</v>
      </c>
      <c r="E1597" s="63" t="s">
        <v>172</v>
      </c>
      <c r="F1597" s="63" t="s">
        <v>1341</v>
      </c>
      <c r="G1597">
        <v>1</v>
      </c>
      <c r="H1597">
        <v>51</v>
      </c>
      <c r="I1597">
        <v>599</v>
      </c>
      <c r="J1597">
        <v>599</v>
      </c>
      <c r="K1597">
        <v>131.97</v>
      </c>
      <c r="L1597">
        <v>24</v>
      </c>
    </row>
    <row r="1598" spans="1:12">
      <c r="A1598">
        <v>9509</v>
      </c>
      <c r="B1598" s="63" t="s">
        <v>389</v>
      </c>
      <c r="C1598" s="63" t="s">
        <v>2736</v>
      </c>
      <c r="D1598" s="63" t="s">
        <v>59</v>
      </c>
      <c r="E1598" s="63" t="s">
        <v>203</v>
      </c>
      <c r="F1598" s="63" t="s">
        <v>1100</v>
      </c>
      <c r="G1598">
        <v>1</v>
      </c>
      <c r="H1598">
        <v>60</v>
      </c>
      <c r="I1598">
        <v>709</v>
      </c>
      <c r="J1598">
        <v>709</v>
      </c>
      <c r="K1598">
        <v>155.6</v>
      </c>
      <c r="L1598">
        <v>24</v>
      </c>
    </row>
    <row r="1599" spans="1:12">
      <c r="A1599">
        <v>9509</v>
      </c>
      <c r="B1599" s="63" t="s">
        <v>389</v>
      </c>
      <c r="C1599" s="63" t="s">
        <v>2736</v>
      </c>
      <c r="D1599" s="63" t="s">
        <v>59</v>
      </c>
      <c r="E1599" s="63" t="s">
        <v>175</v>
      </c>
      <c r="F1599" s="63" t="s">
        <v>2145</v>
      </c>
      <c r="G1599">
        <v>1</v>
      </c>
      <c r="H1599">
        <v>60</v>
      </c>
      <c r="I1599">
        <v>705</v>
      </c>
      <c r="J1599">
        <v>705</v>
      </c>
      <c r="K1599">
        <v>151.77000000000001</v>
      </c>
      <c r="L1599">
        <v>24</v>
      </c>
    </row>
    <row r="1600" spans="1:12">
      <c r="A1600">
        <v>9509</v>
      </c>
      <c r="B1600" s="63" t="s">
        <v>389</v>
      </c>
      <c r="C1600" s="63" t="s">
        <v>2736</v>
      </c>
      <c r="D1600" s="63" t="s">
        <v>59</v>
      </c>
      <c r="E1600" s="63" t="s">
        <v>175</v>
      </c>
      <c r="F1600" s="63" t="s">
        <v>1451</v>
      </c>
      <c r="G1600">
        <v>1</v>
      </c>
      <c r="H1600">
        <v>60</v>
      </c>
      <c r="I1600">
        <v>703</v>
      </c>
      <c r="J1600">
        <v>703</v>
      </c>
      <c r="K1600">
        <v>152.83000000000001</v>
      </c>
      <c r="L1600">
        <v>24</v>
      </c>
    </row>
    <row r="1601" spans="1:12">
      <c r="A1601">
        <v>9509</v>
      </c>
      <c r="B1601" s="63" t="s">
        <v>389</v>
      </c>
      <c r="C1601" s="63" t="s">
        <v>2736</v>
      </c>
      <c r="D1601" s="63" t="s">
        <v>59</v>
      </c>
      <c r="E1601" s="63" t="s">
        <v>175</v>
      </c>
      <c r="F1601" s="63" t="s">
        <v>1236</v>
      </c>
      <c r="G1601">
        <v>1</v>
      </c>
      <c r="H1601">
        <v>60</v>
      </c>
      <c r="I1601">
        <v>706</v>
      </c>
      <c r="J1601">
        <v>706</v>
      </c>
      <c r="K1601">
        <v>153.16999999999999</v>
      </c>
      <c r="L1601">
        <v>24</v>
      </c>
    </row>
    <row r="1602" spans="1:12">
      <c r="A1602">
        <v>9509</v>
      </c>
      <c r="B1602" s="63" t="s">
        <v>389</v>
      </c>
      <c r="C1602" s="63" t="s">
        <v>2736</v>
      </c>
      <c r="D1602" s="63" t="s">
        <v>59</v>
      </c>
      <c r="E1602" s="63" t="s">
        <v>175</v>
      </c>
      <c r="F1602" s="63" t="s">
        <v>858</v>
      </c>
      <c r="G1602">
        <v>1</v>
      </c>
      <c r="H1602">
        <v>60</v>
      </c>
      <c r="I1602">
        <v>708</v>
      </c>
      <c r="J1602">
        <v>708</v>
      </c>
      <c r="K1602">
        <v>154.87</v>
      </c>
      <c r="L1602">
        <v>24</v>
      </c>
    </row>
    <row r="1603" spans="1:12">
      <c r="A1603">
        <v>9509</v>
      </c>
      <c r="B1603" s="63" t="s">
        <v>2766</v>
      </c>
      <c r="C1603" s="63" t="s">
        <v>2767</v>
      </c>
      <c r="D1603" s="63" t="s">
        <v>59</v>
      </c>
      <c r="E1603" s="63" t="s">
        <v>172</v>
      </c>
      <c r="F1603" s="63" t="s">
        <v>380</v>
      </c>
      <c r="G1603">
        <v>1</v>
      </c>
      <c r="H1603">
        <v>60</v>
      </c>
      <c r="I1603">
        <v>455</v>
      </c>
      <c r="J1603">
        <v>455</v>
      </c>
      <c r="K1603">
        <v>133.72999999999999</v>
      </c>
      <c r="L1603">
        <v>141</v>
      </c>
    </row>
    <row r="1604" spans="1:12">
      <c r="A1604">
        <v>9509</v>
      </c>
      <c r="B1604" s="63" t="s">
        <v>2766</v>
      </c>
      <c r="C1604" s="63" t="s">
        <v>2767</v>
      </c>
      <c r="D1604" s="63" t="s">
        <v>59</v>
      </c>
      <c r="E1604" s="63" t="s">
        <v>172</v>
      </c>
      <c r="F1604" s="63" t="s">
        <v>1339</v>
      </c>
      <c r="G1604">
        <v>1</v>
      </c>
      <c r="H1604">
        <v>22</v>
      </c>
      <c r="I1604">
        <v>171</v>
      </c>
      <c r="J1604">
        <v>171</v>
      </c>
      <c r="K1604">
        <v>133.15</v>
      </c>
      <c r="L1604">
        <v>141</v>
      </c>
    </row>
    <row r="1605" spans="1:12">
      <c r="A1605">
        <v>9509</v>
      </c>
      <c r="B1605" s="63" t="s">
        <v>2766</v>
      </c>
      <c r="C1605" s="63" t="s">
        <v>2767</v>
      </c>
      <c r="D1605" s="63" t="s">
        <v>59</v>
      </c>
      <c r="E1605" s="63" t="s">
        <v>172</v>
      </c>
      <c r="F1605" s="63" t="s">
        <v>1441</v>
      </c>
      <c r="G1605">
        <v>1</v>
      </c>
      <c r="H1605">
        <v>60</v>
      </c>
      <c r="I1605">
        <v>468</v>
      </c>
      <c r="J1605">
        <v>468</v>
      </c>
      <c r="K1605">
        <v>154.5</v>
      </c>
      <c r="L1605">
        <v>141</v>
      </c>
    </row>
    <row r="1606" spans="1:12">
      <c r="A1606">
        <v>9511</v>
      </c>
      <c r="B1606" s="63" t="s">
        <v>429</v>
      </c>
      <c r="C1606" s="63" t="s">
        <v>430</v>
      </c>
      <c r="D1606" s="63" t="s">
        <v>59</v>
      </c>
      <c r="E1606" s="63" t="s">
        <v>254</v>
      </c>
      <c r="F1606" s="63" t="s">
        <v>2768</v>
      </c>
      <c r="G1606">
        <v>1</v>
      </c>
      <c r="H1606">
        <v>60</v>
      </c>
      <c r="I1606">
        <v>840</v>
      </c>
      <c r="J1606">
        <v>4583</v>
      </c>
      <c r="K1606">
        <v>541.22</v>
      </c>
      <c r="L1606">
        <v>67</v>
      </c>
    </row>
    <row r="1607" spans="1:12">
      <c r="A1607">
        <v>9511</v>
      </c>
      <c r="B1607" s="63" t="s">
        <v>429</v>
      </c>
      <c r="C1607" s="63" t="s">
        <v>430</v>
      </c>
      <c r="D1607" s="63" t="s">
        <v>59</v>
      </c>
      <c r="E1607" s="63" t="s">
        <v>254</v>
      </c>
      <c r="F1607" s="63" t="s">
        <v>1570</v>
      </c>
      <c r="G1607">
        <v>1</v>
      </c>
      <c r="H1607">
        <v>60</v>
      </c>
      <c r="I1607">
        <v>840</v>
      </c>
      <c r="J1607">
        <v>4613</v>
      </c>
      <c r="K1607">
        <v>616.07000000000005</v>
      </c>
      <c r="L1607">
        <v>30</v>
      </c>
    </row>
    <row r="1608" spans="1:12">
      <c r="A1608">
        <v>9511</v>
      </c>
      <c r="B1608" s="63" t="s">
        <v>429</v>
      </c>
      <c r="C1608" s="63" t="s">
        <v>430</v>
      </c>
      <c r="D1608" s="63" t="s">
        <v>59</v>
      </c>
      <c r="E1608" s="63" t="s">
        <v>254</v>
      </c>
      <c r="F1608" s="63" t="s">
        <v>2769</v>
      </c>
      <c r="G1608">
        <v>1</v>
      </c>
      <c r="H1608">
        <v>60</v>
      </c>
      <c r="I1608">
        <v>840</v>
      </c>
      <c r="J1608">
        <v>4607</v>
      </c>
      <c r="K1608">
        <v>586.4</v>
      </c>
      <c r="L1608">
        <v>30</v>
      </c>
    </row>
    <row r="1609" spans="1:12">
      <c r="A1609">
        <v>9511</v>
      </c>
      <c r="B1609" s="63" t="s">
        <v>429</v>
      </c>
      <c r="C1609" s="63" t="s">
        <v>430</v>
      </c>
      <c r="D1609" s="63" t="s">
        <v>59</v>
      </c>
      <c r="E1609" s="63" t="s">
        <v>254</v>
      </c>
      <c r="F1609" s="63" t="s">
        <v>2770</v>
      </c>
      <c r="G1609">
        <v>1</v>
      </c>
      <c r="H1609">
        <v>60</v>
      </c>
      <c r="I1609">
        <v>840</v>
      </c>
      <c r="J1609">
        <v>4616</v>
      </c>
      <c r="K1609">
        <v>589.65</v>
      </c>
      <c r="L1609">
        <v>30</v>
      </c>
    </row>
    <row r="1610" spans="1:12">
      <c r="A1610">
        <v>9511</v>
      </c>
      <c r="B1610" s="63" t="s">
        <v>429</v>
      </c>
      <c r="C1610" s="63" t="s">
        <v>430</v>
      </c>
      <c r="D1610" s="63" t="s">
        <v>59</v>
      </c>
      <c r="E1610" s="63" t="s">
        <v>254</v>
      </c>
      <c r="F1610" s="63" t="s">
        <v>2771</v>
      </c>
      <c r="G1610">
        <v>1</v>
      </c>
      <c r="H1610">
        <v>60</v>
      </c>
      <c r="I1610">
        <v>840</v>
      </c>
      <c r="J1610">
        <v>4596</v>
      </c>
      <c r="K1610">
        <v>110.5</v>
      </c>
      <c r="L1610">
        <v>66</v>
      </c>
    </row>
    <row r="1611" spans="1:12">
      <c r="A1611">
        <v>9511</v>
      </c>
      <c r="B1611" s="63" t="s">
        <v>429</v>
      </c>
      <c r="C1611" s="63" t="s">
        <v>430</v>
      </c>
      <c r="D1611" s="63" t="s">
        <v>59</v>
      </c>
      <c r="E1611" s="63" t="s">
        <v>254</v>
      </c>
      <c r="F1611" s="63" t="s">
        <v>2772</v>
      </c>
      <c r="G1611">
        <v>1</v>
      </c>
      <c r="H1611">
        <v>60</v>
      </c>
      <c r="I1611">
        <v>840</v>
      </c>
      <c r="J1611">
        <v>4565</v>
      </c>
      <c r="K1611">
        <v>111.12</v>
      </c>
      <c r="L1611">
        <v>67</v>
      </c>
    </row>
    <row r="1612" spans="1:12">
      <c r="A1612">
        <v>9511</v>
      </c>
      <c r="B1612" s="63" t="s">
        <v>429</v>
      </c>
      <c r="C1612" s="63" t="s">
        <v>430</v>
      </c>
      <c r="D1612" s="63" t="s">
        <v>59</v>
      </c>
      <c r="E1612" s="63" t="s">
        <v>254</v>
      </c>
      <c r="F1612" s="63" t="s">
        <v>1859</v>
      </c>
      <c r="G1612">
        <v>1</v>
      </c>
      <c r="H1612">
        <v>60</v>
      </c>
      <c r="I1612">
        <v>840</v>
      </c>
      <c r="J1612">
        <v>4617</v>
      </c>
      <c r="K1612">
        <v>586.02</v>
      </c>
      <c r="L1612">
        <v>30</v>
      </c>
    </row>
    <row r="1613" spans="1:12">
      <c r="A1613">
        <v>9511</v>
      </c>
      <c r="B1613" s="63" t="s">
        <v>429</v>
      </c>
      <c r="C1613" s="63" t="s">
        <v>430</v>
      </c>
      <c r="D1613" s="63" t="s">
        <v>59</v>
      </c>
      <c r="E1613" s="63" t="s">
        <v>254</v>
      </c>
      <c r="F1613" s="63" t="s">
        <v>2773</v>
      </c>
      <c r="G1613">
        <v>1</v>
      </c>
      <c r="H1613">
        <v>60</v>
      </c>
      <c r="I1613">
        <v>840</v>
      </c>
      <c r="J1613">
        <v>4610</v>
      </c>
      <c r="K1613">
        <v>598.6</v>
      </c>
      <c r="L1613">
        <v>30</v>
      </c>
    </row>
    <row r="1614" spans="1:12">
      <c r="A1614">
        <v>9511</v>
      </c>
      <c r="B1614" s="63" t="s">
        <v>429</v>
      </c>
      <c r="C1614" s="63" t="s">
        <v>430</v>
      </c>
      <c r="D1614" s="63" t="s">
        <v>59</v>
      </c>
      <c r="E1614" s="63" t="s">
        <v>254</v>
      </c>
      <c r="F1614" s="63" t="s">
        <v>1867</v>
      </c>
      <c r="G1614">
        <v>1</v>
      </c>
      <c r="H1614">
        <v>60</v>
      </c>
      <c r="I1614">
        <v>840</v>
      </c>
      <c r="J1614">
        <v>4613</v>
      </c>
      <c r="K1614">
        <v>587.38</v>
      </c>
      <c r="L1614">
        <v>30</v>
      </c>
    </row>
    <row r="1615" spans="1:12">
      <c r="A1615">
        <v>9511</v>
      </c>
      <c r="B1615" s="63" t="s">
        <v>429</v>
      </c>
      <c r="C1615" s="63" t="s">
        <v>430</v>
      </c>
      <c r="D1615" s="63" t="s">
        <v>59</v>
      </c>
      <c r="E1615" s="63" t="s">
        <v>254</v>
      </c>
      <c r="F1615" s="63" t="s">
        <v>1047</v>
      </c>
      <c r="G1615">
        <v>1</v>
      </c>
      <c r="H1615">
        <v>60</v>
      </c>
      <c r="I1615">
        <v>840</v>
      </c>
      <c r="J1615">
        <v>4612</v>
      </c>
      <c r="K1615">
        <v>598.95000000000005</v>
      </c>
      <c r="L1615">
        <v>30</v>
      </c>
    </row>
    <row r="1616" spans="1:12">
      <c r="A1616">
        <v>9511</v>
      </c>
      <c r="B1616" s="63" t="s">
        <v>429</v>
      </c>
      <c r="C1616" s="63" t="s">
        <v>430</v>
      </c>
      <c r="D1616" s="63" t="s">
        <v>59</v>
      </c>
      <c r="E1616" s="63" t="s">
        <v>504</v>
      </c>
      <c r="F1616" s="63" t="s">
        <v>2774</v>
      </c>
      <c r="G1616">
        <v>1</v>
      </c>
      <c r="H1616">
        <v>60</v>
      </c>
      <c r="I1616">
        <v>840</v>
      </c>
      <c r="J1616">
        <v>4612</v>
      </c>
      <c r="K1616">
        <v>597.07000000000005</v>
      </c>
      <c r="L1616">
        <v>30</v>
      </c>
    </row>
    <row r="1617" spans="1:12">
      <c r="A1617">
        <v>9511</v>
      </c>
      <c r="B1617" s="63" t="s">
        <v>429</v>
      </c>
      <c r="C1617" s="63" t="s">
        <v>430</v>
      </c>
      <c r="D1617" s="63" t="s">
        <v>59</v>
      </c>
      <c r="E1617" s="63" t="s">
        <v>504</v>
      </c>
      <c r="F1617" s="63" t="s">
        <v>1566</v>
      </c>
      <c r="G1617">
        <v>1</v>
      </c>
      <c r="H1617">
        <v>60</v>
      </c>
      <c r="I1617">
        <v>840</v>
      </c>
      <c r="J1617">
        <v>4611</v>
      </c>
      <c r="K1617">
        <v>586.92999999999995</v>
      </c>
      <c r="L1617">
        <v>30</v>
      </c>
    </row>
    <row r="1618" spans="1:12">
      <c r="A1618">
        <v>9511</v>
      </c>
      <c r="B1618" s="63" t="s">
        <v>429</v>
      </c>
      <c r="C1618" s="63" t="s">
        <v>430</v>
      </c>
      <c r="D1618" s="63" t="s">
        <v>59</v>
      </c>
      <c r="E1618" s="63" t="s">
        <v>504</v>
      </c>
      <c r="F1618" s="63" t="s">
        <v>1876</v>
      </c>
      <c r="G1618">
        <v>1</v>
      </c>
      <c r="H1618">
        <v>57</v>
      </c>
      <c r="I1618">
        <v>798</v>
      </c>
      <c r="J1618">
        <v>4382</v>
      </c>
      <c r="K1618">
        <v>602</v>
      </c>
      <c r="L1618">
        <v>30</v>
      </c>
    </row>
    <row r="1619" spans="1:12">
      <c r="A1619">
        <v>9511</v>
      </c>
      <c r="B1619" s="63" t="s">
        <v>429</v>
      </c>
      <c r="C1619" s="63" t="s">
        <v>430</v>
      </c>
      <c r="D1619" s="63" t="s">
        <v>59</v>
      </c>
      <c r="E1619" s="63" t="s">
        <v>504</v>
      </c>
      <c r="F1619" s="63" t="s">
        <v>1931</v>
      </c>
      <c r="G1619">
        <v>1</v>
      </c>
      <c r="H1619">
        <v>60</v>
      </c>
      <c r="I1619">
        <v>840</v>
      </c>
      <c r="J1619">
        <v>4615</v>
      </c>
      <c r="K1619">
        <v>598.20000000000005</v>
      </c>
      <c r="L1619">
        <v>30</v>
      </c>
    </row>
    <row r="1620" spans="1:12">
      <c r="A1620">
        <v>9511</v>
      </c>
      <c r="B1620" s="63" t="s">
        <v>429</v>
      </c>
      <c r="C1620" s="63" t="s">
        <v>430</v>
      </c>
      <c r="D1620" s="63" t="s">
        <v>59</v>
      </c>
      <c r="E1620" s="63" t="s">
        <v>504</v>
      </c>
      <c r="F1620" s="63" t="s">
        <v>968</v>
      </c>
      <c r="G1620">
        <v>1</v>
      </c>
      <c r="H1620">
        <v>60</v>
      </c>
      <c r="I1620">
        <v>840</v>
      </c>
      <c r="J1620">
        <v>4619</v>
      </c>
      <c r="K1620">
        <v>493.35</v>
      </c>
      <c r="L1620">
        <v>30</v>
      </c>
    </row>
    <row r="1621" spans="1:12">
      <c r="A1621">
        <v>9511</v>
      </c>
      <c r="B1621" s="63" t="s">
        <v>429</v>
      </c>
      <c r="C1621" s="63" t="s">
        <v>430</v>
      </c>
      <c r="D1621" s="63" t="s">
        <v>59</v>
      </c>
      <c r="E1621" s="63" t="s">
        <v>504</v>
      </c>
      <c r="F1621" s="63" t="s">
        <v>2775</v>
      </c>
      <c r="G1621">
        <v>1</v>
      </c>
      <c r="H1621">
        <v>60</v>
      </c>
      <c r="I1621">
        <v>840</v>
      </c>
      <c r="J1621">
        <v>4613</v>
      </c>
      <c r="K1621">
        <v>599.38</v>
      </c>
      <c r="L1621">
        <v>30</v>
      </c>
    </row>
    <row r="1622" spans="1:12">
      <c r="A1622">
        <v>9511</v>
      </c>
      <c r="B1622" s="63" t="s">
        <v>429</v>
      </c>
      <c r="C1622" s="63" t="s">
        <v>430</v>
      </c>
      <c r="D1622" s="63" t="s">
        <v>59</v>
      </c>
      <c r="E1622" s="63" t="s">
        <v>504</v>
      </c>
      <c r="F1622" s="63" t="s">
        <v>1891</v>
      </c>
      <c r="G1622">
        <v>1</v>
      </c>
      <c r="H1622">
        <v>60</v>
      </c>
      <c r="I1622">
        <v>840</v>
      </c>
      <c r="J1622">
        <v>4611</v>
      </c>
      <c r="K1622">
        <v>590.07000000000005</v>
      </c>
      <c r="L1622">
        <v>30</v>
      </c>
    </row>
    <row r="1623" spans="1:12">
      <c r="A1623">
        <v>9511</v>
      </c>
      <c r="B1623" s="63" t="s">
        <v>429</v>
      </c>
      <c r="C1623" s="63" t="s">
        <v>430</v>
      </c>
      <c r="D1623" s="63" t="s">
        <v>59</v>
      </c>
      <c r="E1623" s="63" t="s">
        <v>504</v>
      </c>
      <c r="F1623" s="63" t="s">
        <v>2776</v>
      </c>
      <c r="G1623">
        <v>1</v>
      </c>
      <c r="H1623">
        <v>60</v>
      </c>
      <c r="I1623">
        <v>840</v>
      </c>
      <c r="J1623">
        <v>4610</v>
      </c>
      <c r="K1623">
        <v>597.4</v>
      </c>
      <c r="L1623">
        <v>30</v>
      </c>
    </row>
    <row r="1624" spans="1:12">
      <c r="A1624">
        <v>9511</v>
      </c>
      <c r="B1624" s="63" t="s">
        <v>429</v>
      </c>
      <c r="C1624" s="63" t="s">
        <v>430</v>
      </c>
      <c r="D1624" s="63" t="s">
        <v>59</v>
      </c>
      <c r="E1624" s="63" t="s">
        <v>459</v>
      </c>
      <c r="F1624" s="63" t="s">
        <v>2777</v>
      </c>
      <c r="G1624">
        <v>1</v>
      </c>
      <c r="H1624">
        <v>60</v>
      </c>
      <c r="I1624">
        <v>840</v>
      </c>
      <c r="J1624">
        <v>4612</v>
      </c>
      <c r="K1624">
        <v>597.6</v>
      </c>
      <c r="L1624">
        <v>30</v>
      </c>
    </row>
    <row r="1625" spans="1:12">
      <c r="A1625">
        <v>9511</v>
      </c>
      <c r="B1625" s="63" t="s">
        <v>429</v>
      </c>
      <c r="C1625" s="63" t="s">
        <v>430</v>
      </c>
      <c r="D1625" s="63" t="s">
        <v>59</v>
      </c>
      <c r="E1625" s="63" t="s">
        <v>1567</v>
      </c>
      <c r="F1625" s="63" t="s">
        <v>2778</v>
      </c>
      <c r="G1625">
        <v>1</v>
      </c>
      <c r="H1625">
        <v>60</v>
      </c>
      <c r="I1625">
        <v>840</v>
      </c>
      <c r="J1625">
        <v>4612</v>
      </c>
      <c r="K1625">
        <v>589.20000000000005</v>
      </c>
      <c r="L1625">
        <v>30</v>
      </c>
    </row>
    <row r="1626" spans="1:12">
      <c r="A1626">
        <v>9511</v>
      </c>
      <c r="B1626" s="63" t="s">
        <v>432</v>
      </c>
      <c r="C1626" s="63" t="s">
        <v>2719</v>
      </c>
      <c r="D1626" s="63" t="s">
        <v>59</v>
      </c>
      <c r="E1626" s="63" t="s">
        <v>254</v>
      </c>
      <c r="F1626" s="63" t="s">
        <v>916</v>
      </c>
      <c r="G1626">
        <v>1</v>
      </c>
      <c r="H1626">
        <v>57</v>
      </c>
      <c r="I1626">
        <v>1365</v>
      </c>
      <c r="J1626">
        <v>1365</v>
      </c>
      <c r="K1626">
        <v>178.12</v>
      </c>
      <c r="L1626">
        <v>15</v>
      </c>
    </row>
    <row r="1627" spans="1:12">
      <c r="A1627">
        <v>9511</v>
      </c>
      <c r="B1627" s="63" t="s">
        <v>432</v>
      </c>
      <c r="C1627" s="63" t="s">
        <v>2719</v>
      </c>
      <c r="D1627" s="63" t="s">
        <v>59</v>
      </c>
      <c r="E1627" s="63" t="s">
        <v>254</v>
      </c>
      <c r="F1627" s="63" t="s">
        <v>2779</v>
      </c>
      <c r="G1627">
        <v>1</v>
      </c>
      <c r="H1627">
        <v>60</v>
      </c>
      <c r="I1627">
        <v>1440</v>
      </c>
      <c r="J1627">
        <v>1440</v>
      </c>
      <c r="K1627">
        <v>177.52</v>
      </c>
      <c r="L1627">
        <v>14</v>
      </c>
    </row>
    <row r="1628" spans="1:12">
      <c r="A1628">
        <v>9511</v>
      </c>
      <c r="B1628" s="63" t="s">
        <v>257</v>
      </c>
      <c r="C1628" s="63" t="s">
        <v>1719</v>
      </c>
      <c r="D1628" s="63" t="s">
        <v>59</v>
      </c>
      <c r="E1628" s="63" t="s">
        <v>254</v>
      </c>
      <c r="F1628" s="63" t="s">
        <v>1881</v>
      </c>
      <c r="G1628">
        <v>1</v>
      </c>
      <c r="H1628">
        <v>60</v>
      </c>
      <c r="I1628">
        <v>1437</v>
      </c>
      <c r="J1628">
        <v>1437</v>
      </c>
      <c r="K1628">
        <v>1247.33</v>
      </c>
      <c r="L1628">
        <v>59</v>
      </c>
    </row>
    <row r="1629" spans="1:12">
      <c r="A1629">
        <v>9511</v>
      </c>
      <c r="B1629" s="63" t="s">
        <v>257</v>
      </c>
      <c r="C1629" s="63" t="s">
        <v>1719</v>
      </c>
      <c r="D1629" s="63" t="s">
        <v>59</v>
      </c>
      <c r="E1629" s="63" t="s">
        <v>504</v>
      </c>
      <c r="F1629" s="63" t="s">
        <v>1880</v>
      </c>
      <c r="G1629">
        <v>1</v>
      </c>
      <c r="H1629">
        <v>60</v>
      </c>
      <c r="I1629">
        <v>1432</v>
      </c>
      <c r="J1629">
        <v>1432</v>
      </c>
      <c r="K1629">
        <v>1251.57</v>
      </c>
      <c r="L1629">
        <v>59</v>
      </c>
    </row>
    <row r="1630" spans="1:12">
      <c r="A1630">
        <v>9511</v>
      </c>
      <c r="B1630" s="63" t="s">
        <v>393</v>
      </c>
      <c r="C1630" s="63" t="s">
        <v>1664</v>
      </c>
      <c r="D1630" s="63" t="s">
        <v>59</v>
      </c>
      <c r="E1630" s="63" t="s">
        <v>254</v>
      </c>
      <c r="F1630" s="63" t="s">
        <v>2780</v>
      </c>
      <c r="G1630">
        <v>1</v>
      </c>
      <c r="H1630">
        <v>60</v>
      </c>
      <c r="I1630">
        <v>1431</v>
      </c>
      <c r="J1630">
        <v>1431</v>
      </c>
      <c r="K1630">
        <v>559</v>
      </c>
      <c r="L1630">
        <v>30</v>
      </c>
    </row>
    <row r="1631" spans="1:12">
      <c r="A1631">
        <v>9511</v>
      </c>
      <c r="B1631" s="63" t="s">
        <v>393</v>
      </c>
      <c r="C1631" s="63" t="s">
        <v>1665</v>
      </c>
      <c r="D1631" s="63" t="s">
        <v>59</v>
      </c>
      <c r="E1631" s="63" t="s">
        <v>254</v>
      </c>
      <c r="F1631" s="63" t="s">
        <v>2781</v>
      </c>
      <c r="G1631">
        <v>1</v>
      </c>
      <c r="H1631">
        <v>60</v>
      </c>
      <c r="I1631">
        <v>1406</v>
      </c>
      <c r="J1631">
        <v>1406</v>
      </c>
      <c r="K1631">
        <v>285.85000000000002</v>
      </c>
      <c r="L1631">
        <v>30</v>
      </c>
    </row>
    <row r="1632" spans="1:12">
      <c r="A1632">
        <v>9511</v>
      </c>
      <c r="B1632" s="63" t="s">
        <v>393</v>
      </c>
      <c r="C1632" s="63" t="s">
        <v>1665</v>
      </c>
      <c r="D1632" s="63" t="s">
        <v>59</v>
      </c>
      <c r="E1632" s="63" t="s">
        <v>254</v>
      </c>
      <c r="F1632" s="63" t="s">
        <v>1162</v>
      </c>
      <c r="G1632">
        <v>1</v>
      </c>
      <c r="H1632">
        <v>60</v>
      </c>
      <c r="I1632">
        <v>1417</v>
      </c>
      <c r="J1632">
        <v>1417</v>
      </c>
      <c r="K1632">
        <v>272.08</v>
      </c>
      <c r="L1632">
        <v>30</v>
      </c>
    </row>
    <row r="1633" spans="1:12">
      <c r="A1633">
        <v>9511</v>
      </c>
      <c r="B1633" s="63" t="s">
        <v>393</v>
      </c>
      <c r="C1633" s="63" t="s">
        <v>1665</v>
      </c>
      <c r="D1633" s="63" t="s">
        <v>59</v>
      </c>
      <c r="E1633" s="63" t="s">
        <v>254</v>
      </c>
      <c r="F1633" s="63" t="s">
        <v>895</v>
      </c>
      <c r="G1633">
        <v>1</v>
      </c>
      <c r="H1633">
        <v>60</v>
      </c>
      <c r="I1633">
        <v>1435</v>
      </c>
      <c r="J1633">
        <v>1435</v>
      </c>
      <c r="K1633">
        <v>274.02999999999997</v>
      </c>
      <c r="L1633">
        <v>30</v>
      </c>
    </row>
    <row r="1634" spans="1:12">
      <c r="A1634">
        <v>9511</v>
      </c>
      <c r="B1634" s="63" t="s">
        <v>393</v>
      </c>
      <c r="C1634" s="63" t="s">
        <v>1665</v>
      </c>
      <c r="D1634" s="63" t="s">
        <v>59</v>
      </c>
      <c r="E1634" s="63" t="s">
        <v>254</v>
      </c>
      <c r="F1634" s="63" t="s">
        <v>2782</v>
      </c>
      <c r="G1634">
        <v>1</v>
      </c>
      <c r="H1634">
        <v>60</v>
      </c>
      <c r="I1634">
        <v>1389</v>
      </c>
      <c r="J1634">
        <v>1389</v>
      </c>
      <c r="K1634">
        <v>275.35000000000002</v>
      </c>
      <c r="L1634">
        <v>30</v>
      </c>
    </row>
    <row r="1635" spans="1:12">
      <c r="A1635">
        <v>9511</v>
      </c>
      <c r="B1635" s="63" t="s">
        <v>393</v>
      </c>
      <c r="C1635" s="63" t="s">
        <v>1665</v>
      </c>
      <c r="D1635" s="63" t="s">
        <v>59</v>
      </c>
      <c r="E1635" s="63" t="s">
        <v>254</v>
      </c>
      <c r="F1635" s="63" t="s">
        <v>666</v>
      </c>
      <c r="G1635">
        <v>1</v>
      </c>
      <c r="H1635">
        <v>60</v>
      </c>
      <c r="I1635">
        <v>1434</v>
      </c>
      <c r="J1635">
        <v>1434</v>
      </c>
      <c r="K1635">
        <v>273.58</v>
      </c>
      <c r="L1635">
        <v>30</v>
      </c>
    </row>
    <row r="1636" spans="1:12">
      <c r="A1636">
        <v>9511</v>
      </c>
      <c r="B1636" s="63" t="s">
        <v>393</v>
      </c>
      <c r="C1636" s="63" t="s">
        <v>1665</v>
      </c>
      <c r="D1636" s="63" t="s">
        <v>59</v>
      </c>
      <c r="E1636" s="63" t="s">
        <v>504</v>
      </c>
      <c r="F1636" s="63" t="s">
        <v>2783</v>
      </c>
      <c r="G1636">
        <v>1</v>
      </c>
      <c r="H1636">
        <v>60</v>
      </c>
      <c r="I1636">
        <v>1435</v>
      </c>
      <c r="J1636">
        <v>1435</v>
      </c>
      <c r="K1636">
        <v>275.93</v>
      </c>
      <c r="L1636">
        <v>30</v>
      </c>
    </row>
    <row r="1637" spans="1:12">
      <c r="A1637">
        <v>9511</v>
      </c>
      <c r="B1637" s="63" t="s">
        <v>393</v>
      </c>
      <c r="C1637" s="63" t="s">
        <v>1665</v>
      </c>
      <c r="D1637" s="63" t="s">
        <v>59</v>
      </c>
      <c r="E1637" s="63" t="s">
        <v>504</v>
      </c>
      <c r="F1637" s="63" t="s">
        <v>1662</v>
      </c>
      <c r="G1637">
        <v>1</v>
      </c>
      <c r="H1637">
        <v>60</v>
      </c>
      <c r="I1637">
        <v>1414</v>
      </c>
      <c r="J1637">
        <v>1414</v>
      </c>
      <c r="K1637">
        <v>525.52</v>
      </c>
      <c r="L1637">
        <v>30</v>
      </c>
    </row>
    <row r="1638" spans="1:12">
      <c r="A1638">
        <v>9511</v>
      </c>
      <c r="B1638" s="63" t="s">
        <v>393</v>
      </c>
      <c r="C1638" s="63" t="s">
        <v>1665</v>
      </c>
      <c r="D1638" s="63" t="s">
        <v>59</v>
      </c>
      <c r="E1638" s="63" t="s">
        <v>459</v>
      </c>
      <c r="F1638" s="63" t="s">
        <v>2784</v>
      </c>
      <c r="G1638">
        <v>1</v>
      </c>
      <c r="H1638">
        <v>60</v>
      </c>
      <c r="I1638">
        <v>1426</v>
      </c>
      <c r="J1638">
        <v>1426</v>
      </c>
      <c r="K1638">
        <v>285.42</v>
      </c>
      <c r="L1638">
        <v>30</v>
      </c>
    </row>
    <row r="1639" spans="1:12">
      <c r="A1639">
        <v>9570</v>
      </c>
      <c r="B1639" s="63" t="s">
        <v>2535</v>
      </c>
      <c r="C1639" s="63" t="s">
        <v>2536</v>
      </c>
      <c r="D1639" s="63" t="s">
        <v>59</v>
      </c>
      <c r="E1639" s="63" t="s">
        <v>175</v>
      </c>
      <c r="F1639" s="63" t="s">
        <v>1148</v>
      </c>
      <c r="G1639">
        <v>1</v>
      </c>
      <c r="H1639">
        <v>50</v>
      </c>
      <c r="I1639">
        <v>300</v>
      </c>
      <c r="J1639">
        <v>7144</v>
      </c>
      <c r="K1639">
        <v>67.42</v>
      </c>
      <c r="L1639">
        <v>7</v>
      </c>
    </row>
    <row r="1640" spans="1:12">
      <c r="A1640">
        <v>9570</v>
      </c>
      <c r="B1640" s="63" t="s">
        <v>2535</v>
      </c>
      <c r="C1640" s="63" t="s">
        <v>2536</v>
      </c>
      <c r="D1640" s="63" t="s">
        <v>59</v>
      </c>
      <c r="E1640" s="63" t="s">
        <v>184</v>
      </c>
      <c r="F1640" s="63" t="s">
        <v>2785</v>
      </c>
      <c r="G1640">
        <v>1</v>
      </c>
      <c r="H1640">
        <v>30</v>
      </c>
      <c r="I1640">
        <v>180</v>
      </c>
      <c r="J1640">
        <v>4300</v>
      </c>
      <c r="K1640">
        <v>61.65</v>
      </c>
      <c r="L1640">
        <v>7</v>
      </c>
    </row>
    <row r="1641" spans="1:12">
      <c r="A1641">
        <v>9571</v>
      </c>
      <c r="B1641" s="63" t="s">
        <v>490</v>
      </c>
      <c r="C1641" s="63" t="s">
        <v>2668</v>
      </c>
      <c r="D1641" s="63" t="s">
        <v>59</v>
      </c>
      <c r="E1641" s="63" t="s">
        <v>175</v>
      </c>
      <c r="F1641" s="63" t="s">
        <v>956</v>
      </c>
      <c r="G1641">
        <v>1</v>
      </c>
      <c r="H1641">
        <v>20</v>
      </c>
      <c r="I1641">
        <v>360</v>
      </c>
      <c r="J1641">
        <v>360</v>
      </c>
      <c r="K1641">
        <v>2.93</v>
      </c>
      <c r="L1641">
        <v>5</v>
      </c>
    </row>
    <row r="1642" spans="1:12">
      <c r="A1642">
        <v>9580</v>
      </c>
      <c r="B1642" s="63" t="s">
        <v>471</v>
      </c>
      <c r="C1642" s="63" t="s">
        <v>488</v>
      </c>
      <c r="D1642" s="63" t="s">
        <v>59</v>
      </c>
      <c r="G1642">
        <v>1</v>
      </c>
      <c r="H1642">
        <v>13</v>
      </c>
      <c r="I1642">
        <v>78</v>
      </c>
      <c r="J1642">
        <v>1867</v>
      </c>
      <c r="K1642">
        <v>0.7</v>
      </c>
      <c r="L1642">
        <v>6</v>
      </c>
    </row>
    <row r="1643" spans="1:12">
      <c r="A1643">
        <v>9580</v>
      </c>
      <c r="B1643" s="63" t="s">
        <v>376</v>
      </c>
      <c r="C1643" s="63" t="s">
        <v>927</v>
      </c>
      <c r="D1643" s="63" t="s">
        <v>59</v>
      </c>
      <c r="E1643" s="63" t="s">
        <v>311</v>
      </c>
      <c r="F1643" s="63" t="s">
        <v>2056</v>
      </c>
      <c r="G1643">
        <v>1</v>
      </c>
      <c r="H1643">
        <v>56</v>
      </c>
      <c r="I1643">
        <v>336</v>
      </c>
      <c r="J1643">
        <v>3497</v>
      </c>
      <c r="K1643">
        <v>215.57</v>
      </c>
      <c r="L1643">
        <v>35</v>
      </c>
    </row>
    <row r="1644" spans="1:12">
      <c r="A1644">
        <v>9580</v>
      </c>
      <c r="B1644" s="63" t="s">
        <v>2065</v>
      </c>
      <c r="C1644" s="63" t="s">
        <v>2066</v>
      </c>
      <c r="D1644" s="63" t="s">
        <v>285</v>
      </c>
      <c r="E1644" s="63" t="s">
        <v>172</v>
      </c>
      <c r="F1644" s="63" t="s">
        <v>1452</v>
      </c>
      <c r="G1644">
        <v>1</v>
      </c>
      <c r="H1644">
        <v>27</v>
      </c>
      <c r="I1644">
        <v>633</v>
      </c>
      <c r="J1644">
        <v>633</v>
      </c>
      <c r="K1644">
        <v>526.53</v>
      </c>
      <c r="L1644">
        <v>30</v>
      </c>
    </row>
    <row r="1645" spans="1:12">
      <c r="A1645">
        <v>9580</v>
      </c>
      <c r="B1645" s="63" t="s">
        <v>900</v>
      </c>
      <c r="C1645" s="63" t="s">
        <v>958</v>
      </c>
      <c r="D1645" s="63" t="s">
        <v>301</v>
      </c>
      <c r="E1645" s="63" t="s">
        <v>174</v>
      </c>
      <c r="F1645" s="63" t="s">
        <v>1818</v>
      </c>
      <c r="G1645">
        <v>1</v>
      </c>
      <c r="H1645">
        <v>5</v>
      </c>
      <c r="I1645">
        <v>117</v>
      </c>
      <c r="J1645">
        <v>117</v>
      </c>
      <c r="K1645">
        <v>89.72</v>
      </c>
      <c r="L1645">
        <v>89</v>
      </c>
    </row>
    <row r="1646" spans="1:12">
      <c r="A1646">
        <v>9580</v>
      </c>
      <c r="B1646" s="63" t="s">
        <v>436</v>
      </c>
      <c r="C1646" s="63" t="s">
        <v>437</v>
      </c>
      <c r="D1646" s="63" t="s">
        <v>285</v>
      </c>
      <c r="E1646" s="63" t="s">
        <v>203</v>
      </c>
      <c r="F1646" s="63" t="s">
        <v>1259</v>
      </c>
      <c r="G1646">
        <v>1</v>
      </c>
      <c r="H1646">
        <v>44</v>
      </c>
      <c r="I1646">
        <v>872</v>
      </c>
      <c r="J1646">
        <v>872</v>
      </c>
      <c r="K1646">
        <v>82.68</v>
      </c>
      <c r="L1646">
        <v>12</v>
      </c>
    </row>
    <row r="1647" spans="1:12">
      <c r="A1647">
        <v>9580</v>
      </c>
      <c r="B1647" s="63" t="s">
        <v>436</v>
      </c>
      <c r="C1647" s="63" t="s">
        <v>2786</v>
      </c>
      <c r="D1647" s="63" t="s">
        <v>285</v>
      </c>
      <c r="E1647" s="63" t="s">
        <v>172</v>
      </c>
      <c r="F1647" s="63" t="s">
        <v>2117</v>
      </c>
      <c r="G1647">
        <v>1</v>
      </c>
      <c r="H1647">
        <v>9</v>
      </c>
      <c r="I1647">
        <v>179</v>
      </c>
      <c r="J1647">
        <v>179</v>
      </c>
      <c r="K1647">
        <v>13.08</v>
      </c>
      <c r="L1647">
        <v>12</v>
      </c>
    </row>
    <row r="1648" spans="1:12">
      <c r="A1648">
        <v>9580</v>
      </c>
      <c r="B1648" s="63" t="s">
        <v>419</v>
      </c>
      <c r="C1648" s="63" t="s">
        <v>2787</v>
      </c>
      <c r="D1648" s="63" t="s">
        <v>325</v>
      </c>
      <c r="E1648" s="63" t="s">
        <v>254</v>
      </c>
      <c r="F1648" s="63" t="s">
        <v>2788</v>
      </c>
      <c r="G1648">
        <v>1</v>
      </c>
      <c r="H1648">
        <v>8</v>
      </c>
      <c r="I1648">
        <v>160</v>
      </c>
      <c r="J1648">
        <v>160</v>
      </c>
      <c r="K1648">
        <v>5.12</v>
      </c>
      <c r="L1648">
        <v>16</v>
      </c>
    </row>
    <row r="1649" spans="1:12">
      <c r="A1649">
        <v>9580</v>
      </c>
      <c r="B1649" s="63" t="s">
        <v>490</v>
      </c>
      <c r="C1649" s="63" t="s">
        <v>2668</v>
      </c>
      <c r="D1649" s="63" t="s">
        <v>59</v>
      </c>
      <c r="E1649" s="63" t="s">
        <v>2147</v>
      </c>
      <c r="F1649" s="63" t="s">
        <v>1862</v>
      </c>
      <c r="G1649">
        <v>1</v>
      </c>
      <c r="H1649">
        <v>22</v>
      </c>
      <c r="I1649">
        <v>396</v>
      </c>
      <c r="J1649">
        <v>396</v>
      </c>
      <c r="K1649">
        <v>5</v>
      </c>
      <c r="L1649">
        <v>5</v>
      </c>
    </row>
    <row r="1650" spans="1:12">
      <c r="A1650">
        <v>9580</v>
      </c>
      <c r="B1650" s="63" t="s">
        <v>1870</v>
      </c>
      <c r="C1650" s="63" t="s">
        <v>1871</v>
      </c>
      <c r="D1650" s="63" t="s">
        <v>285</v>
      </c>
      <c r="E1650" s="63" t="s">
        <v>172</v>
      </c>
      <c r="F1650" s="63" t="s">
        <v>1537</v>
      </c>
      <c r="G1650">
        <v>1</v>
      </c>
      <c r="H1650">
        <v>14</v>
      </c>
      <c r="I1650">
        <v>250</v>
      </c>
      <c r="J1650">
        <v>250</v>
      </c>
      <c r="K1650">
        <v>350.27</v>
      </c>
      <c r="L1650">
        <v>75</v>
      </c>
    </row>
    <row r="1651" spans="1:12">
      <c r="A1651">
        <v>9580</v>
      </c>
      <c r="B1651" s="63" t="s">
        <v>356</v>
      </c>
      <c r="C1651" s="63" t="s">
        <v>358</v>
      </c>
      <c r="D1651" s="63" t="s">
        <v>59</v>
      </c>
      <c r="E1651" s="63" t="s">
        <v>177</v>
      </c>
      <c r="F1651" s="63" t="s">
        <v>2789</v>
      </c>
      <c r="G1651">
        <v>1</v>
      </c>
      <c r="H1651">
        <v>60</v>
      </c>
      <c r="I1651">
        <v>1074</v>
      </c>
      <c r="J1651">
        <v>1074</v>
      </c>
      <c r="K1651">
        <v>0.98</v>
      </c>
      <c r="L1651">
        <v>4</v>
      </c>
    </row>
    <row r="1652" spans="1:12">
      <c r="A1652">
        <v>9580</v>
      </c>
      <c r="B1652" s="63" t="s">
        <v>698</v>
      </c>
      <c r="C1652" s="63" t="s">
        <v>2324</v>
      </c>
      <c r="D1652" s="63" t="s">
        <v>59</v>
      </c>
      <c r="E1652" s="63" t="s">
        <v>254</v>
      </c>
      <c r="F1652" s="63" t="s">
        <v>1879</v>
      </c>
      <c r="G1652">
        <v>1</v>
      </c>
      <c r="H1652">
        <v>60</v>
      </c>
      <c r="I1652">
        <v>886</v>
      </c>
      <c r="J1652">
        <v>886</v>
      </c>
      <c r="K1652">
        <v>1.55</v>
      </c>
      <c r="L1652">
        <v>8</v>
      </c>
    </row>
    <row r="1653" spans="1:12">
      <c r="A1653">
        <v>9580</v>
      </c>
      <c r="B1653" s="63" t="s">
        <v>2676</v>
      </c>
      <c r="C1653" s="63" t="s">
        <v>2677</v>
      </c>
      <c r="D1653" s="63" t="s">
        <v>285</v>
      </c>
      <c r="E1653" s="63" t="s">
        <v>177</v>
      </c>
      <c r="F1653" s="63" t="s">
        <v>1366</v>
      </c>
      <c r="G1653">
        <v>1</v>
      </c>
      <c r="H1653">
        <v>30</v>
      </c>
      <c r="I1653">
        <v>483</v>
      </c>
      <c r="J1653">
        <v>483</v>
      </c>
      <c r="K1653">
        <v>64.22</v>
      </c>
      <c r="L1653">
        <v>31</v>
      </c>
    </row>
    <row r="1654" spans="1:12">
      <c r="A1654">
        <v>9580</v>
      </c>
      <c r="B1654" s="63" t="s">
        <v>480</v>
      </c>
      <c r="C1654" s="63" t="s">
        <v>670</v>
      </c>
      <c r="D1654" s="63" t="s">
        <v>59</v>
      </c>
      <c r="G1654">
        <v>1</v>
      </c>
      <c r="H1654">
        <v>37</v>
      </c>
      <c r="I1654">
        <v>665</v>
      </c>
      <c r="J1654">
        <v>665</v>
      </c>
      <c r="K1654">
        <v>1.28</v>
      </c>
      <c r="L1654">
        <v>13</v>
      </c>
    </row>
    <row r="1655" spans="1:12">
      <c r="A1655">
        <v>9580</v>
      </c>
      <c r="B1655" s="63" t="s">
        <v>1735</v>
      </c>
      <c r="C1655" s="63" t="s">
        <v>1736</v>
      </c>
      <c r="D1655" s="63" t="s">
        <v>301</v>
      </c>
      <c r="E1655" s="63" t="s">
        <v>174</v>
      </c>
      <c r="F1655" s="63" t="s">
        <v>2132</v>
      </c>
      <c r="G1655">
        <v>1</v>
      </c>
      <c r="H1655">
        <v>30</v>
      </c>
      <c r="I1655">
        <v>269</v>
      </c>
      <c r="J1655">
        <v>430</v>
      </c>
      <c r="K1655">
        <v>282.27999999999997</v>
      </c>
      <c r="L1655">
        <v>50</v>
      </c>
    </row>
    <row r="1656" spans="1:12">
      <c r="A1656">
        <v>9580</v>
      </c>
      <c r="B1656" s="63" t="s">
        <v>833</v>
      </c>
      <c r="C1656" s="63" t="s">
        <v>834</v>
      </c>
      <c r="D1656" s="63" t="s">
        <v>285</v>
      </c>
      <c r="E1656" s="63" t="s">
        <v>185</v>
      </c>
      <c r="F1656" s="63" t="s">
        <v>1543</v>
      </c>
      <c r="G1656">
        <v>1</v>
      </c>
      <c r="H1656">
        <v>60</v>
      </c>
      <c r="I1656">
        <v>897</v>
      </c>
      <c r="J1656">
        <v>897</v>
      </c>
      <c r="K1656">
        <v>352.6</v>
      </c>
      <c r="L1656">
        <v>29</v>
      </c>
    </row>
    <row r="1657" spans="1:12">
      <c r="A1657">
        <v>9580</v>
      </c>
      <c r="B1657" s="63" t="s">
        <v>833</v>
      </c>
      <c r="C1657" s="63" t="s">
        <v>834</v>
      </c>
      <c r="D1657" s="63" t="s">
        <v>285</v>
      </c>
      <c r="E1657" s="63" t="s">
        <v>172</v>
      </c>
      <c r="F1657" s="63" t="s">
        <v>1400</v>
      </c>
      <c r="G1657">
        <v>1</v>
      </c>
      <c r="H1657">
        <v>20</v>
      </c>
      <c r="I1657">
        <v>300</v>
      </c>
      <c r="J1657">
        <v>300</v>
      </c>
      <c r="K1657">
        <v>352.5</v>
      </c>
      <c r="L1657">
        <v>29</v>
      </c>
    </row>
    <row r="1658" spans="1:12">
      <c r="A1658">
        <v>9580</v>
      </c>
      <c r="B1658" s="63" t="s">
        <v>389</v>
      </c>
      <c r="C1658" s="63" t="s">
        <v>2736</v>
      </c>
      <c r="D1658" s="63" t="s">
        <v>59</v>
      </c>
      <c r="E1658" s="63" t="s">
        <v>203</v>
      </c>
      <c r="F1658" s="63" t="s">
        <v>463</v>
      </c>
      <c r="G1658">
        <v>1</v>
      </c>
      <c r="H1658">
        <v>29</v>
      </c>
      <c r="I1658">
        <v>348</v>
      </c>
      <c r="J1658">
        <v>348</v>
      </c>
      <c r="K1658">
        <v>50.4</v>
      </c>
      <c r="L1658">
        <v>43</v>
      </c>
    </row>
    <row r="1659" spans="1:12">
      <c r="A1659">
        <v>9580</v>
      </c>
      <c r="B1659" s="63" t="s">
        <v>1821</v>
      </c>
      <c r="C1659" s="63" t="s">
        <v>1823</v>
      </c>
      <c r="D1659" s="63" t="s">
        <v>285</v>
      </c>
      <c r="E1659" s="63" t="s">
        <v>203</v>
      </c>
      <c r="F1659" s="63" t="s">
        <v>379</v>
      </c>
      <c r="G1659">
        <v>1</v>
      </c>
      <c r="H1659">
        <v>9</v>
      </c>
      <c r="I1659">
        <v>53</v>
      </c>
      <c r="J1659">
        <v>53</v>
      </c>
      <c r="K1659">
        <v>352.43</v>
      </c>
      <c r="L1659">
        <v>56</v>
      </c>
    </row>
    <row r="1660" spans="1:12">
      <c r="A1660">
        <v>9891</v>
      </c>
      <c r="B1660" s="63" t="s">
        <v>755</v>
      </c>
      <c r="C1660" s="63" t="s">
        <v>756</v>
      </c>
      <c r="D1660" s="63" t="s">
        <v>59</v>
      </c>
      <c r="E1660" s="63" t="s">
        <v>504</v>
      </c>
      <c r="F1660" s="63" t="s">
        <v>757</v>
      </c>
      <c r="G1660">
        <v>1</v>
      </c>
      <c r="H1660">
        <v>25</v>
      </c>
      <c r="I1660">
        <v>192</v>
      </c>
      <c r="J1660">
        <v>192</v>
      </c>
      <c r="K1660">
        <v>4006.52</v>
      </c>
      <c r="L1660">
        <v>176</v>
      </c>
    </row>
    <row r="1661" spans="1:12">
      <c r="A1661">
        <v>9892</v>
      </c>
      <c r="B1661" s="63" t="s">
        <v>1182</v>
      </c>
      <c r="C1661" s="63" t="s">
        <v>2790</v>
      </c>
      <c r="D1661" s="63" t="s">
        <v>59</v>
      </c>
      <c r="G1661">
        <v>1</v>
      </c>
      <c r="H1661">
        <v>20</v>
      </c>
      <c r="I1661">
        <v>340</v>
      </c>
      <c r="J1661">
        <v>340</v>
      </c>
      <c r="K1661">
        <v>1.07</v>
      </c>
      <c r="L1661">
        <v>0</v>
      </c>
    </row>
    <row r="1662" spans="1:12">
      <c r="A1662">
        <v>9892</v>
      </c>
      <c r="B1662" s="63" t="s">
        <v>1182</v>
      </c>
      <c r="C1662" s="63" t="s">
        <v>2790</v>
      </c>
      <c r="D1662" s="63" t="s">
        <v>59</v>
      </c>
      <c r="E1662" s="63" t="s">
        <v>299</v>
      </c>
      <c r="F1662" s="63" t="s">
        <v>2791</v>
      </c>
      <c r="G1662">
        <v>1</v>
      </c>
      <c r="H1662">
        <v>20</v>
      </c>
      <c r="I1662">
        <v>360</v>
      </c>
      <c r="J1662">
        <v>360</v>
      </c>
      <c r="K1662">
        <v>23.35</v>
      </c>
      <c r="L1662">
        <v>0</v>
      </c>
    </row>
    <row r="1663" spans="1:12">
      <c r="A1663">
        <v>9892</v>
      </c>
      <c r="B1663" s="63" t="s">
        <v>1182</v>
      </c>
      <c r="C1663" s="63" t="s">
        <v>2790</v>
      </c>
      <c r="D1663" s="63" t="s">
        <v>59</v>
      </c>
      <c r="E1663" s="63" t="s">
        <v>299</v>
      </c>
      <c r="F1663" s="63" t="s">
        <v>2792</v>
      </c>
      <c r="G1663">
        <v>1</v>
      </c>
      <c r="H1663">
        <v>20</v>
      </c>
      <c r="I1663">
        <v>360</v>
      </c>
      <c r="J1663">
        <v>360</v>
      </c>
      <c r="K1663">
        <v>1.52</v>
      </c>
      <c r="L1663">
        <v>0</v>
      </c>
    </row>
    <row r="1664" spans="1:12">
      <c r="A1664">
        <v>9892</v>
      </c>
      <c r="B1664" s="63" t="s">
        <v>1182</v>
      </c>
      <c r="C1664" s="63" t="s">
        <v>2790</v>
      </c>
      <c r="D1664" s="63" t="s">
        <v>59</v>
      </c>
      <c r="E1664" s="63" t="s">
        <v>299</v>
      </c>
      <c r="F1664" s="63" t="s">
        <v>2793</v>
      </c>
      <c r="G1664">
        <v>1</v>
      </c>
      <c r="H1664">
        <v>20</v>
      </c>
      <c r="I1664">
        <v>360</v>
      </c>
      <c r="J1664">
        <v>360</v>
      </c>
      <c r="K1664">
        <v>1.53</v>
      </c>
      <c r="L1664">
        <v>0</v>
      </c>
    </row>
    <row r="1665" spans="1:12">
      <c r="A1665">
        <v>9892</v>
      </c>
      <c r="B1665" s="63" t="s">
        <v>1182</v>
      </c>
      <c r="C1665" s="63" t="s">
        <v>2790</v>
      </c>
      <c r="D1665" s="63" t="s">
        <v>59</v>
      </c>
      <c r="E1665" s="63" t="s">
        <v>299</v>
      </c>
      <c r="F1665" s="63" t="s">
        <v>2794</v>
      </c>
      <c r="G1665">
        <v>1</v>
      </c>
      <c r="H1665">
        <v>16</v>
      </c>
      <c r="I1665">
        <v>288</v>
      </c>
      <c r="J1665">
        <v>288</v>
      </c>
      <c r="K1665">
        <v>7.65</v>
      </c>
      <c r="L1665">
        <v>0</v>
      </c>
    </row>
    <row r="1666" spans="1:12">
      <c r="A1666">
        <v>9892</v>
      </c>
      <c r="B1666" s="63" t="s">
        <v>1182</v>
      </c>
      <c r="C1666" s="63" t="s">
        <v>2790</v>
      </c>
      <c r="D1666" s="63" t="s">
        <v>59</v>
      </c>
      <c r="E1666" s="63" t="s">
        <v>299</v>
      </c>
      <c r="F1666" s="63" t="s">
        <v>2795</v>
      </c>
      <c r="G1666">
        <v>1</v>
      </c>
      <c r="H1666">
        <v>20</v>
      </c>
      <c r="I1666">
        <v>360</v>
      </c>
      <c r="J1666">
        <v>360</v>
      </c>
      <c r="K1666">
        <v>23.35</v>
      </c>
      <c r="L1666">
        <v>0</v>
      </c>
    </row>
    <row r="1667" spans="1:12">
      <c r="A1667">
        <v>9892</v>
      </c>
      <c r="B1667" s="63" t="s">
        <v>1182</v>
      </c>
      <c r="C1667" s="63" t="s">
        <v>2790</v>
      </c>
      <c r="D1667" s="63" t="s">
        <v>59</v>
      </c>
      <c r="E1667" s="63" t="s">
        <v>299</v>
      </c>
      <c r="F1667" s="63" t="s">
        <v>2796</v>
      </c>
      <c r="G1667">
        <v>1</v>
      </c>
      <c r="H1667">
        <v>20</v>
      </c>
      <c r="I1667">
        <v>360</v>
      </c>
      <c r="J1667">
        <v>360</v>
      </c>
      <c r="K1667">
        <v>23.35</v>
      </c>
      <c r="L1667">
        <v>0</v>
      </c>
    </row>
    <row r="1668" spans="1:12">
      <c r="A1668">
        <v>9892</v>
      </c>
      <c r="B1668" s="63" t="s">
        <v>1182</v>
      </c>
      <c r="C1668" s="63" t="s">
        <v>2790</v>
      </c>
      <c r="D1668" s="63" t="s">
        <v>59</v>
      </c>
      <c r="E1668" s="63" t="s">
        <v>299</v>
      </c>
      <c r="F1668" s="63" t="s">
        <v>2797</v>
      </c>
      <c r="G1668">
        <v>1</v>
      </c>
      <c r="H1668">
        <v>20</v>
      </c>
      <c r="I1668">
        <v>340</v>
      </c>
      <c r="J1668">
        <v>340</v>
      </c>
      <c r="K1668">
        <v>7.62</v>
      </c>
      <c r="L1668">
        <v>0</v>
      </c>
    </row>
    <row r="1669" spans="1:12">
      <c r="A1669">
        <v>9892</v>
      </c>
      <c r="B1669" s="63" t="s">
        <v>1182</v>
      </c>
      <c r="C1669" s="63" t="s">
        <v>2790</v>
      </c>
      <c r="D1669" s="63" t="s">
        <v>59</v>
      </c>
      <c r="E1669" s="63" t="s">
        <v>299</v>
      </c>
      <c r="F1669" s="63" t="s">
        <v>2798</v>
      </c>
      <c r="G1669">
        <v>1</v>
      </c>
      <c r="H1669">
        <v>20</v>
      </c>
      <c r="I1669">
        <v>360</v>
      </c>
      <c r="J1669">
        <v>360</v>
      </c>
      <c r="K1669">
        <v>1.52</v>
      </c>
      <c r="L1669">
        <v>0</v>
      </c>
    </row>
    <row r="1670" spans="1:12">
      <c r="A1670">
        <v>9892</v>
      </c>
      <c r="B1670" s="63" t="s">
        <v>1182</v>
      </c>
      <c r="C1670" s="63" t="s">
        <v>2790</v>
      </c>
      <c r="D1670" s="63" t="s">
        <v>59</v>
      </c>
      <c r="E1670" s="63" t="s">
        <v>299</v>
      </c>
      <c r="F1670" s="63" t="s">
        <v>2799</v>
      </c>
      <c r="G1670">
        <v>1</v>
      </c>
      <c r="H1670">
        <v>20</v>
      </c>
      <c r="I1670">
        <v>360</v>
      </c>
      <c r="J1670">
        <v>360</v>
      </c>
      <c r="K1670">
        <v>1.52</v>
      </c>
      <c r="L1670">
        <v>0</v>
      </c>
    </row>
    <row r="1671" spans="1:12">
      <c r="A1671">
        <v>9892</v>
      </c>
      <c r="B1671" s="63" t="s">
        <v>1182</v>
      </c>
      <c r="C1671" s="63" t="s">
        <v>2790</v>
      </c>
      <c r="D1671" s="63" t="s">
        <v>59</v>
      </c>
      <c r="E1671" s="63" t="s">
        <v>299</v>
      </c>
      <c r="F1671" s="63" t="s">
        <v>2800</v>
      </c>
      <c r="G1671">
        <v>1</v>
      </c>
      <c r="H1671">
        <v>20</v>
      </c>
      <c r="I1671">
        <v>360</v>
      </c>
      <c r="J1671">
        <v>360</v>
      </c>
      <c r="K1671">
        <v>7.63</v>
      </c>
      <c r="L1671">
        <v>0</v>
      </c>
    </row>
    <row r="1672" spans="1:12">
      <c r="A1672">
        <v>9892</v>
      </c>
      <c r="B1672" s="63" t="s">
        <v>1182</v>
      </c>
      <c r="C1672" s="63" t="s">
        <v>2790</v>
      </c>
      <c r="D1672" s="63" t="s">
        <v>59</v>
      </c>
      <c r="E1672" s="63" t="s">
        <v>299</v>
      </c>
      <c r="F1672" s="63" t="s">
        <v>2801</v>
      </c>
      <c r="G1672">
        <v>1</v>
      </c>
      <c r="H1672">
        <v>20</v>
      </c>
      <c r="I1672">
        <v>360</v>
      </c>
      <c r="J1672">
        <v>360</v>
      </c>
      <c r="K1672">
        <v>1.52</v>
      </c>
      <c r="L1672">
        <v>0</v>
      </c>
    </row>
    <row r="1673" spans="1:12">
      <c r="A1673">
        <v>9892</v>
      </c>
      <c r="B1673" s="63" t="s">
        <v>1182</v>
      </c>
      <c r="C1673" s="63" t="s">
        <v>2790</v>
      </c>
      <c r="D1673" s="63" t="s">
        <v>59</v>
      </c>
      <c r="E1673" s="63" t="s">
        <v>299</v>
      </c>
      <c r="F1673" s="63" t="s">
        <v>2802</v>
      </c>
      <c r="G1673">
        <v>1</v>
      </c>
      <c r="H1673">
        <v>20</v>
      </c>
      <c r="I1673">
        <v>340</v>
      </c>
      <c r="J1673">
        <v>340</v>
      </c>
      <c r="K1673">
        <v>7.63</v>
      </c>
      <c r="L1673">
        <v>0</v>
      </c>
    </row>
    <row r="1674" spans="1:12">
      <c r="A1674">
        <v>9892</v>
      </c>
      <c r="B1674" s="63" t="s">
        <v>1182</v>
      </c>
      <c r="C1674" s="63" t="s">
        <v>2790</v>
      </c>
      <c r="D1674" s="63" t="s">
        <v>59</v>
      </c>
      <c r="E1674" s="63" t="s">
        <v>299</v>
      </c>
      <c r="F1674" s="63" t="s">
        <v>2803</v>
      </c>
      <c r="G1674">
        <v>1</v>
      </c>
      <c r="H1674">
        <v>20</v>
      </c>
      <c r="I1674">
        <v>340</v>
      </c>
      <c r="J1674">
        <v>340</v>
      </c>
      <c r="K1674">
        <v>7.62</v>
      </c>
      <c r="L1674">
        <v>0</v>
      </c>
    </row>
    <row r="1675" spans="1:12">
      <c r="A1675">
        <v>9892</v>
      </c>
      <c r="B1675" s="63" t="s">
        <v>1182</v>
      </c>
      <c r="C1675" s="63" t="s">
        <v>2790</v>
      </c>
      <c r="D1675" s="63" t="s">
        <v>59</v>
      </c>
      <c r="E1675" s="63" t="s">
        <v>299</v>
      </c>
      <c r="F1675" s="63" t="s">
        <v>2804</v>
      </c>
      <c r="G1675">
        <v>1</v>
      </c>
      <c r="H1675">
        <v>20</v>
      </c>
      <c r="I1675">
        <v>360</v>
      </c>
      <c r="J1675">
        <v>360</v>
      </c>
      <c r="K1675">
        <v>1.52</v>
      </c>
      <c r="L1675">
        <v>0</v>
      </c>
    </row>
    <row r="1676" spans="1:12">
      <c r="A1676">
        <v>9892</v>
      </c>
      <c r="B1676" s="63" t="s">
        <v>1182</v>
      </c>
      <c r="C1676" s="63" t="s">
        <v>2790</v>
      </c>
      <c r="D1676" s="63" t="s">
        <v>59</v>
      </c>
      <c r="E1676" s="63" t="s">
        <v>299</v>
      </c>
      <c r="F1676" s="63" t="s">
        <v>2805</v>
      </c>
      <c r="G1676">
        <v>1</v>
      </c>
      <c r="H1676">
        <v>20</v>
      </c>
      <c r="I1676">
        <v>360</v>
      </c>
      <c r="J1676">
        <v>360</v>
      </c>
      <c r="K1676">
        <v>1.52</v>
      </c>
      <c r="L1676">
        <v>0</v>
      </c>
    </row>
    <row r="1677" spans="1:12">
      <c r="A1677">
        <v>9892</v>
      </c>
      <c r="B1677" s="63" t="s">
        <v>1182</v>
      </c>
      <c r="C1677" s="63" t="s">
        <v>2790</v>
      </c>
      <c r="D1677" s="63" t="s">
        <v>59</v>
      </c>
      <c r="E1677" s="63" t="s">
        <v>299</v>
      </c>
      <c r="F1677" s="63" t="s">
        <v>2806</v>
      </c>
      <c r="G1677">
        <v>1</v>
      </c>
      <c r="H1677">
        <v>4</v>
      </c>
      <c r="I1677">
        <v>68</v>
      </c>
      <c r="J1677">
        <v>68</v>
      </c>
      <c r="K1677">
        <v>7.63</v>
      </c>
      <c r="L1677">
        <v>0</v>
      </c>
    </row>
    <row r="1678" spans="1:12">
      <c r="A1678">
        <v>9892</v>
      </c>
      <c r="B1678" s="63" t="s">
        <v>1182</v>
      </c>
      <c r="C1678" s="63" t="s">
        <v>2790</v>
      </c>
      <c r="D1678" s="63" t="s">
        <v>59</v>
      </c>
      <c r="E1678" s="63" t="s">
        <v>299</v>
      </c>
      <c r="F1678" s="63" t="s">
        <v>2807</v>
      </c>
      <c r="G1678">
        <v>1</v>
      </c>
      <c r="H1678">
        <v>20</v>
      </c>
      <c r="I1678">
        <v>360</v>
      </c>
      <c r="J1678">
        <v>360</v>
      </c>
      <c r="K1678">
        <v>7.63</v>
      </c>
      <c r="L1678">
        <v>0</v>
      </c>
    </row>
    <row r="1679" spans="1:12">
      <c r="A1679">
        <v>9892</v>
      </c>
      <c r="B1679" s="63" t="s">
        <v>1182</v>
      </c>
      <c r="C1679" s="63" t="s">
        <v>2790</v>
      </c>
      <c r="D1679" s="63" t="s">
        <v>59</v>
      </c>
      <c r="E1679" s="63" t="s">
        <v>299</v>
      </c>
      <c r="F1679" s="63" t="s">
        <v>2808</v>
      </c>
      <c r="G1679">
        <v>1</v>
      </c>
      <c r="H1679">
        <v>20</v>
      </c>
      <c r="I1679">
        <v>360</v>
      </c>
      <c r="J1679">
        <v>360</v>
      </c>
      <c r="K1679">
        <v>1.52</v>
      </c>
      <c r="L1679">
        <v>0</v>
      </c>
    </row>
    <row r="1680" spans="1:12">
      <c r="A1680">
        <v>9892</v>
      </c>
      <c r="B1680" s="63" t="s">
        <v>1182</v>
      </c>
      <c r="C1680" s="63" t="s">
        <v>2790</v>
      </c>
      <c r="D1680" s="63" t="s">
        <v>59</v>
      </c>
      <c r="E1680" s="63" t="s">
        <v>299</v>
      </c>
      <c r="F1680" s="63" t="s">
        <v>2809</v>
      </c>
      <c r="G1680">
        <v>1</v>
      </c>
      <c r="H1680">
        <v>20</v>
      </c>
      <c r="I1680">
        <v>360</v>
      </c>
      <c r="J1680">
        <v>360</v>
      </c>
      <c r="K1680">
        <v>1.52</v>
      </c>
      <c r="L1680">
        <v>0</v>
      </c>
    </row>
    <row r="1681" spans="1:12">
      <c r="A1681">
        <v>9892</v>
      </c>
      <c r="B1681" s="63" t="s">
        <v>1182</v>
      </c>
      <c r="C1681" s="63" t="s">
        <v>2790</v>
      </c>
      <c r="D1681" s="63" t="s">
        <v>59</v>
      </c>
      <c r="E1681" s="63" t="s">
        <v>299</v>
      </c>
      <c r="F1681" s="63" t="s">
        <v>2810</v>
      </c>
      <c r="G1681">
        <v>1</v>
      </c>
      <c r="H1681">
        <v>20</v>
      </c>
      <c r="I1681">
        <v>360</v>
      </c>
      <c r="J1681">
        <v>360</v>
      </c>
      <c r="K1681">
        <v>7.63</v>
      </c>
      <c r="L1681">
        <v>0</v>
      </c>
    </row>
    <row r="1682" spans="1:12">
      <c r="A1682">
        <v>9892</v>
      </c>
      <c r="B1682" s="63" t="s">
        <v>1182</v>
      </c>
      <c r="C1682" s="63" t="s">
        <v>2790</v>
      </c>
      <c r="D1682" s="63" t="s">
        <v>59</v>
      </c>
      <c r="E1682" s="63" t="s">
        <v>299</v>
      </c>
      <c r="F1682" s="63" t="s">
        <v>2811</v>
      </c>
      <c r="G1682">
        <v>1</v>
      </c>
      <c r="H1682">
        <v>20</v>
      </c>
      <c r="I1682">
        <v>360</v>
      </c>
      <c r="J1682">
        <v>360</v>
      </c>
      <c r="K1682">
        <v>1.53</v>
      </c>
      <c r="L1682">
        <v>0</v>
      </c>
    </row>
    <row r="1683" spans="1:12">
      <c r="A1683">
        <v>9892</v>
      </c>
      <c r="B1683" s="63" t="s">
        <v>1182</v>
      </c>
      <c r="C1683" s="63" t="s">
        <v>2790</v>
      </c>
      <c r="D1683" s="63" t="s">
        <v>59</v>
      </c>
      <c r="E1683" s="63" t="s">
        <v>299</v>
      </c>
      <c r="F1683" s="63" t="s">
        <v>2812</v>
      </c>
      <c r="G1683">
        <v>1</v>
      </c>
      <c r="H1683">
        <v>20</v>
      </c>
      <c r="I1683">
        <v>360</v>
      </c>
      <c r="J1683">
        <v>360</v>
      </c>
      <c r="K1683">
        <v>7.65</v>
      </c>
      <c r="L1683">
        <v>0</v>
      </c>
    </row>
    <row r="1684" spans="1:12">
      <c r="A1684">
        <v>9892</v>
      </c>
      <c r="B1684" s="63" t="s">
        <v>1182</v>
      </c>
      <c r="C1684" s="63" t="s">
        <v>2790</v>
      </c>
      <c r="D1684" s="63" t="s">
        <v>59</v>
      </c>
      <c r="E1684" s="63" t="s">
        <v>299</v>
      </c>
      <c r="F1684" s="63" t="s">
        <v>2813</v>
      </c>
      <c r="G1684">
        <v>1</v>
      </c>
      <c r="H1684">
        <v>20</v>
      </c>
      <c r="I1684">
        <v>360</v>
      </c>
      <c r="J1684">
        <v>360</v>
      </c>
      <c r="K1684">
        <v>1.53</v>
      </c>
      <c r="L1684">
        <v>0</v>
      </c>
    </row>
    <row r="1685" spans="1:12">
      <c r="A1685">
        <v>9892</v>
      </c>
      <c r="B1685" s="63" t="s">
        <v>1182</v>
      </c>
      <c r="C1685" s="63" t="s">
        <v>2790</v>
      </c>
      <c r="D1685" s="63" t="s">
        <v>59</v>
      </c>
      <c r="E1685" s="63" t="s">
        <v>299</v>
      </c>
      <c r="F1685" s="63" t="s">
        <v>2814</v>
      </c>
      <c r="G1685">
        <v>1</v>
      </c>
      <c r="H1685">
        <v>20</v>
      </c>
      <c r="I1685">
        <v>360</v>
      </c>
      <c r="J1685">
        <v>360</v>
      </c>
      <c r="K1685">
        <v>1.52</v>
      </c>
      <c r="L1685">
        <v>0</v>
      </c>
    </row>
    <row r="1686" spans="1:12">
      <c r="A1686">
        <v>9920</v>
      </c>
      <c r="B1686" s="63" t="s">
        <v>1854</v>
      </c>
      <c r="C1686" s="63" t="s">
        <v>1855</v>
      </c>
      <c r="D1686" s="63" t="s">
        <v>325</v>
      </c>
      <c r="E1686" s="63" t="s">
        <v>459</v>
      </c>
      <c r="F1686" s="63" t="s">
        <v>2815</v>
      </c>
      <c r="G1686">
        <v>1</v>
      </c>
      <c r="H1686">
        <v>1</v>
      </c>
      <c r="I1686">
        <v>8</v>
      </c>
      <c r="J1686">
        <v>111</v>
      </c>
      <c r="K1686">
        <v>822.03</v>
      </c>
      <c r="L1686">
        <v>62</v>
      </c>
    </row>
    <row r="1687" spans="1:12">
      <c r="A1687">
        <v>9920</v>
      </c>
      <c r="B1687" s="63" t="s">
        <v>429</v>
      </c>
      <c r="C1687" s="63" t="s">
        <v>430</v>
      </c>
      <c r="D1687" s="63" t="s">
        <v>59</v>
      </c>
      <c r="E1687" s="63" t="s">
        <v>459</v>
      </c>
      <c r="F1687" s="63" t="s">
        <v>1886</v>
      </c>
      <c r="G1687">
        <v>1</v>
      </c>
      <c r="H1687">
        <v>2</v>
      </c>
      <c r="I1687">
        <v>28</v>
      </c>
      <c r="J1687">
        <v>153</v>
      </c>
      <c r="K1687">
        <v>493.15</v>
      </c>
      <c r="L1687">
        <v>30</v>
      </c>
    </row>
    <row r="1688" spans="1:12">
      <c r="A1688">
        <v>9920</v>
      </c>
      <c r="B1688" s="63" t="s">
        <v>830</v>
      </c>
      <c r="C1688" s="63" t="s">
        <v>831</v>
      </c>
      <c r="D1688" s="63" t="s">
        <v>325</v>
      </c>
      <c r="E1688" s="63" t="s">
        <v>459</v>
      </c>
      <c r="F1688" s="63" t="s">
        <v>2816</v>
      </c>
      <c r="G1688">
        <v>1</v>
      </c>
      <c r="H1688">
        <v>2</v>
      </c>
      <c r="I1688">
        <v>48</v>
      </c>
      <c r="J1688">
        <v>48</v>
      </c>
      <c r="K1688">
        <v>135.18</v>
      </c>
      <c r="L1688">
        <v>107</v>
      </c>
    </row>
    <row r="1689" spans="1:12">
      <c r="A1689">
        <v>9920</v>
      </c>
      <c r="B1689" s="63" t="s">
        <v>943</v>
      </c>
      <c r="C1689" s="63" t="s">
        <v>2817</v>
      </c>
      <c r="D1689" s="63" t="s">
        <v>325</v>
      </c>
      <c r="E1689" s="63" t="s">
        <v>459</v>
      </c>
      <c r="F1689" s="63" t="s">
        <v>1230</v>
      </c>
      <c r="G1689">
        <v>1</v>
      </c>
      <c r="H1689">
        <v>37</v>
      </c>
      <c r="I1689">
        <v>887</v>
      </c>
      <c r="J1689">
        <v>887</v>
      </c>
      <c r="K1689">
        <v>588.35</v>
      </c>
      <c r="L1689">
        <v>30</v>
      </c>
    </row>
    <row r="1690" spans="1:12">
      <c r="A1690">
        <v>9920</v>
      </c>
      <c r="B1690" s="63" t="s">
        <v>900</v>
      </c>
      <c r="C1690" s="63" t="s">
        <v>958</v>
      </c>
      <c r="D1690" s="63" t="s">
        <v>301</v>
      </c>
      <c r="E1690" s="63" t="s">
        <v>459</v>
      </c>
      <c r="F1690" s="63" t="s">
        <v>1495</v>
      </c>
      <c r="G1690">
        <v>1</v>
      </c>
      <c r="H1690">
        <v>1</v>
      </c>
      <c r="I1690">
        <v>22</v>
      </c>
      <c r="J1690">
        <v>22</v>
      </c>
      <c r="K1690">
        <v>306.2</v>
      </c>
      <c r="L1690">
        <v>89</v>
      </c>
    </row>
    <row r="1691" spans="1:12">
      <c r="A1691">
        <v>9920</v>
      </c>
      <c r="B1691" s="63" t="s">
        <v>355</v>
      </c>
      <c r="C1691" s="63" t="s">
        <v>385</v>
      </c>
      <c r="D1691" s="63" t="s">
        <v>59</v>
      </c>
      <c r="E1691" s="63" t="s">
        <v>459</v>
      </c>
      <c r="F1691" s="63" t="s">
        <v>1024</v>
      </c>
      <c r="G1691">
        <v>1</v>
      </c>
      <c r="H1691">
        <v>41</v>
      </c>
      <c r="I1691">
        <v>818</v>
      </c>
      <c r="J1691">
        <v>818</v>
      </c>
      <c r="K1691">
        <v>952.82</v>
      </c>
      <c r="L1691">
        <v>46</v>
      </c>
    </row>
    <row r="1692" spans="1:12">
      <c r="A1692">
        <v>9920</v>
      </c>
      <c r="B1692" s="63" t="s">
        <v>323</v>
      </c>
      <c r="C1692" s="63" t="s">
        <v>1110</v>
      </c>
      <c r="D1692" s="63" t="s">
        <v>59</v>
      </c>
      <c r="E1692" s="63" t="s">
        <v>459</v>
      </c>
      <c r="F1692" s="63" t="s">
        <v>1884</v>
      </c>
      <c r="G1692">
        <v>1</v>
      </c>
      <c r="H1692">
        <v>28</v>
      </c>
      <c r="I1692">
        <v>504</v>
      </c>
      <c r="J1692">
        <v>504</v>
      </c>
      <c r="K1692">
        <v>1740.95</v>
      </c>
      <c r="L1692">
        <v>78</v>
      </c>
    </row>
    <row r="1693" spans="1:12">
      <c r="A1693">
        <v>9920</v>
      </c>
      <c r="B1693" s="63" t="s">
        <v>698</v>
      </c>
      <c r="C1693" s="63" t="s">
        <v>699</v>
      </c>
      <c r="D1693" s="63" t="s">
        <v>325</v>
      </c>
      <c r="E1693" s="63" t="s">
        <v>459</v>
      </c>
      <c r="F1693" s="63" t="s">
        <v>1572</v>
      </c>
      <c r="G1693">
        <v>1</v>
      </c>
      <c r="H1693">
        <v>23</v>
      </c>
      <c r="I1693">
        <v>409</v>
      </c>
      <c r="J1693">
        <v>409</v>
      </c>
      <c r="K1693">
        <v>724.95</v>
      </c>
      <c r="L1693">
        <v>121</v>
      </c>
    </row>
    <row r="1694" spans="1:12">
      <c r="A1694">
        <v>9920</v>
      </c>
      <c r="B1694" s="63" t="s">
        <v>973</v>
      </c>
      <c r="C1694" s="63" t="s">
        <v>700</v>
      </c>
      <c r="D1694" s="63" t="s">
        <v>325</v>
      </c>
      <c r="E1694" s="63" t="s">
        <v>311</v>
      </c>
      <c r="F1694" s="63" t="s">
        <v>1302</v>
      </c>
      <c r="G1694">
        <v>1</v>
      </c>
      <c r="H1694">
        <v>9</v>
      </c>
      <c r="I1694">
        <v>148</v>
      </c>
      <c r="J1694">
        <v>148</v>
      </c>
      <c r="K1694">
        <v>2152.08</v>
      </c>
      <c r="L1694">
        <v>120</v>
      </c>
    </row>
    <row r="1695" spans="1:12">
      <c r="A1695">
        <v>9920</v>
      </c>
      <c r="B1695" s="63" t="s">
        <v>844</v>
      </c>
      <c r="C1695" s="63" t="s">
        <v>845</v>
      </c>
      <c r="D1695" s="63" t="s">
        <v>325</v>
      </c>
      <c r="E1695" s="63" t="s">
        <v>508</v>
      </c>
      <c r="F1695" s="63" t="s">
        <v>1866</v>
      </c>
      <c r="G1695">
        <v>1</v>
      </c>
      <c r="H1695">
        <v>18</v>
      </c>
      <c r="I1695">
        <v>317</v>
      </c>
      <c r="J1695">
        <v>317</v>
      </c>
      <c r="K1695">
        <v>115.17</v>
      </c>
      <c r="L1695">
        <v>105</v>
      </c>
    </row>
    <row r="1696" spans="1:12">
      <c r="A1696">
        <v>9920</v>
      </c>
      <c r="B1696" s="63" t="s">
        <v>389</v>
      </c>
      <c r="C1696" s="63" t="s">
        <v>390</v>
      </c>
      <c r="D1696" s="63" t="s">
        <v>59</v>
      </c>
      <c r="E1696" s="63" t="s">
        <v>504</v>
      </c>
      <c r="F1696" s="63" t="s">
        <v>1885</v>
      </c>
      <c r="G1696">
        <v>1</v>
      </c>
      <c r="H1696">
        <v>54</v>
      </c>
      <c r="I1696">
        <v>645</v>
      </c>
      <c r="J1696">
        <v>645</v>
      </c>
      <c r="K1696">
        <v>997.03</v>
      </c>
      <c r="L1696">
        <v>44</v>
      </c>
    </row>
    <row r="1697" spans="1:12">
      <c r="A1697">
        <v>9920</v>
      </c>
      <c r="B1697" s="63" t="s">
        <v>1165</v>
      </c>
      <c r="C1697" s="63" t="s">
        <v>1166</v>
      </c>
      <c r="D1697" s="63" t="s">
        <v>59</v>
      </c>
      <c r="E1697" s="63" t="s">
        <v>508</v>
      </c>
      <c r="F1697" s="63" t="s">
        <v>1890</v>
      </c>
      <c r="G1697">
        <v>1</v>
      </c>
      <c r="H1697">
        <v>19</v>
      </c>
      <c r="I1697">
        <v>227</v>
      </c>
      <c r="J1697">
        <v>227</v>
      </c>
      <c r="K1697">
        <v>1740.32</v>
      </c>
      <c r="L1697">
        <v>77</v>
      </c>
    </row>
    <row r="1698" spans="1:12">
      <c r="A1698">
        <v>9920</v>
      </c>
      <c r="B1698" s="63" t="s">
        <v>2740</v>
      </c>
      <c r="C1698" s="63" t="s">
        <v>2818</v>
      </c>
      <c r="D1698" s="63" t="s">
        <v>59</v>
      </c>
      <c r="E1698" s="63" t="s">
        <v>311</v>
      </c>
      <c r="F1698" s="63" t="s">
        <v>2819</v>
      </c>
      <c r="G1698">
        <v>1</v>
      </c>
      <c r="H1698">
        <v>12</v>
      </c>
      <c r="I1698">
        <v>71</v>
      </c>
      <c r="J1698">
        <v>71</v>
      </c>
      <c r="K1698">
        <v>2253.7199999999998</v>
      </c>
      <c r="L1698">
        <v>156</v>
      </c>
    </row>
    <row r="1699" spans="1:12">
      <c r="A1699">
        <v>9920</v>
      </c>
      <c r="B1699" s="63" t="s">
        <v>258</v>
      </c>
      <c r="C1699" s="63" t="s">
        <v>860</v>
      </c>
      <c r="D1699" s="63" t="s">
        <v>59</v>
      </c>
      <c r="E1699" s="63" t="s">
        <v>459</v>
      </c>
      <c r="F1699" s="63" t="s">
        <v>2820</v>
      </c>
      <c r="G1699">
        <v>1</v>
      </c>
      <c r="H1699">
        <v>1</v>
      </c>
      <c r="I1699">
        <v>6</v>
      </c>
      <c r="J1699">
        <v>6</v>
      </c>
      <c r="K1699">
        <v>436.35</v>
      </c>
      <c r="L1699">
        <v>26</v>
      </c>
    </row>
    <row r="1700" spans="1:12">
      <c r="A1700">
        <v>9920</v>
      </c>
      <c r="B1700" s="63" t="s">
        <v>1821</v>
      </c>
      <c r="C1700" s="63" t="s">
        <v>1822</v>
      </c>
      <c r="D1700" s="63" t="s">
        <v>325</v>
      </c>
      <c r="E1700" s="63" t="s">
        <v>311</v>
      </c>
      <c r="F1700" s="63" t="s">
        <v>2821</v>
      </c>
      <c r="G1700">
        <v>1</v>
      </c>
      <c r="H1700">
        <v>6</v>
      </c>
      <c r="I1700">
        <v>35</v>
      </c>
      <c r="J1700">
        <v>35</v>
      </c>
      <c r="K1700">
        <v>598.41999999999996</v>
      </c>
      <c r="L1700">
        <v>56</v>
      </c>
    </row>
    <row r="1701" spans="1:12">
      <c r="A1701">
        <v>9920</v>
      </c>
      <c r="B1701" s="63" t="s">
        <v>1821</v>
      </c>
      <c r="C1701" s="63" t="s">
        <v>1822</v>
      </c>
      <c r="D1701" s="63" t="s">
        <v>325</v>
      </c>
      <c r="E1701" s="63" t="s">
        <v>504</v>
      </c>
      <c r="F1701" s="63" t="s">
        <v>1571</v>
      </c>
      <c r="G1701">
        <v>1</v>
      </c>
      <c r="H1701">
        <v>30</v>
      </c>
      <c r="I1701">
        <v>178</v>
      </c>
      <c r="J1701">
        <v>178</v>
      </c>
      <c r="K1701">
        <v>686.13</v>
      </c>
      <c r="L1701">
        <v>56</v>
      </c>
    </row>
    <row r="1702" spans="1:12">
      <c r="A1702">
        <v>9920</v>
      </c>
      <c r="B1702" s="63" t="s">
        <v>2751</v>
      </c>
      <c r="C1702" s="63" t="s">
        <v>2752</v>
      </c>
      <c r="D1702" s="63" t="s">
        <v>325</v>
      </c>
      <c r="E1702" s="63" t="s">
        <v>459</v>
      </c>
      <c r="F1702" s="63" t="s">
        <v>1221</v>
      </c>
      <c r="G1702">
        <v>1</v>
      </c>
      <c r="H1702">
        <v>1</v>
      </c>
      <c r="I1702">
        <v>6</v>
      </c>
      <c r="J1702">
        <v>6</v>
      </c>
      <c r="K1702">
        <v>299.83</v>
      </c>
      <c r="L1702">
        <v>24</v>
      </c>
    </row>
    <row r="1703" spans="1:12">
      <c r="A1703">
        <v>9921</v>
      </c>
      <c r="B1703" s="63" t="s">
        <v>829</v>
      </c>
      <c r="C1703" s="63" t="s">
        <v>1787</v>
      </c>
      <c r="D1703" s="63" t="s">
        <v>59</v>
      </c>
      <c r="E1703" s="63" t="s">
        <v>459</v>
      </c>
      <c r="F1703" s="63" t="s">
        <v>2822</v>
      </c>
      <c r="G1703">
        <v>1</v>
      </c>
      <c r="H1703">
        <v>21</v>
      </c>
      <c r="I1703">
        <v>578</v>
      </c>
      <c r="J1703">
        <v>578</v>
      </c>
      <c r="K1703">
        <v>618.62</v>
      </c>
      <c r="L1703">
        <v>38</v>
      </c>
    </row>
    <row r="1704" spans="1:12">
      <c r="A1704">
        <v>9921</v>
      </c>
      <c r="B1704" s="63" t="s">
        <v>2065</v>
      </c>
      <c r="C1704" s="63" t="s">
        <v>2066</v>
      </c>
      <c r="D1704" s="63" t="s">
        <v>325</v>
      </c>
      <c r="E1704" s="63" t="s">
        <v>459</v>
      </c>
      <c r="F1704" s="63" t="s">
        <v>2823</v>
      </c>
      <c r="G1704">
        <v>1</v>
      </c>
      <c r="H1704">
        <v>1</v>
      </c>
      <c r="I1704">
        <v>24</v>
      </c>
      <c r="J1704">
        <v>24</v>
      </c>
      <c r="K1704">
        <v>591.79999999999995</v>
      </c>
      <c r="L1704">
        <v>30</v>
      </c>
    </row>
    <row r="1705" spans="1:12">
      <c r="A1705">
        <v>9921</v>
      </c>
      <c r="B1705" s="63" t="s">
        <v>900</v>
      </c>
      <c r="C1705" s="63" t="s">
        <v>958</v>
      </c>
      <c r="D1705" s="63" t="s">
        <v>301</v>
      </c>
      <c r="E1705" s="63" t="s">
        <v>459</v>
      </c>
      <c r="F1705" s="63" t="s">
        <v>1851</v>
      </c>
      <c r="G1705">
        <v>1</v>
      </c>
      <c r="H1705">
        <v>1</v>
      </c>
      <c r="I1705">
        <v>21</v>
      </c>
      <c r="J1705">
        <v>21</v>
      </c>
      <c r="K1705">
        <v>306.2</v>
      </c>
      <c r="L1705">
        <v>89</v>
      </c>
    </row>
    <row r="1706" spans="1:12">
      <c r="A1706">
        <v>9994</v>
      </c>
      <c r="B1706" s="63" t="s">
        <v>698</v>
      </c>
      <c r="C1706" s="63" t="s">
        <v>2324</v>
      </c>
      <c r="D1706" s="63" t="s">
        <v>59</v>
      </c>
      <c r="E1706" s="63" t="s">
        <v>504</v>
      </c>
      <c r="F1706" s="63" t="s">
        <v>1376</v>
      </c>
      <c r="G1706">
        <v>1</v>
      </c>
      <c r="H1706">
        <v>60</v>
      </c>
      <c r="I1706">
        <v>1075</v>
      </c>
      <c r="J1706">
        <v>1075</v>
      </c>
      <c r="K1706">
        <v>8.1300000000000008</v>
      </c>
      <c r="L1706">
        <v>8</v>
      </c>
    </row>
    <row r="1707" spans="1:12">
      <c r="A1707">
        <v>9994</v>
      </c>
      <c r="B1707" s="63" t="s">
        <v>698</v>
      </c>
      <c r="C1707" s="63" t="s">
        <v>2324</v>
      </c>
      <c r="D1707" s="63" t="s">
        <v>59</v>
      </c>
      <c r="E1707" s="63" t="s">
        <v>504</v>
      </c>
      <c r="F1707" s="63" t="s">
        <v>2824</v>
      </c>
      <c r="G1707">
        <v>1</v>
      </c>
      <c r="H1707">
        <v>34</v>
      </c>
      <c r="I1707">
        <v>606</v>
      </c>
      <c r="J1707">
        <v>606</v>
      </c>
      <c r="K1707">
        <v>7.93</v>
      </c>
      <c r="L1707">
        <v>8</v>
      </c>
    </row>
    <row r="1708" spans="1:12">
      <c r="A1708">
        <v>9994</v>
      </c>
      <c r="B1708" s="63" t="s">
        <v>480</v>
      </c>
      <c r="C1708" s="63" t="s">
        <v>1080</v>
      </c>
      <c r="D1708" s="63" t="s">
        <v>285</v>
      </c>
      <c r="E1708" s="63" t="s">
        <v>459</v>
      </c>
      <c r="F1708" s="63" t="s">
        <v>2825</v>
      </c>
      <c r="G1708">
        <v>1</v>
      </c>
      <c r="H1708">
        <v>60</v>
      </c>
      <c r="I1708">
        <v>1075</v>
      </c>
      <c r="J1708">
        <v>1075</v>
      </c>
      <c r="K1708">
        <v>592.79999999999995</v>
      </c>
      <c r="L1708">
        <v>32</v>
      </c>
    </row>
    <row r="1709" spans="1:12">
      <c r="A1709">
        <v>9994</v>
      </c>
      <c r="B1709" s="63" t="s">
        <v>425</v>
      </c>
      <c r="C1709" s="63" t="s">
        <v>426</v>
      </c>
      <c r="D1709" s="63" t="s">
        <v>59</v>
      </c>
      <c r="E1709" s="63" t="s">
        <v>311</v>
      </c>
      <c r="F1709" s="63" t="s">
        <v>1032</v>
      </c>
      <c r="G1709">
        <v>1</v>
      </c>
      <c r="H1709">
        <v>37</v>
      </c>
      <c r="I1709">
        <v>217</v>
      </c>
      <c r="J1709">
        <v>217</v>
      </c>
      <c r="K1709">
        <v>1747.12</v>
      </c>
      <c r="L1709">
        <v>158</v>
      </c>
    </row>
    <row r="1710" spans="1:12">
      <c r="A1710">
        <v>9999</v>
      </c>
      <c r="B1710" s="63" t="s">
        <v>900</v>
      </c>
      <c r="C1710" s="63" t="s">
        <v>958</v>
      </c>
      <c r="D1710" s="63" t="s">
        <v>301</v>
      </c>
      <c r="E1710" s="63" t="s">
        <v>254</v>
      </c>
      <c r="F1710" s="63" t="s">
        <v>2826</v>
      </c>
      <c r="G1710">
        <v>1</v>
      </c>
      <c r="H1710">
        <v>24</v>
      </c>
      <c r="I1710">
        <v>546</v>
      </c>
      <c r="J1710">
        <v>546</v>
      </c>
      <c r="K1710">
        <v>95.32</v>
      </c>
      <c r="L1710">
        <v>89</v>
      </c>
    </row>
    <row r="1711" spans="1:12">
      <c r="A1711">
        <v>9999</v>
      </c>
      <c r="B1711" s="63" t="s">
        <v>281</v>
      </c>
      <c r="C1711" s="63" t="s">
        <v>282</v>
      </c>
      <c r="D1711" s="63" t="s">
        <v>269</v>
      </c>
      <c r="E1711" s="63" t="s">
        <v>203</v>
      </c>
      <c r="F1711" s="63" t="s">
        <v>901</v>
      </c>
      <c r="G1711">
        <v>1</v>
      </c>
      <c r="H1711">
        <v>60</v>
      </c>
      <c r="I1711">
        <v>60</v>
      </c>
      <c r="J1711">
        <v>60</v>
      </c>
      <c r="K1711">
        <v>6.48</v>
      </c>
      <c r="L1711">
        <v>2003</v>
      </c>
    </row>
    <row r="1712" spans="1:12">
      <c r="A1712">
        <v>9999</v>
      </c>
      <c r="B1712" s="63" t="s">
        <v>290</v>
      </c>
      <c r="C1712" s="63" t="s">
        <v>291</v>
      </c>
      <c r="D1712" s="63" t="s">
        <v>269</v>
      </c>
      <c r="E1712" s="63" t="s">
        <v>172</v>
      </c>
      <c r="F1712" s="63" t="s">
        <v>517</v>
      </c>
      <c r="G1712">
        <v>1</v>
      </c>
      <c r="H1712">
        <v>34</v>
      </c>
      <c r="I1712">
        <v>34</v>
      </c>
      <c r="J1712">
        <v>34</v>
      </c>
      <c r="K1712">
        <v>1828.83</v>
      </c>
      <c r="L1712">
        <v>2003</v>
      </c>
    </row>
    <row r="1713" spans="1:12">
      <c r="A1713">
        <v>9999</v>
      </c>
      <c r="B1713" s="63" t="s">
        <v>296</v>
      </c>
      <c r="C1713" s="63" t="s">
        <v>297</v>
      </c>
      <c r="D1713" s="63" t="s">
        <v>269</v>
      </c>
      <c r="E1713" s="63" t="s">
        <v>203</v>
      </c>
      <c r="F1713" s="63" t="s">
        <v>477</v>
      </c>
      <c r="G1713">
        <v>1</v>
      </c>
      <c r="H1713">
        <v>35</v>
      </c>
      <c r="I1713">
        <v>35</v>
      </c>
      <c r="J1713">
        <v>35</v>
      </c>
      <c r="K1713">
        <v>52.15</v>
      </c>
      <c r="L1713">
        <v>2003</v>
      </c>
    </row>
    <row r="1714" spans="1:12">
      <c r="A1714" s="63" t="s">
        <v>1152</v>
      </c>
      <c r="B1714" s="63" t="s">
        <v>911</v>
      </c>
      <c r="E1714" s="63" t="s">
        <v>203</v>
      </c>
      <c r="F1714" s="63" t="s">
        <v>1956</v>
      </c>
      <c r="G1714">
        <v>1</v>
      </c>
      <c r="H1714">
        <v>60</v>
      </c>
      <c r="I1714">
        <v>60</v>
      </c>
      <c r="J1714">
        <v>60</v>
      </c>
      <c r="K1714">
        <v>16.57</v>
      </c>
      <c r="L1714">
        <v>0</v>
      </c>
    </row>
    <row r="1715" spans="1:12">
      <c r="A1715" s="63" t="s">
        <v>1152</v>
      </c>
      <c r="B1715" s="63" t="s">
        <v>2160</v>
      </c>
      <c r="E1715" s="63" t="s">
        <v>185</v>
      </c>
      <c r="F1715" s="63" t="s">
        <v>1384</v>
      </c>
      <c r="G1715">
        <v>1</v>
      </c>
      <c r="H1715">
        <v>60</v>
      </c>
      <c r="I1715">
        <v>60</v>
      </c>
      <c r="J1715">
        <v>60</v>
      </c>
      <c r="K1715">
        <v>3.45</v>
      </c>
      <c r="L1715">
        <v>0</v>
      </c>
    </row>
    <row r="1716" spans="1:12">
      <c r="A1716" s="63" t="s">
        <v>1152</v>
      </c>
      <c r="B1716" s="63" t="s">
        <v>2160</v>
      </c>
      <c r="E1716" s="63" t="s">
        <v>185</v>
      </c>
      <c r="F1716" s="63" t="s">
        <v>2110</v>
      </c>
      <c r="G1716">
        <v>1</v>
      </c>
      <c r="H1716">
        <v>60</v>
      </c>
      <c r="I1716">
        <v>60</v>
      </c>
      <c r="J1716">
        <v>60</v>
      </c>
      <c r="K1716">
        <v>1.18</v>
      </c>
      <c r="L1716">
        <v>0</v>
      </c>
    </row>
    <row r="1717" spans="1:12">
      <c r="A1717" s="63" t="s">
        <v>1152</v>
      </c>
      <c r="B1717" s="63" t="s">
        <v>2160</v>
      </c>
      <c r="E1717" s="63" t="s">
        <v>185</v>
      </c>
      <c r="F1717" s="63" t="s">
        <v>1120</v>
      </c>
      <c r="G1717">
        <v>1</v>
      </c>
      <c r="H1717">
        <v>60</v>
      </c>
      <c r="I1717">
        <v>60</v>
      </c>
      <c r="J1717">
        <v>60</v>
      </c>
      <c r="K1717">
        <v>4.33</v>
      </c>
      <c r="L1717">
        <v>0</v>
      </c>
    </row>
    <row r="1718" spans="1:12">
      <c r="A1718" s="63" t="s">
        <v>1152</v>
      </c>
      <c r="B1718" s="63" t="s">
        <v>2160</v>
      </c>
      <c r="E1718" s="63" t="s">
        <v>172</v>
      </c>
      <c r="F1718" s="63" t="s">
        <v>933</v>
      </c>
      <c r="G1718">
        <v>1</v>
      </c>
      <c r="H1718">
        <v>60</v>
      </c>
      <c r="I1718">
        <v>60</v>
      </c>
      <c r="J1718">
        <v>60</v>
      </c>
      <c r="K1718">
        <v>8.3699999999999992</v>
      </c>
      <c r="L1718">
        <v>0</v>
      </c>
    </row>
    <row r="1719" spans="1:12">
      <c r="A1719" s="63" t="s">
        <v>1152</v>
      </c>
      <c r="B1719" s="63" t="s">
        <v>2160</v>
      </c>
      <c r="E1719" s="63" t="s">
        <v>172</v>
      </c>
      <c r="F1719" s="63" t="s">
        <v>1334</v>
      </c>
      <c r="G1719">
        <v>1</v>
      </c>
      <c r="H1719">
        <v>60</v>
      </c>
      <c r="I1719">
        <v>60</v>
      </c>
      <c r="J1719">
        <v>60</v>
      </c>
      <c r="K1719">
        <v>7.73</v>
      </c>
      <c r="L1719">
        <v>0</v>
      </c>
    </row>
    <row r="1720" spans="1:12">
      <c r="A1720" s="63" t="s">
        <v>1152</v>
      </c>
      <c r="B1720" s="63" t="s">
        <v>2160</v>
      </c>
      <c r="E1720" s="63" t="s">
        <v>172</v>
      </c>
      <c r="F1720" s="63" t="s">
        <v>1287</v>
      </c>
      <c r="G1720">
        <v>1</v>
      </c>
      <c r="H1720">
        <v>60</v>
      </c>
      <c r="I1720">
        <v>60</v>
      </c>
      <c r="J1720">
        <v>60</v>
      </c>
      <c r="K1720">
        <v>65.63</v>
      </c>
      <c r="L1720">
        <v>2</v>
      </c>
    </row>
    <row r="1721" spans="1:12">
      <c r="A1721" s="63" t="s">
        <v>1152</v>
      </c>
      <c r="B1721" s="63" t="s">
        <v>2160</v>
      </c>
      <c r="E1721" s="63" t="s">
        <v>203</v>
      </c>
      <c r="F1721" s="63" t="s">
        <v>1288</v>
      </c>
      <c r="G1721">
        <v>1</v>
      </c>
      <c r="H1721">
        <v>60</v>
      </c>
      <c r="I1721">
        <v>60</v>
      </c>
      <c r="J1721">
        <v>60</v>
      </c>
      <c r="K1721">
        <v>5.07</v>
      </c>
      <c r="L1721">
        <v>0</v>
      </c>
    </row>
    <row r="1722" spans="1:12">
      <c r="A1722" s="63" t="s">
        <v>1152</v>
      </c>
      <c r="B1722" s="63" t="s">
        <v>2160</v>
      </c>
      <c r="E1722" s="63" t="s">
        <v>203</v>
      </c>
      <c r="F1722" s="63" t="s">
        <v>2000</v>
      </c>
      <c r="G1722">
        <v>1</v>
      </c>
      <c r="H1722">
        <v>60</v>
      </c>
      <c r="I1722">
        <v>60</v>
      </c>
      <c r="J1722">
        <v>60</v>
      </c>
      <c r="K1722">
        <v>7.05</v>
      </c>
      <c r="L1722">
        <v>0</v>
      </c>
    </row>
    <row r="1723" spans="1:12">
      <c r="A1723" s="63" t="s">
        <v>1152</v>
      </c>
      <c r="B1723" s="63" t="s">
        <v>2160</v>
      </c>
      <c r="E1723" s="63" t="s">
        <v>203</v>
      </c>
      <c r="F1723" s="63" t="s">
        <v>749</v>
      </c>
      <c r="G1723">
        <v>1</v>
      </c>
      <c r="H1723">
        <v>60</v>
      </c>
      <c r="I1723">
        <v>60</v>
      </c>
      <c r="J1723">
        <v>60</v>
      </c>
      <c r="K1723">
        <v>6.6</v>
      </c>
      <c r="L1723">
        <v>0</v>
      </c>
    </row>
    <row r="1724" spans="1:12">
      <c r="A1724" s="63" t="s">
        <v>1152</v>
      </c>
      <c r="B1724" s="63" t="s">
        <v>2160</v>
      </c>
      <c r="E1724" s="63" t="s">
        <v>203</v>
      </c>
      <c r="F1724" s="63" t="s">
        <v>2039</v>
      </c>
      <c r="G1724">
        <v>1</v>
      </c>
      <c r="H1724">
        <v>60</v>
      </c>
      <c r="I1724">
        <v>60</v>
      </c>
      <c r="J1724">
        <v>60</v>
      </c>
      <c r="K1724">
        <v>21.72</v>
      </c>
      <c r="L1724">
        <v>0</v>
      </c>
    </row>
    <row r="1725" spans="1:12">
      <c r="A1725" s="63" t="s">
        <v>2827</v>
      </c>
      <c r="B1725" s="63" t="s">
        <v>204</v>
      </c>
      <c r="C1725" s="63" t="s">
        <v>310</v>
      </c>
      <c r="D1725" s="63" t="s">
        <v>365</v>
      </c>
      <c r="E1725" s="63" t="s">
        <v>504</v>
      </c>
      <c r="F1725" s="63" t="s">
        <v>431</v>
      </c>
      <c r="G1725">
        <v>1</v>
      </c>
      <c r="H1725">
        <v>2</v>
      </c>
      <c r="I1725">
        <v>12</v>
      </c>
      <c r="J1725">
        <v>12</v>
      </c>
      <c r="K1725">
        <v>2508.08</v>
      </c>
      <c r="L1725">
        <v>190</v>
      </c>
    </row>
    <row r="1726" spans="1:12">
      <c r="A1726" s="63" t="s">
        <v>2828</v>
      </c>
      <c r="B1726" s="63" t="s">
        <v>985</v>
      </c>
      <c r="C1726" s="63" t="s">
        <v>986</v>
      </c>
      <c r="D1726" s="63" t="s">
        <v>307</v>
      </c>
      <c r="E1726" s="63" t="s">
        <v>277</v>
      </c>
      <c r="F1726" s="63" t="s">
        <v>2829</v>
      </c>
      <c r="G1726">
        <v>1</v>
      </c>
      <c r="H1726">
        <v>3</v>
      </c>
      <c r="I1726">
        <v>18</v>
      </c>
      <c r="J1726">
        <v>178</v>
      </c>
      <c r="K1726">
        <v>73.319999999999993</v>
      </c>
      <c r="L1726">
        <v>27</v>
      </c>
    </row>
    <row r="1727" spans="1:12">
      <c r="A1727" s="63" t="s">
        <v>518</v>
      </c>
      <c r="B1727" s="63" t="s">
        <v>1854</v>
      </c>
      <c r="C1727" s="63" t="s">
        <v>1855</v>
      </c>
      <c r="D1727" s="63" t="s">
        <v>285</v>
      </c>
      <c r="E1727" s="63" t="s">
        <v>174</v>
      </c>
      <c r="F1727" s="63" t="s">
        <v>2033</v>
      </c>
      <c r="G1727">
        <v>1</v>
      </c>
      <c r="H1727">
        <v>29</v>
      </c>
      <c r="I1727">
        <v>232</v>
      </c>
      <c r="J1727">
        <v>3237</v>
      </c>
      <c r="K1727">
        <v>353.83</v>
      </c>
      <c r="L1727">
        <v>62</v>
      </c>
    </row>
    <row r="1728" spans="1:12">
      <c r="A1728" s="63" t="s">
        <v>518</v>
      </c>
      <c r="B1728" s="63" t="s">
        <v>903</v>
      </c>
      <c r="C1728" s="63" t="s">
        <v>904</v>
      </c>
      <c r="D1728" s="63" t="s">
        <v>301</v>
      </c>
      <c r="E1728" s="63" t="s">
        <v>254</v>
      </c>
      <c r="F1728" s="63" t="s">
        <v>1089</v>
      </c>
      <c r="G1728">
        <v>1</v>
      </c>
      <c r="H1728">
        <v>58</v>
      </c>
      <c r="I1728">
        <v>348</v>
      </c>
      <c r="J1728">
        <v>6949</v>
      </c>
      <c r="K1728">
        <v>1933.42</v>
      </c>
      <c r="L1728">
        <v>96</v>
      </c>
    </row>
    <row r="1729" spans="1:12">
      <c r="A1729" s="63" t="s">
        <v>518</v>
      </c>
      <c r="B1729" s="63" t="s">
        <v>611</v>
      </c>
      <c r="C1729" s="63" t="s">
        <v>612</v>
      </c>
      <c r="D1729" s="63" t="s">
        <v>285</v>
      </c>
      <c r="E1729" s="63" t="s">
        <v>311</v>
      </c>
      <c r="F1729" s="63" t="s">
        <v>1995</v>
      </c>
      <c r="G1729">
        <v>1</v>
      </c>
      <c r="H1729">
        <v>11</v>
      </c>
      <c r="I1729">
        <v>262</v>
      </c>
      <c r="J1729">
        <v>262</v>
      </c>
      <c r="K1729">
        <v>630.1</v>
      </c>
      <c r="L1729">
        <v>139</v>
      </c>
    </row>
    <row r="1730" spans="1:12">
      <c r="A1730" s="63" t="s">
        <v>518</v>
      </c>
      <c r="B1730" s="63" t="s">
        <v>1016</v>
      </c>
      <c r="C1730" s="63" t="s">
        <v>1017</v>
      </c>
      <c r="D1730" s="63" t="s">
        <v>285</v>
      </c>
      <c r="E1730" s="63" t="s">
        <v>175</v>
      </c>
      <c r="F1730" s="63" t="s">
        <v>1082</v>
      </c>
      <c r="G1730">
        <v>1</v>
      </c>
      <c r="H1730">
        <v>45</v>
      </c>
      <c r="I1730">
        <v>1080</v>
      </c>
      <c r="J1730">
        <v>1080</v>
      </c>
      <c r="K1730">
        <v>1937.15</v>
      </c>
      <c r="L1730">
        <v>83</v>
      </c>
    </row>
    <row r="1731" spans="1:12">
      <c r="A1731" s="63" t="s">
        <v>518</v>
      </c>
      <c r="B1731" s="63" t="s">
        <v>892</v>
      </c>
      <c r="C1731" s="63" t="s">
        <v>893</v>
      </c>
      <c r="D1731" s="63" t="s">
        <v>285</v>
      </c>
      <c r="E1731" s="63" t="s">
        <v>175</v>
      </c>
      <c r="F1731" s="63" t="s">
        <v>922</v>
      </c>
      <c r="G1731">
        <v>1</v>
      </c>
      <c r="H1731">
        <v>35</v>
      </c>
      <c r="I1731">
        <v>840</v>
      </c>
      <c r="J1731">
        <v>840</v>
      </c>
      <c r="K1731">
        <v>2214.4299999999998</v>
      </c>
      <c r="L1731">
        <v>97</v>
      </c>
    </row>
    <row r="1732" spans="1:12">
      <c r="A1732" s="63" t="s">
        <v>518</v>
      </c>
      <c r="B1732" s="63" t="s">
        <v>892</v>
      </c>
      <c r="C1732" s="63" t="s">
        <v>923</v>
      </c>
      <c r="D1732" s="63" t="s">
        <v>285</v>
      </c>
      <c r="E1732" s="63" t="s">
        <v>172</v>
      </c>
      <c r="F1732" s="63" t="s">
        <v>967</v>
      </c>
      <c r="G1732">
        <v>1</v>
      </c>
      <c r="H1732">
        <v>3</v>
      </c>
      <c r="I1732">
        <v>72</v>
      </c>
      <c r="J1732">
        <v>72</v>
      </c>
      <c r="K1732">
        <v>2174.9499999999998</v>
      </c>
      <c r="L1732">
        <v>97</v>
      </c>
    </row>
    <row r="1733" spans="1:12">
      <c r="A1733" s="63" t="s">
        <v>518</v>
      </c>
      <c r="B1733" s="63" t="s">
        <v>1019</v>
      </c>
      <c r="C1733" s="63" t="s">
        <v>1020</v>
      </c>
      <c r="D1733" s="63" t="s">
        <v>285</v>
      </c>
      <c r="E1733" s="63" t="s">
        <v>172</v>
      </c>
      <c r="F1733" s="63" t="s">
        <v>1172</v>
      </c>
      <c r="G1733">
        <v>1</v>
      </c>
      <c r="H1733">
        <v>60</v>
      </c>
      <c r="I1733">
        <v>1440</v>
      </c>
      <c r="J1733">
        <v>1440</v>
      </c>
      <c r="K1733">
        <v>1903.15</v>
      </c>
      <c r="L1733">
        <v>81</v>
      </c>
    </row>
    <row r="1734" spans="1:12">
      <c r="A1734" s="63" t="s">
        <v>518</v>
      </c>
      <c r="B1734" s="63" t="s">
        <v>1019</v>
      </c>
      <c r="C1734" s="63" t="s">
        <v>1020</v>
      </c>
      <c r="D1734" s="63" t="s">
        <v>285</v>
      </c>
      <c r="E1734" s="63" t="s">
        <v>172</v>
      </c>
      <c r="F1734" s="63" t="s">
        <v>1143</v>
      </c>
      <c r="G1734">
        <v>1</v>
      </c>
      <c r="H1734">
        <v>4</v>
      </c>
      <c r="I1734">
        <v>96</v>
      </c>
      <c r="J1734">
        <v>96</v>
      </c>
      <c r="K1734">
        <v>1880.75</v>
      </c>
      <c r="L1734">
        <v>81</v>
      </c>
    </row>
    <row r="1735" spans="1:12">
      <c r="A1735" s="63" t="s">
        <v>518</v>
      </c>
      <c r="B1735" s="63" t="s">
        <v>1733</v>
      </c>
      <c r="C1735" s="63" t="s">
        <v>1734</v>
      </c>
      <c r="D1735" s="63" t="s">
        <v>285</v>
      </c>
      <c r="E1735" s="63" t="s">
        <v>174</v>
      </c>
      <c r="F1735" s="63" t="s">
        <v>1234</v>
      </c>
      <c r="G1735">
        <v>1</v>
      </c>
      <c r="H1735">
        <v>22</v>
      </c>
      <c r="I1735">
        <v>132</v>
      </c>
      <c r="J1735">
        <v>522</v>
      </c>
      <c r="K1735">
        <v>353.7</v>
      </c>
      <c r="L1735">
        <v>33</v>
      </c>
    </row>
    <row r="1736" spans="1:12">
      <c r="A1736" s="63" t="s">
        <v>518</v>
      </c>
      <c r="B1736" s="63" t="s">
        <v>419</v>
      </c>
      <c r="C1736" s="63" t="s">
        <v>464</v>
      </c>
      <c r="D1736" s="63" t="s">
        <v>305</v>
      </c>
      <c r="E1736" s="63" t="s">
        <v>177</v>
      </c>
      <c r="F1736" s="63" t="s">
        <v>995</v>
      </c>
      <c r="G1736">
        <v>1</v>
      </c>
      <c r="H1736">
        <v>48</v>
      </c>
      <c r="I1736">
        <v>572</v>
      </c>
      <c r="J1736">
        <v>572</v>
      </c>
      <c r="K1736">
        <v>1842.37</v>
      </c>
      <c r="L1736">
        <v>156</v>
      </c>
    </row>
    <row r="1737" spans="1:12">
      <c r="A1737" s="63" t="s">
        <v>518</v>
      </c>
      <c r="B1737" s="63" t="s">
        <v>1006</v>
      </c>
      <c r="C1737" s="63" t="s">
        <v>1097</v>
      </c>
      <c r="D1737" s="63" t="s">
        <v>285</v>
      </c>
      <c r="E1737" s="63" t="s">
        <v>174</v>
      </c>
      <c r="F1737" s="63" t="s">
        <v>751</v>
      </c>
      <c r="G1737">
        <v>1</v>
      </c>
      <c r="H1737">
        <v>35</v>
      </c>
      <c r="I1737">
        <v>683</v>
      </c>
      <c r="J1737">
        <v>683</v>
      </c>
      <c r="K1737">
        <v>353.27</v>
      </c>
      <c r="L1737">
        <v>81</v>
      </c>
    </row>
    <row r="1738" spans="1:12">
      <c r="A1738" s="63" t="s">
        <v>518</v>
      </c>
      <c r="B1738" s="63" t="s">
        <v>1007</v>
      </c>
      <c r="C1738" s="63" t="s">
        <v>1008</v>
      </c>
      <c r="D1738" s="63" t="s">
        <v>285</v>
      </c>
      <c r="E1738" s="63" t="s">
        <v>172</v>
      </c>
      <c r="F1738" s="63" t="s">
        <v>1257</v>
      </c>
      <c r="G1738">
        <v>1</v>
      </c>
      <c r="H1738">
        <v>25</v>
      </c>
      <c r="I1738">
        <v>491</v>
      </c>
      <c r="J1738">
        <v>491</v>
      </c>
      <c r="K1738">
        <v>353.02</v>
      </c>
      <c r="L1738">
        <v>80</v>
      </c>
    </row>
    <row r="1739" spans="1:12">
      <c r="A1739" s="63" t="s">
        <v>518</v>
      </c>
      <c r="B1739" s="63" t="s">
        <v>1007</v>
      </c>
      <c r="C1739" s="63" t="s">
        <v>1049</v>
      </c>
      <c r="D1739" s="63" t="s">
        <v>285</v>
      </c>
      <c r="E1739" s="63" t="s">
        <v>173</v>
      </c>
      <c r="F1739" s="63" t="s">
        <v>1145</v>
      </c>
      <c r="G1739">
        <v>1</v>
      </c>
      <c r="H1739">
        <v>1</v>
      </c>
      <c r="I1739">
        <v>20</v>
      </c>
      <c r="J1739">
        <v>20</v>
      </c>
      <c r="K1739">
        <v>1810.63</v>
      </c>
      <c r="L1739">
        <v>85</v>
      </c>
    </row>
    <row r="1740" spans="1:12">
      <c r="A1740" s="63" t="s">
        <v>518</v>
      </c>
      <c r="B1740" s="63" t="s">
        <v>1007</v>
      </c>
      <c r="C1740" s="63" t="s">
        <v>1132</v>
      </c>
      <c r="D1740" s="63" t="s">
        <v>285</v>
      </c>
      <c r="E1740" s="63" t="s">
        <v>172</v>
      </c>
      <c r="F1740" s="63" t="s">
        <v>1191</v>
      </c>
      <c r="G1740">
        <v>1</v>
      </c>
      <c r="H1740">
        <v>18</v>
      </c>
      <c r="I1740">
        <v>360</v>
      </c>
      <c r="J1740">
        <v>360</v>
      </c>
      <c r="K1740">
        <v>1853.75</v>
      </c>
      <c r="L1740">
        <v>80</v>
      </c>
    </row>
    <row r="1741" spans="1:12">
      <c r="A1741" s="63" t="s">
        <v>518</v>
      </c>
      <c r="B1741" s="63" t="s">
        <v>408</v>
      </c>
      <c r="C1741" s="63" t="s">
        <v>418</v>
      </c>
      <c r="D1741" s="63" t="s">
        <v>285</v>
      </c>
      <c r="E1741" s="63" t="s">
        <v>372</v>
      </c>
      <c r="F1741" s="63" t="s">
        <v>1738</v>
      </c>
      <c r="G1741">
        <v>1</v>
      </c>
      <c r="H1741">
        <v>19</v>
      </c>
      <c r="I1741">
        <v>380</v>
      </c>
      <c r="J1741">
        <v>380</v>
      </c>
      <c r="K1741">
        <v>1462.32</v>
      </c>
      <c r="L1741">
        <v>106</v>
      </c>
    </row>
    <row r="1742" spans="1:12">
      <c r="A1742" s="63" t="s">
        <v>518</v>
      </c>
      <c r="B1742" s="63" t="s">
        <v>323</v>
      </c>
      <c r="C1742" s="63" t="s">
        <v>1110</v>
      </c>
      <c r="D1742" s="63" t="s">
        <v>305</v>
      </c>
      <c r="E1742" s="63" t="s">
        <v>175</v>
      </c>
      <c r="F1742" s="63" t="s">
        <v>1510</v>
      </c>
      <c r="G1742">
        <v>1</v>
      </c>
      <c r="H1742">
        <v>44</v>
      </c>
      <c r="I1742">
        <v>653</v>
      </c>
      <c r="J1742">
        <v>653</v>
      </c>
      <c r="K1742">
        <v>1752.45</v>
      </c>
      <c r="L1742">
        <v>78</v>
      </c>
    </row>
    <row r="1743" spans="1:12">
      <c r="A1743" s="63" t="s">
        <v>518</v>
      </c>
      <c r="B1743" s="63" t="s">
        <v>515</v>
      </c>
      <c r="C1743" s="63" t="s">
        <v>541</v>
      </c>
      <c r="D1743" s="63" t="s">
        <v>285</v>
      </c>
      <c r="E1743" s="63" t="s">
        <v>174</v>
      </c>
      <c r="F1743" s="63" t="s">
        <v>1331</v>
      </c>
      <c r="G1743">
        <v>1</v>
      </c>
      <c r="H1743">
        <v>32</v>
      </c>
      <c r="I1743">
        <v>562</v>
      </c>
      <c r="J1743">
        <v>562</v>
      </c>
      <c r="K1743">
        <v>351.65</v>
      </c>
      <c r="L1743">
        <v>151</v>
      </c>
    </row>
    <row r="1744" spans="1:12">
      <c r="A1744" s="63" t="s">
        <v>518</v>
      </c>
      <c r="B1744" s="63" t="s">
        <v>973</v>
      </c>
      <c r="C1744" s="63" t="s">
        <v>700</v>
      </c>
      <c r="D1744" s="63" t="s">
        <v>285</v>
      </c>
      <c r="E1744" s="63" t="s">
        <v>172</v>
      </c>
      <c r="F1744" s="63" t="s">
        <v>1963</v>
      </c>
      <c r="G1744">
        <v>1</v>
      </c>
      <c r="H1744">
        <v>60</v>
      </c>
      <c r="I1744">
        <v>1061</v>
      </c>
      <c r="J1744">
        <v>1061</v>
      </c>
      <c r="K1744">
        <v>351.15</v>
      </c>
      <c r="L1744">
        <v>120</v>
      </c>
    </row>
    <row r="1745" spans="1:12">
      <c r="A1745" s="63" t="s">
        <v>518</v>
      </c>
      <c r="B1745" s="63" t="s">
        <v>833</v>
      </c>
      <c r="C1745" s="63" t="s">
        <v>2830</v>
      </c>
      <c r="D1745" s="63" t="s">
        <v>285</v>
      </c>
      <c r="E1745" s="63" t="s">
        <v>172</v>
      </c>
      <c r="F1745" s="63" t="s">
        <v>1025</v>
      </c>
      <c r="G1745">
        <v>1</v>
      </c>
      <c r="H1745">
        <v>23</v>
      </c>
      <c r="I1745">
        <v>342</v>
      </c>
      <c r="J1745">
        <v>342</v>
      </c>
      <c r="K1745">
        <v>353.07</v>
      </c>
      <c r="L1745">
        <v>108</v>
      </c>
    </row>
    <row r="1746" spans="1:12">
      <c r="A1746" s="63" t="s">
        <v>518</v>
      </c>
      <c r="B1746" s="63" t="s">
        <v>575</v>
      </c>
      <c r="C1746" s="63" t="s">
        <v>576</v>
      </c>
      <c r="D1746" s="63" t="s">
        <v>285</v>
      </c>
      <c r="E1746" s="63" t="s">
        <v>174</v>
      </c>
      <c r="F1746" s="63" t="s">
        <v>536</v>
      </c>
      <c r="G1746">
        <v>1</v>
      </c>
      <c r="H1746">
        <v>45</v>
      </c>
      <c r="I1746">
        <v>524</v>
      </c>
      <c r="J1746">
        <v>524</v>
      </c>
      <c r="K1746">
        <v>353.93</v>
      </c>
      <c r="L1746">
        <v>130</v>
      </c>
    </row>
    <row r="1747" spans="1:12">
      <c r="A1747" s="63" t="s">
        <v>518</v>
      </c>
      <c r="B1747" s="63" t="s">
        <v>1791</v>
      </c>
      <c r="C1747" s="63" t="s">
        <v>1792</v>
      </c>
      <c r="D1747" s="63" t="s">
        <v>285</v>
      </c>
      <c r="E1747" s="63" t="s">
        <v>172</v>
      </c>
      <c r="F1747" s="63" t="s">
        <v>1314</v>
      </c>
      <c r="G1747">
        <v>1</v>
      </c>
      <c r="H1747">
        <v>6</v>
      </c>
      <c r="I1747">
        <v>36</v>
      </c>
      <c r="J1747">
        <v>36</v>
      </c>
      <c r="K1747">
        <v>805.53</v>
      </c>
      <c r="L1747">
        <v>149</v>
      </c>
    </row>
    <row r="1748" spans="1:12">
      <c r="A1748" s="63" t="s">
        <v>518</v>
      </c>
      <c r="B1748" s="63" t="s">
        <v>425</v>
      </c>
      <c r="C1748" s="63" t="s">
        <v>1793</v>
      </c>
      <c r="D1748" s="63" t="s">
        <v>285</v>
      </c>
      <c r="E1748" s="63" t="s">
        <v>172</v>
      </c>
      <c r="F1748" s="63" t="s">
        <v>1171</v>
      </c>
      <c r="G1748">
        <v>1</v>
      </c>
      <c r="H1748">
        <v>6</v>
      </c>
      <c r="I1748">
        <v>36</v>
      </c>
      <c r="J1748">
        <v>36</v>
      </c>
      <c r="K1748">
        <v>352.97</v>
      </c>
      <c r="L1748">
        <v>149</v>
      </c>
    </row>
    <row r="1749" spans="1:12">
      <c r="A1749" s="63" t="s">
        <v>518</v>
      </c>
      <c r="B1749" s="63" t="s">
        <v>425</v>
      </c>
      <c r="C1749" s="63" t="s">
        <v>1794</v>
      </c>
      <c r="D1749" s="63" t="s">
        <v>285</v>
      </c>
      <c r="E1749" s="63" t="s">
        <v>174</v>
      </c>
      <c r="F1749" s="63" t="s">
        <v>2104</v>
      </c>
      <c r="G1749">
        <v>1</v>
      </c>
      <c r="H1749">
        <v>15</v>
      </c>
      <c r="I1749">
        <v>90</v>
      </c>
      <c r="J1749">
        <v>90</v>
      </c>
      <c r="K1749">
        <v>564</v>
      </c>
      <c r="L1749">
        <v>150</v>
      </c>
    </row>
    <row r="1750" spans="1:12">
      <c r="A1750" s="63" t="s">
        <v>518</v>
      </c>
      <c r="B1750" s="63" t="s">
        <v>359</v>
      </c>
      <c r="C1750" s="63" t="s">
        <v>360</v>
      </c>
      <c r="D1750" s="63" t="s">
        <v>285</v>
      </c>
      <c r="F1750" s="63" t="s">
        <v>1795</v>
      </c>
      <c r="G1750">
        <v>1</v>
      </c>
      <c r="H1750">
        <v>7</v>
      </c>
      <c r="I1750">
        <v>42</v>
      </c>
      <c r="J1750">
        <v>42</v>
      </c>
      <c r="K1750">
        <v>2997.18</v>
      </c>
      <c r="L1750">
        <v>124</v>
      </c>
    </row>
    <row r="1751" spans="1:12">
      <c r="A1751" s="63" t="s">
        <v>518</v>
      </c>
      <c r="B1751" s="63" t="s">
        <v>359</v>
      </c>
      <c r="C1751" s="63" t="s">
        <v>656</v>
      </c>
      <c r="D1751" s="63" t="s">
        <v>285</v>
      </c>
      <c r="F1751" s="63" t="s">
        <v>1795</v>
      </c>
      <c r="G1751">
        <v>1</v>
      </c>
      <c r="H1751">
        <v>1</v>
      </c>
      <c r="I1751">
        <v>5</v>
      </c>
      <c r="J1751">
        <v>5</v>
      </c>
      <c r="K1751">
        <v>2823.83</v>
      </c>
      <c r="L1751">
        <v>75</v>
      </c>
    </row>
    <row r="1752" spans="1:12">
      <c r="A1752" s="63" t="s">
        <v>518</v>
      </c>
      <c r="B1752" s="63" t="s">
        <v>359</v>
      </c>
      <c r="C1752" s="63" t="s">
        <v>574</v>
      </c>
      <c r="D1752" s="63" t="s">
        <v>285</v>
      </c>
      <c r="F1752" s="63" t="s">
        <v>1795</v>
      </c>
      <c r="G1752">
        <v>1</v>
      </c>
      <c r="H1752">
        <v>17</v>
      </c>
      <c r="I1752">
        <v>102</v>
      </c>
      <c r="J1752">
        <v>102</v>
      </c>
      <c r="K1752">
        <v>3018.32</v>
      </c>
      <c r="L1752">
        <v>125</v>
      </c>
    </row>
    <row r="1753" spans="1:12">
      <c r="A1753" s="63" t="s">
        <v>518</v>
      </c>
      <c r="B1753" s="63" t="s">
        <v>581</v>
      </c>
      <c r="C1753" s="63" t="s">
        <v>582</v>
      </c>
      <c r="D1753" s="63" t="s">
        <v>285</v>
      </c>
      <c r="F1753" s="63" t="s">
        <v>1895</v>
      </c>
      <c r="G1753">
        <v>1</v>
      </c>
      <c r="H1753">
        <v>5</v>
      </c>
      <c r="I1753">
        <v>30</v>
      </c>
      <c r="J1753">
        <v>30</v>
      </c>
      <c r="K1753">
        <v>2603.87</v>
      </c>
      <c r="L1753">
        <v>130</v>
      </c>
    </row>
    <row r="1754" spans="1:12">
      <c r="A1754" s="63" t="s">
        <v>518</v>
      </c>
      <c r="B1754" s="63" t="s">
        <v>581</v>
      </c>
      <c r="C1754" s="63" t="s">
        <v>583</v>
      </c>
      <c r="D1754" s="63" t="s">
        <v>285</v>
      </c>
      <c r="F1754" s="63" t="s">
        <v>1795</v>
      </c>
      <c r="G1754">
        <v>1</v>
      </c>
      <c r="H1754">
        <v>1</v>
      </c>
      <c r="I1754">
        <v>0</v>
      </c>
      <c r="J1754">
        <v>0</v>
      </c>
      <c r="K1754">
        <v>3007.3</v>
      </c>
      <c r="L1754">
        <v>124</v>
      </c>
    </row>
    <row r="1755" spans="1:12">
      <c r="A1755" s="63" t="s">
        <v>518</v>
      </c>
      <c r="B1755" s="63" t="s">
        <v>581</v>
      </c>
      <c r="C1755" s="63" t="s">
        <v>585</v>
      </c>
      <c r="D1755" s="63" t="s">
        <v>285</v>
      </c>
      <c r="F1755" s="63" t="s">
        <v>1795</v>
      </c>
      <c r="G1755">
        <v>1</v>
      </c>
      <c r="H1755">
        <v>24</v>
      </c>
      <c r="I1755">
        <v>144</v>
      </c>
      <c r="J1755">
        <v>144</v>
      </c>
      <c r="K1755">
        <v>3053.12</v>
      </c>
      <c r="L1755">
        <v>126</v>
      </c>
    </row>
    <row r="1756" spans="1:12">
      <c r="A1756" s="63" t="s">
        <v>518</v>
      </c>
      <c r="B1756" s="63" t="s">
        <v>615</v>
      </c>
      <c r="C1756" s="63" t="s">
        <v>627</v>
      </c>
      <c r="D1756" s="63" t="s">
        <v>285</v>
      </c>
      <c r="F1756" s="63" t="s">
        <v>1795</v>
      </c>
      <c r="G1756">
        <v>1</v>
      </c>
      <c r="H1756">
        <v>1</v>
      </c>
      <c r="I1756">
        <v>0</v>
      </c>
      <c r="J1756">
        <v>0</v>
      </c>
      <c r="K1756">
        <v>3039.92</v>
      </c>
      <c r="L1756">
        <v>126</v>
      </c>
    </row>
    <row r="1757" spans="1:12">
      <c r="A1757" s="63" t="s">
        <v>518</v>
      </c>
      <c r="B1757" s="63" t="s">
        <v>1727</v>
      </c>
      <c r="C1757" s="63" t="s">
        <v>1728</v>
      </c>
      <c r="D1757" s="63" t="s">
        <v>285</v>
      </c>
      <c r="E1757" s="63" t="s">
        <v>174</v>
      </c>
      <c r="F1757" s="63" t="s">
        <v>1453</v>
      </c>
      <c r="G1757">
        <v>1</v>
      </c>
      <c r="H1757">
        <v>27</v>
      </c>
      <c r="I1757">
        <v>159</v>
      </c>
      <c r="J1757">
        <v>159</v>
      </c>
      <c r="K1757">
        <v>351</v>
      </c>
      <c r="L1757">
        <v>46</v>
      </c>
    </row>
    <row r="1758" spans="1:12">
      <c r="A1758" s="63" t="s">
        <v>554</v>
      </c>
      <c r="B1758" s="63" t="s">
        <v>556</v>
      </c>
      <c r="C1758" s="63" t="s">
        <v>918</v>
      </c>
      <c r="D1758" s="63" t="s">
        <v>261</v>
      </c>
      <c r="G1758">
        <v>1</v>
      </c>
      <c r="H1758">
        <v>1</v>
      </c>
      <c r="I1758">
        <v>1</v>
      </c>
      <c r="J1758">
        <v>1</v>
      </c>
      <c r="K1758">
        <v>1073.1300000000001</v>
      </c>
      <c r="L1758">
        <v>45</v>
      </c>
    </row>
    <row r="1759" spans="1:12">
      <c r="A1759" s="63" t="s">
        <v>554</v>
      </c>
      <c r="B1759" s="63" t="s">
        <v>556</v>
      </c>
      <c r="C1759" s="63" t="s">
        <v>918</v>
      </c>
      <c r="D1759" s="63" t="s">
        <v>261</v>
      </c>
      <c r="E1759" s="63" t="s">
        <v>891</v>
      </c>
      <c r="F1759" s="63" t="s">
        <v>996</v>
      </c>
      <c r="G1759">
        <v>1</v>
      </c>
      <c r="H1759">
        <v>3</v>
      </c>
      <c r="I1759">
        <v>3</v>
      </c>
      <c r="J1759">
        <v>3</v>
      </c>
      <c r="K1759">
        <v>2269.17</v>
      </c>
      <c r="L1759">
        <v>101</v>
      </c>
    </row>
    <row r="1760" spans="1:12">
      <c r="A1760" s="63" t="s">
        <v>554</v>
      </c>
      <c r="B1760" s="63" t="s">
        <v>556</v>
      </c>
      <c r="C1760" s="63" t="s">
        <v>557</v>
      </c>
      <c r="D1760" s="63" t="s">
        <v>261</v>
      </c>
      <c r="E1760" s="63" t="s">
        <v>891</v>
      </c>
      <c r="F1760" s="63" t="s">
        <v>2831</v>
      </c>
      <c r="G1760">
        <v>1</v>
      </c>
      <c r="H1760">
        <v>20</v>
      </c>
      <c r="I1760">
        <v>20</v>
      </c>
      <c r="J1760">
        <v>20</v>
      </c>
      <c r="K1760">
        <v>130.1</v>
      </c>
      <c r="L1760">
        <v>12</v>
      </c>
    </row>
    <row r="1761" spans="1:12">
      <c r="A1761" s="63" t="s">
        <v>554</v>
      </c>
      <c r="B1761" s="63" t="s">
        <v>556</v>
      </c>
      <c r="C1761" s="63" t="s">
        <v>557</v>
      </c>
      <c r="D1761" s="63" t="s">
        <v>261</v>
      </c>
      <c r="E1761" s="63" t="s">
        <v>891</v>
      </c>
      <c r="F1761" s="63" t="s">
        <v>1786</v>
      </c>
      <c r="G1761">
        <v>1</v>
      </c>
      <c r="H1761">
        <v>20</v>
      </c>
      <c r="I1761">
        <v>20</v>
      </c>
      <c r="J1761">
        <v>20</v>
      </c>
      <c r="K1761">
        <v>425.15</v>
      </c>
      <c r="L1761">
        <v>30</v>
      </c>
    </row>
    <row r="1762" spans="1:12">
      <c r="A1762" s="63" t="s">
        <v>554</v>
      </c>
      <c r="B1762" s="63" t="s">
        <v>556</v>
      </c>
      <c r="C1762" s="63" t="s">
        <v>557</v>
      </c>
      <c r="D1762" s="63" t="s">
        <v>261</v>
      </c>
      <c r="E1762" s="63" t="s">
        <v>891</v>
      </c>
      <c r="F1762" s="63" t="s">
        <v>2832</v>
      </c>
      <c r="G1762">
        <v>1</v>
      </c>
      <c r="H1762">
        <v>20</v>
      </c>
      <c r="I1762">
        <v>20</v>
      </c>
      <c r="J1762">
        <v>20</v>
      </c>
      <c r="K1762">
        <v>130.38</v>
      </c>
      <c r="L1762">
        <v>12</v>
      </c>
    </row>
    <row r="1763" spans="1:12">
      <c r="A1763" s="63" t="s">
        <v>554</v>
      </c>
      <c r="B1763" s="63" t="s">
        <v>556</v>
      </c>
      <c r="C1763" s="63" t="s">
        <v>557</v>
      </c>
      <c r="D1763" s="63" t="s">
        <v>261</v>
      </c>
      <c r="E1763" s="63" t="s">
        <v>891</v>
      </c>
      <c r="F1763" s="63" t="s">
        <v>1920</v>
      </c>
      <c r="G1763">
        <v>1</v>
      </c>
      <c r="H1763">
        <v>20</v>
      </c>
      <c r="I1763">
        <v>20</v>
      </c>
      <c r="J1763">
        <v>20</v>
      </c>
      <c r="K1763">
        <v>366.05</v>
      </c>
      <c r="L1763">
        <v>17</v>
      </c>
    </row>
    <row r="1764" spans="1:12">
      <c r="A1764" s="63" t="s">
        <v>554</v>
      </c>
      <c r="B1764" s="63" t="s">
        <v>556</v>
      </c>
      <c r="C1764" s="63" t="s">
        <v>557</v>
      </c>
      <c r="D1764" s="63" t="s">
        <v>261</v>
      </c>
      <c r="E1764" s="63" t="s">
        <v>891</v>
      </c>
      <c r="F1764" s="63" t="s">
        <v>2833</v>
      </c>
      <c r="G1764">
        <v>1</v>
      </c>
      <c r="H1764">
        <v>20</v>
      </c>
      <c r="I1764">
        <v>20</v>
      </c>
      <c r="J1764">
        <v>20</v>
      </c>
      <c r="K1764">
        <v>126.37</v>
      </c>
      <c r="L1764">
        <v>11</v>
      </c>
    </row>
    <row r="1765" spans="1:12">
      <c r="A1765" s="63" t="s">
        <v>554</v>
      </c>
      <c r="B1765" s="63" t="s">
        <v>556</v>
      </c>
      <c r="C1765" s="63" t="s">
        <v>557</v>
      </c>
      <c r="D1765" s="63" t="s">
        <v>261</v>
      </c>
      <c r="E1765" s="63" t="s">
        <v>891</v>
      </c>
      <c r="F1765" s="63" t="s">
        <v>2834</v>
      </c>
      <c r="G1765">
        <v>1</v>
      </c>
      <c r="H1765">
        <v>20</v>
      </c>
      <c r="I1765">
        <v>20</v>
      </c>
      <c r="J1765">
        <v>20</v>
      </c>
      <c r="K1765">
        <v>366.25</v>
      </c>
      <c r="L1765">
        <v>17</v>
      </c>
    </row>
    <row r="1766" spans="1:12">
      <c r="A1766" s="63" t="s">
        <v>554</v>
      </c>
      <c r="B1766" s="63" t="s">
        <v>556</v>
      </c>
      <c r="C1766" s="63" t="s">
        <v>557</v>
      </c>
      <c r="D1766" s="63" t="s">
        <v>261</v>
      </c>
      <c r="E1766" s="63" t="s">
        <v>891</v>
      </c>
      <c r="F1766" s="63" t="s">
        <v>2835</v>
      </c>
      <c r="G1766">
        <v>1</v>
      </c>
      <c r="H1766">
        <v>20</v>
      </c>
      <c r="I1766">
        <v>20</v>
      </c>
      <c r="J1766">
        <v>20</v>
      </c>
      <c r="K1766">
        <v>259.02999999999997</v>
      </c>
      <c r="L1766">
        <v>14</v>
      </c>
    </row>
    <row r="1767" spans="1:12">
      <c r="A1767" s="63" t="s">
        <v>554</v>
      </c>
      <c r="B1767" s="63" t="s">
        <v>556</v>
      </c>
      <c r="C1767" s="63" t="s">
        <v>557</v>
      </c>
      <c r="D1767" s="63" t="s">
        <v>261</v>
      </c>
      <c r="E1767" s="63" t="s">
        <v>891</v>
      </c>
      <c r="F1767" s="63" t="s">
        <v>2836</v>
      </c>
      <c r="G1767">
        <v>1</v>
      </c>
      <c r="H1767">
        <v>20</v>
      </c>
      <c r="I1767">
        <v>20</v>
      </c>
      <c r="J1767">
        <v>20</v>
      </c>
      <c r="K1767">
        <v>233.72</v>
      </c>
      <c r="L1767">
        <v>17</v>
      </c>
    </row>
    <row r="1768" spans="1:12">
      <c r="A1768" s="63" t="s">
        <v>554</v>
      </c>
      <c r="B1768" s="63" t="s">
        <v>556</v>
      </c>
      <c r="C1768" s="63" t="s">
        <v>557</v>
      </c>
      <c r="D1768" s="63" t="s">
        <v>261</v>
      </c>
      <c r="E1768" s="63" t="s">
        <v>891</v>
      </c>
      <c r="F1768" s="63" t="s">
        <v>2837</v>
      </c>
      <c r="G1768">
        <v>1</v>
      </c>
      <c r="H1768">
        <v>20</v>
      </c>
      <c r="I1768">
        <v>20</v>
      </c>
      <c r="J1768">
        <v>20</v>
      </c>
      <c r="K1768">
        <v>365.42</v>
      </c>
      <c r="L1768">
        <v>17</v>
      </c>
    </row>
    <row r="1769" spans="1:12">
      <c r="A1769" s="63" t="s">
        <v>554</v>
      </c>
      <c r="B1769" s="63" t="s">
        <v>556</v>
      </c>
      <c r="C1769" s="63" t="s">
        <v>557</v>
      </c>
      <c r="D1769" s="63" t="s">
        <v>261</v>
      </c>
      <c r="E1769" s="63" t="s">
        <v>891</v>
      </c>
      <c r="F1769" s="63" t="s">
        <v>1585</v>
      </c>
      <c r="G1769">
        <v>1</v>
      </c>
      <c r="H1769">
        <v>20</v>
      </c>
      <c r="I1769">
        <v>20</v>
      </c>
      <c r="J1769">
        <v>20</v>
      </c>
      <c r="K1769">
        <v>365.63</v>
      </c>
      <c r="L1769">
        <v>17</v>
      </c>
    </row>
    <row r="1770" spans="1:12">
      <c r="A1770" s="63" t="s">
        <v>554</v>
      </c>
      <c r="B1770" s="63" t="s">
        <v>556</v>
      </c>
      <c r="C1770" s="63" t="s">
        <v>557</v>
      </c>
      <c r="D1770" s="63" t="s">
        <v>261</v>
      </c>
      <c r="E1770" s="63" t="s">
        <v>891</v>
      </c>
      <c r="F1770" s="63" t="s">
        <v>2838</v>
      </c>
      <c r="G1770">
        <v>1</v>
      </c>
      <c r="H1770">
        <v>20</v>
      </c>
      <c r="I1770">
        <v>20</v>
      </c>
      <c r="J1770">
        <v>20</v>
      </c>
      <c r="K1770">
        <v>365.83</v>
      </c>
      <c r="L1770">
        <v>17</v>
      </c>
    </row>
    <row r="1771" spans="1:12">
      <c r="A1771" s="63" t="s">
        <v>554</v>
      </c>
      <c r="B1771" s="63" t="s">
        <v>556</v>
      </c>
      <c r="C1771" s="63" t="s">
        <v>557</v>
      </c>
      <c r="D1771" s="63" t="s">
        <v>261</v>
      </c>
      <c r="E1771" s="63" t="s">
        <v>891</v>
      </c>
      <c r="F1771" s="63" t="s">
        <v>2839</v>
      </c>
      <c r="G1771">
        <v>1</v>
      </c>
      <c r="H1771">
        <v>20</v>
      </c>
      <c r="I1771">
        <v>20</v>
      </c>
      <c r="J1771">
        <v>20</v>
      </c>
      <c r="K1771">
        <v>258.77</v>
      </c>
      <c r="L1771">
        <v>19</v>
      </c>
    </row>
    <row r="1772" spans="1:12">
      <c r="A1772" s="63" t="s">
        <v>554</v>
      </c>
      <c r="B1772" s="63" t="s">
        <v>556</v>
      </c>
      <c r="C1772" s="63" t="s">
        <v>557</v>
      </c>
      <c r="D1772" s="63" t="s">
        <v>261</v>
      </c>
      <c r="E1772" s="63" t="s">
        <v>891</v>
      </c>
      <c r="F1772" s="63" t="s">
        <v>2840</v>
      </c>
      <c r="G1772">
        <v>1</v>
      </c>
      <c r="H1772">
        <v>20</v>
      </c>
      <c r="I1772">
        <v>20</v>
      </c>
      <c r="J1772">
        <v>20</v>
      </c>
      <c r="K1772">
        <v>426.67</v>
      </c>
      <c r="L1772">
        <v>30</v>
      </c>
    </row>
    <row r="1773" spans="1:12">
      <c r="A1773" s="63" t="s">
        <v>554</v>
      </c>
      <c r="B1773" s="63" t="s">
        <v>556</v>
      </c>
      <c r="C1773" s="63" t="s">
        <v>557</v>
      </c>
      <c r="D1773" s="63" t="s">
        <v>261</v>
      </c>
      <c r="E1773" s="63" t="s">
        <v>891</v>
      </c>
      <c r="F1773" s="63" t="s">
        <v>2841</v>
      </c>
      <c r="G1773">
        <v>1</v>
      </c>
      <c r="H1773">
        <v>20</v>
      </c>
      <c r="I1773">
        <v>20</v>
      </c>
      <c r="J1773">
        <v>20</v>
      </c>
      <c r="K1773">
        <v>525.82000000000005</v>
      </c>
      <c r="L1773">
        <v>26</v>
      </c>
    </row>
    <row r="1774" spans="1:12">
      <c r="A1774" s="63" t="s">
        <v>554</v>
      </c>
      <c r="B1774" s="63" t="s">
        <v>556</v>
      </c>
      <c r="C1774" s="63" t="s">
        <v>557</v>
      </c>
      <c r="D1774" s="63" t="s">
        <v>261</v>
      </c>
      <c r="E1774" s="63" t="s">
        <v>891</v>
      </c>
      <c r="F1774" s="63" t="s">
        <v>1897</v>
      </c>
      <c r="G1774">
        <v>1</v>
      </c>
      <c r="H1774">
        <v>2</v>
      </c>
      <c r="I1774">
        <v>2</v>
      </c>
      <c r="J1774">
        <v>2</v>
      </c>
      <c r="K1774">
        <v>1932.97</v>
      </c>
      <c r="L1774">
        <v>81</v>
      </c>
    </row>
    <row r="1775" spans="1:12">
      <c r="A1775" s="63" t="s">
        <v>554</v>
      </c>
      <c r="B1775" s="63" t="s">
        <v>556</v>
      </c>
      <c r="C1775" s="63" t="s">
        <v>557</v>
      </c>
      <c r="D1775" s="63" t="s">
        <v>261</v>
      </c>
      <c r="E1775" s="63" t="s">
        <v>891</v>
      </c>
      <c r="F1775" s="63" t="s">
        <v>2842</v>
      </c>
      <c r="G1775">
        <v>1</v>
      </c>
      <c r="H1775">
        <v>20</v>
      </c>
      <c r="I1775">
        <v>20</v>
      </c>
      <c r="J1775">
        <v>20</v>
      </c>
      <c r="K1775">
        <v>424.87</v>
      </c>
      <c r="L1775">
        <v>28</v>
      </c>
    </row>
    <row r="1776" spans="1:12">
      <c r="A1776" s="63" t="s">
        <v>554</v>
      </c>
      <c r="B1776" s="63" t="s">
        <v>556</v>
      </c>
      <c r="C1776" s="63" t="s">
        <v>557</v>
      </c>
      <c r="D1776" s="63" t="s">
        <v>261</v>
      </c>
      <c r="E1776" s="63" t="s">
        <v>891</v>
      </c>
      <c r="F1776" s="63" t="s">
        <v>2843</v>
      </c>
      <c r="G1776">
        <v>1</v>
      </c>
      <c r="H1776">
        <v>20</v>
      </c>
      <c r="I1776">
        <v>20</v>
      </c>
      <c r="J1776">
        <v>20</v>
      </c>
      <c r="K1776">
        <v>522.47</v>
      </c>
      <c r="L1776">
        <v>26</v>
      </c>
    </row>
    <row r="1777" spans="1:12">
      <c r="A1777" s="63" t="s">
        <v>554</v>
      </c>
      <c r="B1777" s="63" t="s">
        <v>556</v>
      </c>
      <c r="C1777" s="63" t="s">
        <v>557</v>
      </c>
      <c r="D1777" s="63" t="s">
        <v>261</v>
      </c>
      <c r="E1777" s="63" t="s">
        <v>891</v>
      </c>
      <c r="F1777" s="63" t="s">
        <v>2844</v>
      </c>
      <c r="G1777">
        <v>1</v>
      </c>
      <c r="H1777">
        <v>20</v>
      </c>
      <c r="I1777">
        <v>20</v>
      </c>
      <c r="J1777">
        <v>20</v>
      </c>
      <c r="K1777">
        <v>258.48</v>
      </c>
      <c r="L1777">
        <v>16</v>
      </c>
    </row>
    <row r="1778" spans="1:12">
      <c r="A1778" s="63" t="s">
        <v>554</v>
      </c>
      <c r="B1778" s="63" t="s">
        <v>556</v>
      </c>
      <c r="C1778" s="63" t="s">
        <v>557</v>
      </c>
      <c r="D1778" s="63" t="s">
        <v>261</v>
      </c>
      <c r="E1778" s="63" t="s">
        <v>891</v>
      </c>
      <c r="F1778" s="63" t="s">
        <v>2845</v>
      </c>
      <c r="G1778">
        <v>1</v>
      </c>
      <c r="H1778">
        <v>20</v>
      </c>
      <c r="I1778">
        <v>20</v>
      </c>
      <c r="J1778">
        <v>20</v>
      </c>
      <c r="K1778">
        <v>365.22</v>
      </c>
      <c r="L1778">
        <v>17</v>
      </c>
    </row>
    <row r="1779" spans="1:12">
      <c r="A1779" s="63" t="s">
        <v>554</v>
      </c>
      <c r="B1779" s="63" t="s">
        <v>556</v>
      </c>
      <c r="C1779" s="63" t="s">
        <v>557</v>
      </c>
      <c r="D1779" s="63" t="s">
        <v>261</v>
      </c>
      <c r="E1779" s="63" t="s">
        <v>891</v>
      </c>
      <c r="F1779" s="63" t="s">
        <v>2846</v>
      </c>
      <c r="G1779">
        <v>1</v>
      </c>
      <c r="H1779">
        <v>20</v>
      </c>
      <c r="I1779">
        <v>20</v>
      </c>
      <c r="J1779">
        <v>20</v>
      </c>
      <c r="K1779">
        <v>126.15</v>
      </c>
      <c r="L1779">
        <v>12</v>
      </c>
    </row>
    <row r="1780" spans="1:12">
      <c r="A1780" s="63" t="s">
        <v>554</v>
      </c>
      <c r="B1780" s="63" t="s">
        <v>556</v>
      </c>
      <c r="C1780" s="63" t="s">
        <v>557</v>
      </c>
      <c r="D1780" s="63" t="s">
        <v>261</v>
      </c>
      <c r="E1780" s="63" t="s">
        <v>891</v>
      </c>
      <c r="F1780" s="63" t="s">
        <v>2847</v>
      </c>
      <c r="G1780">
        <v>1</v>
      </c>
      <c r="H1780">
        <v>20</v>
      </c>
      <c r="I1780">
        <v>20</v>
      </c>
      <c r="J1780">
        <v>20</v>
      </c>
      <c r="K1780">
        <v>125.95</v>
      </c>
      <c r="L1780">
        <v>8</v>
      </c>
    </row>
    <row r="1781" spans="1:12">
      <c r="A1781" s="63" t="s">
        <v>554</v>
      </c>
      <c r="B1781" s="63" t="s">
        <v>556</v>
      </c>
      <c r="C1781" s="63" t="s">
        <v>557</v>
      </c>
      <c r="D1781" s="63" t="s">
        <v>261</v>
      </c>
      <c r="E1781" s="63" t="s">
        <v>891</v>
      </c>
      <c r="F1781" s="63" t="s">
        <v>2848</v>
      </c>
      <c r="G1781">
        <v>1</v>
      </c>
      <c r="H1781">
        <v>20</v>
      </c>
      <c r="I1781">
        <v>20</v>
      </c>
      <c r="J1781">
        <v>20</v>
      </c>
      <c r="K1781">
        <v>126.57</v>
      </c>
      <c r="L1781">
        <v>14</v>
      </c>
    </row>
    <row r="1782" spans="1:12">
      <c r="A1782" s="63" t="s">
        <v>554</v>
      </c>
      <c r="B1782" s="63" t="s">
        <v>556</v>
      </c>
      <c r="C1782" s="63" t="s">
        <v>557</v>
      </c>
      <c r="D1782" s="63" t="s">
        <v>261</v>
      </c>
      <c r="E1782" s="63" t="s">
        <v>891</v>
      </c>
      <c r="F1782" s="63" t="s">
        <v>2849</v>
      </c>
      <c r="G1782">
        <v>1</v>
      </c>
      <c r="H1782">
        <v>20</v>
      </c>
      <c r="I1782">
        <v>20</v>
      </c>
      <c r="J1782">
        <v>20</v>
      </c>
      <c r="K1782">
        <v>129.82</v>
      </c>
      <c r="L1782">
        <v>6</v>
      </c>
    </row>
    <row r="1783" spans="1:12">
      <c r="A1783" s="63" t="s">
        <v>554</v>
      </c>
      <c r="B1783" s="63" t="s">
        <v>588</v>
      </c>
      <c r="C1783" s="63" t="s">
        <v>589</v>
      </c>
      <c r="D1783" s="63" t="s">
        <v>261</v>
      </c>
      <c r="G1783">
        <v>1</v>
      </c>
      <c r="H1783">
        <v>4</v>
      </c>
      <c r="I1783">
        <v>4</v>
      </c>
      <c r="J1783">
        <v>4</v>
      </c>
      <c r="K1783">
        <v>2044.3</v>
      </c>
      <c r="L1783">
        <v>87</v>
      </c>
    </row>
    <row r="1784" spans="1:12">
      <c r="A1784" s="63" t="s">
        <v>554</v>
      </c>
      <c r="B1784" s="63" t="s">
        <v>588</v>
      </c>
      <c r="C1784" s="63" t="s">
        <v>589</v>
      </c>
      <c r="D1784" s="63" t="s">
        <v>261</v>
      </c>
      <c r="E1784" s="63" t="s">
        <v>891</v>
      </c>
      <c r="F1784" s="63" t="s">
        <v>2850</v>
      </c>
      <c r="G1784">
        <v>1</v>
      </c>
      <c r="H1784">
        <v>20</v>
      </c>
      <c r="I1784">
        <v>20</v>
      </c>
      <c r="J1784">
        <v>20</v>
      </c>
      <c r="K1784">
        <v>130.97999999999999</v>
      </c>
      <c r="L1784">
        <v>7</v>
      </c>
    </row>
    <row r="1785" spans="1:12">
      <c r="A1785" s="63" t="s">
        <v>554</v>
      </c>
      <c r="B1785" s="63" t="s">
        <v>588</v>
      </c>
      <c r="C1785" s="63" t="s">
        <v>589</v>
      </c>
      <c r="D1785" s="63" t="s">
        <v>261</v>
      </c>
      <c r="E1785" s="63" t="s">
        <v>891</v>
      </c>
      <c r="F1785" s="63" t="s">
        <v>2851</v>
      </c>
      <c r="G1785">
        <v>1</v>
      </c>
      <c r="H1785">
        <v>20</v>
      </c>
      <c r="I1785">
        <v>20</v>
      </c>
      <c r="J1785">
        <v>20</v>
      </c>
      <c r="K1785">
        <v>131.85</v>
      </c>
      <c r="L1785">
        <v>12</v>
      </c>
    </row>
    <row r="1786" spans="1:12">
      <c r="A1786" s="63" t="s">
        <v>554</v>
      </c>
      <c r="B1786" s="63" t="s">
        <v>588</v>
      </c>
      <c r="C1786" s="63" t="s">
        <v>589</v>
      </c>
      <c r="D1786" s="63" t="s">
        <v>261</v>
      </c>
      <c r="E1786" s="63" t="s">
        <v>891</v>
      </c>
      <c r="F1786" s="63" t="s">
        <v>2852</v>
      </c>
      <c r="G1786">
        <v>1</v>
      </c>
      <c r="H1786">
        <v>20</v>
      </c>
      <c r="I1786">
        <v>20</v>
      </c>
      <c r="J1786">
        <v>20</v>
      </c>
      <c r="K1786">
        <v>138.38</v>
      </c>
      <c r="L1786">
        <v>14</v>
      </c>
    </row>
    <row r="1787" spans="1:12">
      <c r="A1787" s="63" t="s">
        <v>554</v>
      </c>
      <c r="B1787" s="63" t="s">
        <v>588</v>
      </c>
      <c r="C1787" s="63" t="s">
        <v>589</v>
      </c>
      <c r="D1787" s="63" t="s">
        <v>261</v>
      </c>
      <c r="E1787" s="63" t="s">
        <v>891</v>
      </c>
      <c r="F1787" s="63" t="s">
        <v>2853</v>
      </c>
      <c r="G1787">
        <v>1</v>
      </c>
      <c r="H1787">
        <v>20</v>
      </c>
      <c r="I1787">
        <v>20</v>
      </c>
      <c r="J1787">
        <v>20</v>
      </c>
      <c r="K1787">
        <v>138.1</v>
      </c>
      <c r="L1787">
        <v>14</v>
      </c>
    </row>
    <row r="1788" spans="1:12">
      <c r="A1788" s="63" t="s">
        <v>554</v>
      </c>
      <c r="B1788" s="63" t="s">
        <v>588</v>
      </c>
      <c r="C1788" s="63" t="s">
        <v>589</v>
      </c>
      <c r="D1788" s="63" t="s">
        <v>261</v>
      </c>
      <c r="E1788" s="63" t="s">
        <v>891</v>
      </c>
      <c r="F1788" s="63" t="s">
        <v>2854</v>
      </c>
      <c r="G1788">
        <v>1</v>
      </c>
      <c r="H1788">
        <v>20</v>
      </c>
      <c r="I1788">
        <v>20</v>
      </c>
      <c r="J1788">
        <v>20</v>
      </c>
      <c r="K1788">
        <v>131.30000000000001</v>
      </c>
      <c r="L1788">
        <v>22</v>
      </c>
    </row>
    <row r="1789" spans="1:12">
      <c r="A1789" s="63" t="s">
        <v>554</v>
      </c>
      <c r="B1789" s="63" t="s">
        <v>588</v>
      </c>
      <c r="C1789" s="63" t="s">
        <v>589</v>
      </c>
      <c r="D1789" s="63" t="s">
        <v>261</v>
      </c>
      <c r="E1789" s="63" t="s">
        <v>891</v>
      </c>
      <c r="F1789" s="63" t="s">
        <v>2855</v>
      </c>
      <c r="G1789">
        <v>1</v>
      </c>
      <c r="H1789">
        <v>20</v>
      </c>
      <c r="I1789">
        <v>20</v>
      </c>
      <c r="J1789">
        <v>20</v>
      </c>
      <c r="K1789">
        <v>131.58000000000001</v>
      </c>
      <c r="L1789">
        <v>10</v>
      </c>
    </row>
    <row r="1790" spans="1:12">
      <c r="A1790" s="63" t="s">
        <v>554</v>
      </c>
      <c r="B1790" s="63" t="s">
        <v>588</v>
      </c>
      <c r="C1790" s="63" t="s">
        <v>589</v>
      </c>
      <c r="D1790" s="63" t="s">
        <v>261</v>
      </c>
      <c r="E1790" s="63" t="s">
        <v>891</v>
      </c>
      <c r="F1790" s="63" t="s">
        <v>1130</v>
      </c>
      <c r="G1790">
        <v>1</v>
      </c>
      <c r="H1790">
        <v>20</v>
      </c>
      <c r="I1790">
        <v>20</v>
      </c>
      <c r="J1790">
        <v>20</v>
      </c>
      <c r="K1790">
        <v>138.37</v>
      </c>
      <c r="L1790">
        <v>14</v>
      </c>
    </row>
    <row r="1791" spans="1:12">
      <c r="A1791" s="63" t="s">
        <v>554</v>
      </c>
      <c r="B1791" s="63" t="s">
        <v>558</v>
      </c>
      <c r="C1791" s="63" t="s">
        <v>559</v>
      </c>
      <c r="D1791" s="63" t="s">
        <v>261</v>
      </c>
      <c r="G1791">
        <v>1</v>
      </c>
      <c r="H1791">
        <v>3</v>
      </c>
      <c r="I1791">
        <v>3</v>
      </c>
      <c r="J1791">
        <v>3</v>
      </c>
      <c r="K1791">
        <v>1205.75</v>
      </c>
      <c r="L1791">
        <v>64</v>
      </c>
    </row>
    <row r="1792" spans="1:12">
      <c r="A1792" s="63" t="s">
        <v>554</v>
      </c>
      <c r="B1792" s="63" t="s">
        <v>558</v>
      </c>
      <c r="C1792" s="63" t="s">
        <v>559</v>
      </c>
      <c r="D1792" s="63" t="s">
        <v>261</v>
      </c>
      <c r="E1792" s="63" t="s">
        <v>891</v>
      </c>
      <c r="F1792" s="63" t="s">
        <v>1743</v>
      </c>
      <c r="G1792">
        <v>1</v>
      </c>
      <c r="H1792">
        <v>20</v>
      </c>
      <c r="I1792">
        <v>20</v>
      </c>
      <c r="J1792">
        <v>20</v>
      </c>
      <c r="K1792">
        <v>741.02</v>
      </c>
      <c r="L1792">
        <v>31</v>
      </c>
    </row>
    <row r="1793" spans="1:12">
      <c r="A1793" s="63" t="s">
        <v>554</v>
      </c>
      <c r="B1793" s="63" t="s">
        <v>558</v>
      </c>
      <c r="C1793" s="63" t="s">
        <v>559</v>
      </c>
      <c r="D1793" s="63" t="s">
        <v>261</v>
      </c>
      <c r="E1793" s="63" t="s">
        <v>891</v>
      </c>
      <c r="F1793" s="63" t="s">
        <v>2856</v>
      </c>
      <c r="G1793">
        <v>1</v>
      </c>
      <c r="H1793">
        <v>20</v>
      </c>
      <c r="I1793">
        <v>20</v>
      </c>
      <c r="J1793">
        <v>20</v>
      </c>
      <c r="K1793">
        <v>304.45</v>
      </c>
      <c r="L1793">
        <v>30</v>
      </c>
    </row>
    <row r="1794" spans="1:12">
      <c r="A1794" s="63" t="s">
        <v>554</v>
      </c>
      <c r="B1794" s="63" t="s">
        <v>558</v>
      </c>
      <c r="C1794" s="63" t="s">
        <v>559</v>
      </c>
      <c r="D1794" s="63" t="s">
        <v>261</v>
      </c>
      <c r="E1794" s="63" t="s">
        <v>891</v>
      </c>
      <c r="F1794" s="63" t="s">
        <v>2857</v>
      </c>
      <c r="G1794">
        <v>1</v>
      </c>
      <c r="H1794">
        <v>20</v>
      </c>
      <c r="I1794">
        <v>20</v>
      </c>
      <c r="J1794">
        <v>20</v>
      </c>
      <c r="K1794">
        <v>304.45</v>
      </c>
      <c r="L1794">
        <v>30</v>
      </c>
    </row>
    <row r="1795" spans="1:12">
      <c r="A1795" s="63" t="s">
        <v>554</v>
      </c>
      <c r="B1795" s="63" t="s">
        <v>558</v>
      </c>
      <c r="C1795" s="63" t="s">
        <v>559</v>
      </c>
      <c r="D1795" s="63" t="s">
        <v>261</v>
      </c>
      <c r="E1795" s="63" t="s">
        <v>891</v>
      </c>
      <c r="F1795" s="63" t="s">
        <v>1919</v>
      </c>
      <c r="G1795">
        <v>1</v>
      </c>
      <c r="H1795">
        <v>20</v>
      </c>
      <c r="I1795">
        <v>20</v>
      </c>
      <c r="J1795">
        <v>20</v>
      </c>
      <c r="K1795">
        <v>461.12</v>
      </c>
      <c r="L1795">
        <v>20</v>
      </c>
    </row>
    <row r="1796" spans="1:12">
      <c r="A1796" s="63" t="s">
        <v>554</v>
      </c>
      <c r="B1796" s="63" t="s">
        <v>558</v>
      </c>
      <c r="C1796" s="63" t="s">
        <v>559</v>
      </c>
      <c r="D1796" s="63" t="s">
        <v>261</v>
      </c>
      <c r="E1796" s="63" t="s">
        <v>891</v>
      </c>
      <c r="F1796" s="63" t="s">
        <v>2858</v>
      </c>
      <c r="G1796">
        <v>1</v>
      </c>
      <c r="H1796">
        <v>20</v>
      </c>
      <c r="I1796">
        <v>20</v>
      </c>
      <c r="J1796">
        <v>20</v>
      </c>
      <c r="K1796">
        <v>696.38</v>
      </c>
      <c r="L1796">
        <v>217</v>
      </c>
    </row>
    <row r="1797" spans="1:12">
      <c r="A1797" s="63" t="s">
        <v>554</v>
      </c>
      <c r="B1797" s="63" t="s">
        <v>558</v>
      </c>
      <c r="C1797" s="63" t="s">
        <v>559</v>
      </c>
      <c r="D1797" s="63" t="s">
        <v>261</v>
      </c>
      <c r="E1797" s="63" t="s">
        <v>891</v>
      </c>
      <c r="F1797" s="63" t="s">
        <v>2859</v>
      </c>
      <c r="G1797">
        <v>1</v>
      </c>
      <c r="H1797">
        <v>20</v>
      </c>
      <c r="I1797">
        <v>20</v>
      </c>
      <c r="J1797">
        <v>20</v>
      </c>
      <c r="K1797">
        <v>428.62</v>
      </c>
      <c r="L1797">
        <v>30</v>
      </c>
    </row>
    <row r="1798" spans="1:12">
      <c r="A1798" s="63" t="s">
        <v>554</v>
      </c>
      <c r="B1798" s="63" t="s">
        <v>558</v>
      </c>
      <c r="C1798" s="63" t="s">
        <v>559</v>
      </c>
      <c r="D1798" s="63" t="s">
        <v>261</v>
      </c>
      <c r="E1798" s="63" t="s">
        <v>891</v>
      </c>
      <c r="F1798" s="63" t="s">
        <v>1638</v>
      </c>
      <c r="G1798">
        <v>1</v>
      </c>
      <c r="H1798">
        <v>20</v>
      </c>
      <c r="I1798">
        <v>20</v>
      </c>
      <c r="J1798">
        <v>20</v>
      </c>
      <c r="K1798">
        <v>125.53</v>
      </c>
      <c r="L1798">
        <v>15</v>
      </c>
    </row>
    <row r="1799" spans="1:12">
      <c r="A1799" s="63" t="s">
        <v>554</v>
      </c>
      <c r="B1799" s="63" t="s">
        <v>558</v>
      </c>
      <c r="C1799" s="63" t="s">
        <v>559</v>
      </c>
      <c r="D1799" s="63" t="s">
        <v>261</v>
      </c>
      <c r="E1799" s="63" t="s">
        <v>891</v>
      </c>
      <c r="F1799" s="63" t="s">
        <v>1580</v>
      </c>
      <c r="G1799">
        <v>1</v>
      </c>
      <c r="H1799">
        <v>20</v>
      </c>
      <c r="I1799">
        <v>20</v>
      </c>
      <c r="J1799">
        <v>20</v>
      </c>
      <c r="K1799">
        <v>412.62</v>
      </c>
      <c r="L1799">
        <v>358</v>
      </c>
    </row>
    <row r="1800" spans="1:12">
      <c r="A1800" s="63" t="s">
        <v>554</v>
      </c>
      <c r="B1800" s="63" t="s">
        <v>558</v>
      </c>
      <c r="C1800" s="63" t="s">
        <v>559</v>
      </c>
      <c r="D1800" s="63" t="s">
        <v>261</v>
      </c>
      <c r="E1800" s="63" t="s">
        <v>891</v>
      </c>
      <c r="F1800" s="63" t="s">
        <v>825</v>
      </c>
      <c r="G1800">
        <v>1</v>
      </c>
      <c r="H1800">
        <v>20</v>
      </c>
      <c r="I1800">
        <v>20</v>
      </c>
      <c r="J1800">
        <v>20</v>
      </c>
      <c r="K1800">
        <v>429.18</v>
      </c>
      <c r="L1800">
        <v>21</v>
      </c>
    </row>
    <row r="1801" spans="1:12">
      <c r="A1801" s="63" t="s">
        <v>554</v>
      </c>
      <c r="B1801" s="63" t="s">
        <v>558</v>
      </c>
      <c r="C1801" s="63" t="s">
        <v>559</v>
      </c>
      <c r="D1801" s="63" t="s">
        <v>261</v>
      </c>
      <c r="E1801" s="63" t="s">
        <v>891</v>
      </c>
      <c r="F1801" s="63" t="s">
        <v>2860</v>
      </c>
      <c r="G1801">
        <v>1</v>
      </c>
      <c r="H1801">
        <v>20</v>
      </c>
      <c r="I1801">
        <v>20</v>
      </c>
      <c r="J1801">
        <v>20</v>
      </c>
      <c r="K1801">
        <v>460.62</v>
      </c>
      <c r="L1801">
        <v>20</v>
      </c>
    </row>
    <row r="1802" spans="1:12">
      <c r="A1802" s="63" t="s">
        <v>554</v>
      </c>
      <c r="B1802" s="63" t="s">
        <v>558</v>
      </c>
      <c r="C1802" s="63" t="s">
        <v>559</v>
      </c>
      <c r="D1802" s="63" t="s">
        <v>261</v>
      </c>
      <c r="E1802" s="63" t="s">
        <v>891</v>
      </c>
      <c r="F1802" s="63" t="s">
        <v>2861</v>
      </c>
      <c r="G1802">
        <v>1</v>
      </c>
      <c r="H1802">
        <v>20</v>
      </c>
      <c r="I1802">
        <v>20</v>
      </c>
      <c r="J1802">
        <v>20</v>
      </c>
      <c r="K1802">
        <v>428.33</v>
      </c>
      <c r="L1802">
        <v>24</v>
      </c>
    </row>
    <row r="1803" spans="1:12">
      <c r="A1803" s="63" t="s">
        <v>554</v>
      </c>
      <c r="B1803" s="63" t="s">
        <v>558</v>
      </c>
      <c r="C1803" s="63" t="s">
        <v>559</v>
      </c>
      <c r="D1803" s="63" t="s">
        <v>261</v>
      </c>
      <c r="E1803" s="63" t="s">
        <v>891</v>
      </c>
      <c r="F1803" s="63" t="s">
        <v>2862</v>
      </c>
      <c r="G1803">
        <v>1</v>
      </c>
      <c r="H1803">
        <v>20</v>
      </c>
      <c r="I1803">
        <v>20</v>
      </c>
      <c r="J1803">
        <v>20</v>
      </c>
      <c r="K1803">
        <v>695.5</v>
      </c>
      <c r="L1803">
        <v>217</v>
      </c>
    </row>
    <row r="1804" spans="1:12">
      <c r="A1804" s="63" t="s">
        <v>554</v>
      </c>
      <c r="B1804" s="63" t="s">
        <v>558</v>
      </c>
      <c r="C1804" s="63" t="s">
        <v>559</v>
      </c>
      <c r="D1804" s="63" t="s">
        <v>261</v>
      </c>
      <c r="E1804" s="63" t="s">
        <v>891</v>
      </c>
      <c r="F1804" s="63" t="s">
        <v>1937</v>
      </c>
      <c r="G1804">
        <v>1</v>
      </c>
      <c r="H1804">
        <v>20</v>
      </c>
      <c r="I1804">
        <v>20</v>
      </c>
      <c r="J1804">
        <v>20</v>
      </c>
      <c r="K1804">
        <v>231.07</v>
      </c>
      <c r="L1804">
        <v>9</v>
      </c>
    </row>
    <row r="1805" spans="1:12">
      <c r="A1805" s="63" t="s">
        <v>701</v>
      </c>
      <c r="B1805" s="63" t="s">
        <v>937</v>
      </c>
      <c r="C1805" s="63" t="s">
        <v>938</v>
      </c>
      <c r="D1805" s="63" t="s">
        <v>261</v>
      </c>
      <c r="E1805" s="63" t="s">
        <v>302</v>
      </c>
      <c r="F1805" s="63" t="s">
        <v>1666</v>
      </c>
      <c r="G1805">
        <v>1</v>
      </c>
      <c r="H1805">
        <v>20</v>
      </c>
      <c r="I1805">
        <v>20</v>
      </c>
      <c r="J1805">
        <v>20</v>
      </c>
      <c r="K1805">
        <v>137.43</v>
      </c>
      <c r="L1805">
        <v>0</v>
      </c>
    </row>
    <row r="1806" spans="1:12">
      <c r="A1806" s="63" t="s">
        <v>701</v>
      </c>
      <c r="B1806" s="63" t="s">
        <v>937</v>
      </c>
      <c r="C1806" s="63" t="s">
        <v>938</v>
      </c>
      <c r="D1806" s="63" t="s">
        <v>261</v>
      </c>
      <c r="E1806" s="63" t="s">
        <v>302</v>
      </c>
      <c r="F1806" s="63" t="s">
        <v>347</v>
      </c>
      <c r="G1806">
        <v>1</v>
      </c>
      <c r="H1806">
        <v>20</v>
      </c>
      <c r="I1806">
        <v>20</v>
      </c>
      <c r="J1806">
        <v>20</v>
      </c>
      <c r="K1806">
        <v>431.48</v>
      </c>
      <c r="L1806">
        <v>10</v>
      </c>
    </row>
    <row r="1807" spans="1:12">
      <c r="A1807" s="63" t="s">
        <v>701</v>
      </c>
      <c r="B1807" s="63" t="s">
        <v>937</v>
      </c>
      <c r="C1807" s="63" t="s">
        <v>938</v>
      </c>
      <c r="D1807" s="63" t="s">
        <v>261</v>
      </c>
      <c r="E1807" s="63" t="s">
        <v>302</v>
      </c>
      <c r="F1807" s="63" t="s">
        <v>2863</v>
      </c>
      <c r="G1807">
        <v>1</v>
      </c>
      <c r="H1807">
        <v>20</v>
      </c>
      <c r="I1807">
        <v>20</v>
      </c>
      <c r="J1807">
        <v>20</v>
      </c>
      <c r="K1807">
        <v>195.88</v>
      </c>
      <c r="L1807">
        <v>0</v>
      </c>
    </row>
    <row r="1808" spans="1:12">
      <c r="A1808" s="63" t="s">
        <v>701</v>
      </c>
      <c r="B1808" s="63" t="s">
        <v>937</v>
      </c>
      <c r="C1808" s="63" t="s">
        <v>938</v>
      </c>
      <c r="D1808" s="63" t="s">
        <v>261</v>
      </c>
      <c r="E1808" s="63" t="s">
        <v>302</v>
      </c>
      <c r="F1808" s="63" t="s">
        <v>2864</v>
      </c>
      <c r="G1808">
        <v>1</v>
      </c>
      <c r="H1808">
        <v>20</v>
      </c>
      <c r="I1808">
        <v>20</v>
      </c>
      <c r="J1808">
        <v>20</v>
      </c>
      <c r="K1808">
        <v>525.53</v>
      </c>
      <c r="L1808">
        <v>10</v>
      </c>
    </row>
    <row r="1809" spans="1:12">
      <c r="A1809" s="63" t="s">
        <v>701</v>
      </c>
      <c r="B1809" s="63" t="s">
        <v>937</v>
      </c>
      <c r="C1809" s="63" t="s">
        <v>938</v>
      </c>
      <c r="D1809" s="63" t="s">
        <v>261</v>
      </c>
      <c r="E1809" s="63" t="s">
        <v>302</v>
      </c>
      <c r="F1809" s="63" t="s">
        <v>2865</v>
      </c>
      <c r="G1809">
        <v>1</v>
      </c>
      <c r="H1809">
        <v>20</v>
      </c>
      <c r="I1809">
        <v>20</v>
      </c>
      <c r="J1809">
        <v>20</v>
      </c>
      <c r="K1809">
        <v>137.15</v>
      </c>
      <c r="L1809">
        <v>0</v>
      </c>
    </row>
    <row r="1810" spans="1:12">
      <c r="A1810" s="63" t="s">
        <v>701</v>
      </c>
      <c r="B1810" s="63" t="s">
        <v>937</v>
      </c>
      <c r="C1810" s="63" t="s">
        <v>938</v>
      </c>
      <c r="D1810" s="63" t="s">
        <v>261</v>
      </c>
      <c r="E1810" s="63" t="s">
        <v>302</v>
      </c>
      <c r="F1810" s="63" t="s">
        <v>2866</v>
      </c>
      <c r="G1810">
        <v>1</v>
      </c>
      <c r="H1810">
        <v>20</v>
      </c>
      <c r="I1810">
        <v>20</v>
      </c>
      <c r="J1810">
        <v>20</v>
      </c>
      <c r="K1810">
        <v>196.17</v>
      </c>
      <c r="L1810">
        <v>0</v>
      </c>
    </row>
    <row r="1811" spans="1:12">
      <c r="A1811" s="63" t="s">
        <v>701</v>
      </c>
      <c r="B1811" s="63" t="s">
        <v>937</v>
      </c>
      <c r="C1811" s="63" t="s">
        <v>938</v>
      </c>
      <c r="D1811" s="63" t="s">
        <v>261</v>
      </c>
      <c r="E1811" s="63" t="s">
        <v>302</v>
      </c>
      <c r="F1811" s="63" t="s">
        <v>2867</v>
      </c>
      <c r="G1811">
        <v>1</v>
      </c>
      <c r="H1811">
        <v>20</v>
      </c>
      <c r="I1811">
        <v>20</v>
      </c>
      <c r="J1811">
        <v>20</v>
      </c>
      <c r="K1811">
        <v>196.43</v>
      </c>
      <c r="L1811">
        <v>0</v>
      </c>
    </row>
    <row r="1812" spans="1:12">
      <c r="A1812" s="63" t="s">
        <v>701</v>
      </c>
      <c r="B1812" s="63" t="s">
        <v>937</v>
      </c>
      <c r="C1812" s="63" t="s">
        <v>938</v>
      </c>
      <c r="D1812" s="63" t="s">
        <v>261</v>
      </c>
      <c r="E1812" s="63" t="s">
        <v>302</v>
      </c>
      <c r="F1812" s="63" t="s">
        <v>2868</v>
      </c>
      <c r="G1812">
        <v>1</v>
      </c>
      <c r="H1812">
        <v>20</v>
      </c>
      <c r="I1812">
        <v>20</v>
      </c>
      <c r="J1812">
        <v>20</v>
      </c>
      <c r="K1812">
        <v>137.72</v>
      </c>
      <c r="L1812">
        <v>0</v>
      </c>
    </row>
    <row r="1813" spans="1:12">
      <c r="A1813" s="63" t="s">
        <v>701</v>
      </c>
      <c r="B1813" s="63" t="s">
        <v>328</v>
      </c>
      <c r="C1813" s="63" t="s">
        <v>2350</v>
      </c>
      <c r="D1813" s="63" t="s">
        <v>261</v>
      </c>
      <c r="E1813" s="63" t="s">
        <v>302</v>
      </c>
      <c r="F1813" s="63" t="s">
        <v>2869</v>
      </c>
      <c r="G1813">
        <v>1</v>
      </c>
      <c r="H1813">
        <v>20</v>
      </c>
      <c r="I1813">
        <v>20</v>
      </c>
      <c r="J1813">
        <v>20</v>
      </c>
      <c r="K1813">
        <v>549.83000000000004</v>
      </c>
      <c r="L1813">
        <v>0</v>
      </c>
    </row>
    <row r="1814" spans="1:12">
      <c r="A1814" s="63" t="s">
        <v>701</v>
      </c>
      <c r="B1814" s="63" t="s">
        <v>328</v>
      </c>
      <c r="C1814" s="63" t="s">
        <v>2350</v>
      </c>
      <c r="D1814" s="63" t="s">
        <v>261</v>
      </c>
      <c r="E1814" s="63" t="s">
        <v>302</v>
      </c>
      <c r="F1814" s="63" t="s">
        <v>2870</v>
      </c>
      <c r="G1814">
        <v>1</v>
      </c>
      <c r="H1814">
        <v>20</v>
      </c>
      <c r="I1814">
        <v>20</v>
      </c>
      <c r="J1814">
        <v>20</v>
      </c>
      <c r="K1814">
        <v>672.95</v>
      </c>
      <c r="L1814">
        <v>0</v>
      </c>
    </row>
    <row r="1815" spans="1:12">
      <c r="A1815" s="63" t="s">
        <v>701</v>
      </c>
      <c r="B1815" s="63" t="s">
        <v>328</v>
      </c>
      <c r="C1815" s="63" t="s">
        <v>2350</v>
      </c>
      <c r="D1815" s="63" t="s">
        <v>261</v>
      </c>
      <c r="E1815" s="63" t="s">
        <v>302</v>
      </c>
      <c r="F1815" s="63" t="s">
        <v>2871</v>
      </c>
      <c r="G1815">
        <v>1</v>
      </c>
      <c r="H1815">
        <v>20</v>
      </c>
      <c r="I1815">
        <v>20</v>
      </c>
      <c r="J1815">
        <v>20</v>
      </c>
      <c r="K1815">
        <v>674.17</v>
      </c>
      <c r="L1815">
        <v>0</v>
      </c>
    </row>
    <row r="1816" spans="1:12">
      <c r="A1816" s="63" t="s">
        <v>701</v>
      </c>
      <c r="B1816" s="63" t="s">
        <v>328</v>
      </c>
      <c r="C1816" s="63" t="s">
        <v>2350</v>
      </c>
      <c r="D1816" s="63" t="s">
        <v>261</v>
      </c>
      <c r="E1816" s="63" t="s">
        <v>302</v>
      </c>
      <c r="F1816" s="63" t="s">
        <v>2872</v>
      </c>
      <c r="G1816">
        <v>1</v>
      </c>
      <c r="H1816">
        <v>20</v>
      </c>
      <c r="I1816">
        <v>20</v>
      </c>
      <c r="J1816">
        <v>20</v>
      </c>
      <c r="K1816">
        <v>673.62</v>
      </c>
      <c r="L1816">
        <v>0</v>
      </c>
    </row>
    <row r="1817" spans="1:12">
      <c r="A1817" s="63" t="s">
        <v>701</v>
      </c>
      <c r="B1817" s="63" t="s">
        <v>328</v>
      </c>
      <c r="C1817" s="63" t="s">
        <v>2350</v>
      </c>
      <c r="D1817" s="63" t="s">
        <v>261</v>
      </c>
      <c r="E1817" s="63" t="s">
        <v>302</v>
      </c>
      <c r="F1817" s="63" t="s">
        <v>2873</v>
      </c>
      <c r="G1817">
        <v>1</v>
      </c>
      <c r="H1817">
        <v>20</v>
      </c>
      <c r="I1817">
        <v>20</v>
      </c>
      <c r="J1817">
        <v>20</v>
      </c>
      <c r="K1817">
        <v>673.9</v>
      </c>
      <c r="L1817">
        <v>0</v>
      </c>
    </row>
    <row r="1818" spans="1:12">
      <c r="A1818" s="63" t="s">
        <v>701</v>
      </c>
      <c r="B1818" s="63" t="s">
        <v>328</v>
      </c>
      <c r="C1818" s="63" t="s">
        <v>2350</v>
      </c>
      <c r="D1818" s="63" t="s">
        <v>261</v>
      </c>
      <c r="E1818" s="63" t="s">
        <v>302</v>
      </c>
      <c r="F1818" s="63" t="s">
        <v>2874</v>
      </c>
      <c r="G1818">
        <v>1</v>
      </c>
      <c r="H1818">
        <v>20</v>
      </c>
      <c r="I1818">
        <v>20</v>
      </c>
      <c r="J1818">
        <v>20</v>
      </c>
      <c r="K1818">
        <v>323.2</v>
      </c>
      <c r="L1818">
        <v>10</v>
      </c>
    </row>
    <row r="1819" spans="1:12">
      <c r="A1819" s="63" t="s">
        <v>701</v>
      </c>
      <c r="B1819" s="63" t="s">
        <v>273</v>
      </c>
      <c r="C1819" s="63" t="s">
        <v>1582</v>
      </c>
      <c r="D1819" s="63" t="s">
        <v>261</v>
      </c>
      <c r="E1819" s="63" t="s">
        <v>302</v>
      </c>
      <c r="F1819" s="63" t="s">
        <v>2875</v>
      </c>
      <c r="G1819">
        <v>1</v>
      </c>
      <c r="H1819">
        <v>20</v>
      </c>
      <c r="I1819">
        <v>20</v>
      </c>
      <c r="J1819">
        <v>20</v>
      </c>
      <c r="K1819">
        <v>332.25</v>
      </c>
      <c r="L1819">
        <v>10</v>
      </c>
    </row>
    <row r="1820" spans="1:12">
      <c r="A1820" s="63" t="s">
        <v>701</v>
      </c>
      <c r="B1820" s="63" t="s">
        <v>273</v>
      </c>
      <c r="C1820" s="63" t="s">
        <v>1582</v>
      </c>
      <c r="D1820" s="63" t="s">
        <v>261</v>
      </c>
      <c r="E1820" s="63" t="s">
        <v>302</v>
      </c>
      <c r="F1820" s="63" t="s">
        <v>2876</v>
      </c>
      <c r="G1820">
        <v>1</v>
      </c>
      <c r="H1820">
        <v>20</v>
      </c>
      <c r="I1820">
        <v>20</v>
      </c>
      <c r="J1820">
        <v>20</v>
      </c>
      <c r="K1820">
        <v>332.05</v>
      </c>
      <c r="L1820">
        <v>10</v>
      </c>
    </row>
    <row r="1821" spans="1:12">
      <c r="A1821" s="63" t="s">
        <v>701</v>
      </c>
      <c r="B1821" s="63" t="s">
        <v>273</v>
      </c>
      <c r="C1821" s="63" t="s">
        <v>1582</v>
      </c>
      <c r="D1821" s="63" t="s">
        <v>261</v>
      </c>
      <c r="E1821" s="63" t="s">
        <v>302</v>
      </c>
      <c r="F1821" s="63" t="s">
        <v>2877</v>
      </c>
      <c r="G1821">
        <v>1</v>
      </c>
      <c r="H1821">
        <v>20</v>
      </c>
      <c r="I1821">
        <v>20</v>
      </c>
      <c r="J1821">
        <v>20</v>
      </c>
      <c r="K1821">
        <v>332.47</v>
      </c>
      <c r="L1821">
        <v>10</v>
      </c>
    </row>
    <row r="1822" spans="1:12">
      <c r="A1822" s="63" t="s">
        <v>701</v>
      </c>
      <c r="B1822" s="63" t="s">
        <v>273</v>
      </c>
      <c r="C1822" s="63" t="s">
        <v>1582</v>
      </c>
      <c r="D1822" s="63" t="s">
        <v>261</v>
      </c>
      <c r="E1822" s="63" t="s">
        <v>302</v>
      </c>
      <c r="F1822" s="63" t="s">
        <v>2878</v>
      </c>
      <c r="G1822">
        <v>1</v>
      </c>
      <c r="H1822">
        <v>20</v>
      </c>
      <c r="I1822">
        <v>20</v>
      </c>
      <c r="J1822">
        <v>20</v>
      </c>
      <c r="K1822">
        <v>233.87</v>
      </c>
      <c r="L1822">
        <v>0</v>
      </c>
    </row>
    <row r="1823" spans="1:12">
      <c r="A1823" s="63" t="s">
        <v>701</v>
      </c>
      <c r="B1823" s="63" t="s">
        <v>273</v>
      </c>
      <c r="C1823" s="63" t="s">
        <v>1582</v>
      </c>
      <c r="D1823" s="63" t="s">
        <v>261</v>
      </c>
      <c r="E1823" s="63" t="s">
        <v>302</v>
      </c>
      <c r="F1823" s="63" t="s">
        <v>1639</v>
      </c>
      <c r="G1823">
        <v>1</v>
      </c>
      <c r="H1823">
        <v>20</v>
      </c>
      <c r="I1823">
        <v>20</v>
      </c>
      <c r="J1823">
        <v>20</v>
      </c>
      <c r="K1823">
        <v>413.1</v>
      </c>
      <c r="L1823">
        <v>10</v>
      </c>
    </row>
    <row r="1824" spans="1:12">
      <c r="A1824" s="63" t="s">
        <v>701</v>
      </c>
      <c r="B1824" s="63" t="s">
        <v>273</v>
      </c>
      <c r="C1824" s="63" t="s">
        <v>1582</v>
      </c>
      <c r="D1824" s="63" t="s">
        <v>261</v>
      </c>
      <c r="E1824" s="63" t="s">
        <v>302</v>
      </c>
      <c r="F1824" s="63" t="s">
        <v>1923</v>
      </c>
      <c r="G1824">
        <v>1</v>
      </c>
      <c r="H1824">
        <v>20</v>
      </c>
      <c r="I1824">
        <v>20</v>
      </c>
      <c r="J1824">
        <v>20</v>
      </c>
      <c r="K1824">
        <v>301.02</v>
      </c>
      <c r="L1824">
        <v>10</v>
      </c>
    </row>
    <row r="1825" spans="1:12">
      <c r="A1825" s="63" t="s">
        <v>701</v>
      </c>
      <c r="B1825" s="63" t="s">
        <v>273</v>
      </c>
      <c r="C1825" s="63" t="s">
        <v>1582</v>
      </c>
      <c r="D1825" s="63" t="s">
        <v>261</v>
      </c>
      <c r="E1825" s="63" t="s">
        <v>302</v>
      </c>
      <c r="F1825" s="63" t="s">
        <v>1486</v>
      </c>
      <c r="G1825">
        <v>1</v>
      </c>
      <c r="H1825">
        <v>20</v>
      </c>
      <c r="I1825">
        <v>20</v>
      </c>
      <c r="J1825">
        <v>20</v>
      </c>
      <c r="K1825">
        <v>413.38</v>
      </c>
      <c r="L1825">
        <v>10</v>
      </c>
    </row>
    <row r="1826" spans="1:12">
      <c r="A1826" s="63" t="s">
        <v>701</v>
      </c>
      <c r="B1826" s="63" t="s">
        <v>273</v>
      </c>
      <c r="C1826" s="63" t="s">
        <v>1582</v>
      </c>
      <c r="D1826" s="63" t="s">
        <v>261</v>
      </c>
      <c r="E1826" s="63" t="s">
        <v>302</v>
      </c>
      <c r="F1826" s="63" t="s">
        <v>1640</v>
      </c>
      <c r="G1826">
        <v>1</v>
      </c>
      <c r="H1826">
        <v>20</v>
      </c>
      <c r="I1826">
        <v>20</v>
      </c>
      <c r="J1826">
        <v>20</v>
      </c>
      <c r="K1826">
        <v>413.65</v>
      </c>
      <c r="L1826">
        <v>10</v>
      </c>
    </row>
    <row r="1827" spans="1:12">
      <c r="A1827" s="63" t="s">
        <v>701</v>
      </c>
      <c r="B1827" s="63" t="s">
        <v>273</v>
      </c>
      <c r="C1827" s="63" t="s">
        <v>1582</v>
      </c>
      <c r="D1827" s="63" t="s">
        <v>261</v>
      </c>
      <c r="E1827" s="63" t="s">
        <v>302</v>
      </c>
      <c r="F1827" s="63" t="s">
        <v>2879</v>
      </c>
      <c r="G1827">
        <v>1</v>
      </c>
      <c r="H1827">
        <v>20</v>
      </c>
      <c r="I1827">
        <v>20</v>
      </c>
      <c r="J1827">
        <v>20</v>
      </c>
      <c r="K1827">
        <v>300.5</v>
      </c>
      <c r="L1827">
        <v>10</v>
      </c>
    </row>
    <row r="1828" spans="1:12">
      <c r="A1828" s="63" t="s">
        <v>701</v>
      </c>
      <c r="B1828" s="63" t="s">
        <v>273</v>
      </c>
      <c r="C1828" s="63" t="s">
        <v>1582</v>
      </c>
      <c r="D1828" s="63" t="s">
        <v>261</v>
      </c>
      <c r="E1828" s="63" t="s">
        <v>302</v>
      </c>
      <c r="F1828" s="63" t="s">
        <v>1147</v>
      </c>
      <c r="G1828">
        <v>1</v>
      </c>
      <c r="H1828">
        <v>20</v>
      </c>
      <c r="I1828">
        <v>20</v>
      </c>
      <c r="J1828">
        <v>20</v>
      </c>
      <c r="K1828">
        <v>300.73</v>
      </c>
      <c r="L1828">
        <v>10</v>
      </c>
    </row>
    <row r="1829" spans="1:12">
      <c r="A1829" s="63" t="s">
        <v>701</v>
      </c>
      <c r="B1829" s="63" t="s">
        <v>330</v>
      </c>
      <c r="C1829" s="63" t="s">
        <v>1076</v>
      </c>
      <c r="D1829" s="63" t="s">
        <v>261</v>
      </c>
      <c r="E1829" s="63" t="s">
        <v>302</v>
      </c>
      <c r="F1829" s="63" t="s">
        <v>2880</v>
      </c>
      <c r="G1829">
        <v>1</v>
      </c>
      <c r="H1829">
        <v>20</v>
      </c>
      <c r="I1829">
        <v>20</v>
      </c>
      <c r="J1829">
        <v>20</v>
      </c>
      <c r="K1829">
        <v>798.3</v>
      </c>
      <c r="L1829">
        <v>10</v>
      </c>
    </row>
    <row r="1830" spans="1:12">
      <c r="A1830" s="63" t="s">
        <v>701</v>
      </c>
      <c r="B1830" s="63" t="s">
        <v>330</v>
      </c>
      <c r="C1830" s="63" t="s">
        <v>1076</v>
      </c>
      <c r="D1830" s="63" t="s">
        <v>261</v>
      </c>
      <c r="E1830" s="63" t="s">
        <v>302</v>
      </c>
      <c r="F1830" s="63" t="s">
        <v>2881</v>
      </c>
      <c r="G1830">
        <v>1</v>
      </c>
      <c r="H1830">
        <v>20</v>
      </c>
      <c r="I1830">
        <v>20</v>
      </c>
      <c r="J1830">
        <v>20</v>
      </c>
      <c r="K1830">
        <v>279.87</v>
      </c>
      <c r="L1830">
        <v>10</v>
      </c>
    </row>
    <row r="1831" spans="1:12">
      <c r="A1831" s="63" t="s">
        <v>701</v>
      </c>
      <c r="B1831" s="63" t="s">
        <v>274</v>
      </c>
      <c r="C1831" s="63" t="s">
        <v>275</v>
      </c>
      <c r="D1831" s="63" t="s">
        <v>261</v>
      </c>
      <c r="E1831" s="63" t="s">
        <v>302</v>
      </c>
      <c r="F1831" s="63" t="s">
        <v>2882</v>
      </c>
      <c r="G1831">
        <v>1</v>
      </c>
      <c r="H1831">
        <v>20</v>
      </c>
      <c r="I1831">
        <v>20</v>
      </c>
      <c r="J1831">
        <v>20</v>
      </c>
      <c r="K1831">
        <v>310.95</v>
      </c>
      <c r="L1831">
        <v>10</v>
      </c>
    </row>
    <row r="1832" spans="1:12">
      <c r="A1832" s="63" t="s">
        <v>701</v>
      </c>
      <c r="B1832" s="63" t="s">
        <v>274</v>
      </c>
      <c r="C1832" s="63" t="s">
        <v>275</v>
      </c>
      <c r="D1832" s="63" t="s">
        <v>261</v>
      </c>
      <c r="E1832" s="63" t="s">
        <v>302</v>
      </c>
      <c r="F1832" s="63" t="s">
        <v>2883</v>
      </c>
      <c r="G1832">
        <v>1</v>
      </c>
      <c r="H1832">
        <v>20</v>
      </c>
      <c r="I1832">
        <v>20</v>
      </c>
      <c r="J1832">
        <v>20</v>
      </c>
      <c r="K1832">
        <v>120.25</v>
      </c>
      <c r="L1832">
        <v>0</v>
      </c>
    </row>
    <row r="1833" spans="1:12">
      <c r="A1833" s="63" t="s">
        <v>701</v>
      </c>
      <c r="B1833" s="63" t="s">
        <v>274</v>
      </c>
      <c r="C1833" s="63" t="s">
        <v>275</v>
      </c>
      <c r="D1833" s="63" t="s">
        <v>261</v>
      </c>
      <c r="E1833" s="63" t="s">
        <v>302</v>
      </c>
      <c r="F1833" s="63" t="s">
        <v>2884</v>
      </c>
      <c r="G1833">
        <v>1</v>
      </c>
      <c r="H1833">
        <v>20</v>
      </c>
      <c r="I1833">
        <v>20</v>
      </c>
      <c r="J1833">
        <v>20</v>
      </c>
      <c r="K1833">
        <v>427.78</v>
      </c>
      <c r="L1833">
        <v>10</v>
      </c>
    </row>
    <row r="1834" spans="1:12">
      <c r="A1834" s="63" t="s">
        <v>701</v>
      </c>
      <c r="B1834" s="63" t="s">
        <v>274</v>
      </c>
      <c r="C1834" s="63" t="s">
        <v>275</v>
      </c>
      <c r="D1834" s="63" t="s">
        <v>261</v>
      </c>
      <c r="E1834" s="63" t="s">
        <v>302</v>
      </c>
      <c r="F1834" s="63" t="s">
        <v>2885</v>
      </c>
      <c r="G1834">
        <v>1</v>
      </c>
      <c r="H1834">
        <v>20</v>
      </c>
      <c r="I1834">
        <v>20</v>
      </c>
      <c r="J1834">
        <v>20</v>
      </c>
      <c r="K1834">
        <v>719.63</v>
      </c>
      <c r="L1834">
        <v>10</v>
      </c>
    </row>
    <row r="1835" spans="1:12">
      <c r="A1835" s="63" t="s">
        <v>701</v>
      </c>
      <c r="B1835" s="63" t="s">
        <v>274</v>
      </c>
      <c r="C1835" s="63" t="s">
        <v>275</v>
      </c>
      <c r="D1835" s="63" t="s">
        <v>261</v>
      </c>
      <c r="E1835" s="63" t="s">
        <v>302</v>
      </c>
      <c r="F1835" s="63" t="s">
        <v>2886</v>
      </c>
      <c r="G1835">
        <v>1</v>
      </c>
      <c r="H1835">
        <v>20</v>
      </c>
      <c r="I1835">
        <v>20</v>
      </c>
      <c r="J1835">
        <v>20</v>
      </c>
      <c r="K1835">
        <v>305.45</v>
      </c>
      <c r="L1835">
        <v>10</v>
      </c>
    </row>
    <row r="1836" spans="1:12">
      <c r="A1836" s="63" t="s">
        <v>701</v>
      </c>
      <c r="B1836" s="63" t="s">
        <v>274</v>
      </c>
      <c r="C1836" s="63" t="s">
        <v>275</v>
      </c>
      <c r="D1836" s="63" t="s">
        <v>261</v>
      </c>
      <c r="E1836" s="63" t="s">
        <v>302</v>
      </c>
      <c r="F1836" s="63" t="s">
        <v>2887</v>
      </c>
      <c r="G1836">
        <v>1</v>
      </c>
      <c r="H1836">
        <v>20</v>
      </c>
      <c r="I1836">
        <v>20</v>
      </c>
      <c r="J1836">
        <v>20</v>
      </c>
      <c r="K1836">
        <v>312.02</v>
      </c>
      <c r="L1836">
        <v>10</v>
      </c>
    </row>
    <row r="1837" spans="1:12">
      <c r="A1837" s="63" t="s">
        <v>701</v>
      </c>
      <c r="B1837" s="63" t="s">
        <v>274</v>
      </c>
      <c r="C1837" s="63" t="s">
        <v>275</v>
      </c>
      <c r="D1837" s="63" t="s">
        <v>261</v>
      </c>
      <c r="E1837" s="63" t="s">
        <v>302</v>
      </c>
      <c r="F1837" s="63" t="s">
        <v>2888</v>
      </c>
      <c r="G1837">
        <v>1</v>
      </c>
      <c r="H1837">
        <v>20</v>
      </c>
      <c r="I1837">
        <v>20</v>
      </c>
      <c r="J1837">
        <v>20</v>
      </c>
      <c r="K1837">
        <v>720.48</v>
      </c>
      <c r="L1837">
        <v>10</v>
      </c>
    </row>
    <row r="1838" spans="1:12">
      <c r="A1838" s="63" t="s">
        <v>701</v>
      </c>
      <c r="B1838" s="63" t="s">
        <v>274</v>
      </c>
      <c r="C1838" s="63" t="s">
        <v>275</v>
      </c>
      <c r="D1838" s="63" t="s">
        <v>261</v>
      </c>
      <c r="E1838" s="63" t="s">
        <v>302</v>
      </c>
      <c r="F1838" s="63" t="s">
        <v>2889</v>
      </c>
      <c r="G1838">
        <v>1</v>
      </c>
      <c r="H1838">
        <v>20</v>
      </c>
      <c r="I1838">
        <v>20</v>
      </c>
      <c r="J1838">
        <v>20</v>
      </c>
      <c r="K1838">
        <v>290.10000000000002</v>
      </c>
      <c r="L1838">
        <v>10</v>
      </c>
    </row>
    <row r="1839" spans="1:12">
      <c r="A1839" s="63" t="s">
        <v>701</v>
      </c>
      <c r="B1839" s="63" t="s">
        <v>274</v>
      </c>
      <c r="C1839" s="63" t="s">
        <v>275</v>
      </c>
      <c r="D1839" s="63" t="s">
        <v>261</v>
      </c>
      <c r="E1839" s="63" t="s">
        <v>302</v>
      </c>
      <c r="F1839" s="63" t="s">
        <v>2890</v>
      </c>
      <c r="G1839">
        <v>1</v>
      </c>
      <c r="H1839">
        <v>20</v>
      </c>
      <c r="I1839">
        <v>20</v>
      </c>
      <c r="J1839">
        <v>20</v>
      </c>
      <c r="K1839">
        <v>428.9</v>
      </c>
      <c r="L1839">
        <v>10</v>
      </c>
    </row>
    <row r="1840" spans="1:12">
      <c r="A1840" s="63" t="s">
        <v>701</v>
      </c>
      <c r="B1840" s="63" t="s">
        <v>274</v>
      </c>
      <c r="C1840" s="63" t="s">
        <v>275</v>
      </c>
      <c r="D1840" s="63" t="s">
        <v>261</v>
      </c>
      <c r="E1840" s="63" t="s">
        <v>302</v>
      </c>
      <c r="F1840" s="63" t="s">
        <v>2891</v>
      </c>
      <c r="G1840">
        <v>1</v>
      </c>
      <c r="H1840">
        <v>20</v>
      </c>
      <c r="I1840">
        <v>20</v>
      </c>
      <c r="J1840">
        <v>20</v>
      </c>
      <c r="K1840">
        <v>290.38</v>
      </c>
      <c r="L1840">
        <v>10</v>
      </c>
    </row>
    <row r="1841" spans="1:12">
      <c r="A1841" s="63" t="s">
        <v>701</v>
      </c>
      <c r="B1841" s="63" t="s">
        <v>274</v>
      </c>
      <c r="C1841" s="63" t="s">
        <v>275</v>
      </c>
      <c r="D1841" s="63" t="s">
        <v>261</v>
      </c>
      <c r="E1841" s="63" t="s">
        <v>302</v>
      </c>
      <c r="F1841" s="63" t="s">
        <v>2892</v>
      </c>
      <c r="G1841">
        <v>1</v>
      </c>
      <c r="H1841">
        <v>20</v>
      </c>
      <c r="I1841">
        <v>20</v>
      </c>
      <c r="J1841">
        <v>20</v>
      </c>
      <c r="K1841">
        <v>306</v>
      </c>
      <c r="L1841">
        <v>10</v>
      </c>
    </row>
    <row r="1842" spans="1:12">
      <c r="A1842" s="63" t="s">
        <v>701</v>
      </c>
      <c r="B1842" s="63" t="s">
        <v>274</v>
      </c>
      <c r="C1842" s="63" t="s">
        <v>275</v>
      </c>
      <c r="D1842" s="63" t="s">
        <v>261</v>
      </c>
      <c r="E1842" s="63" t="s">
        <v>302</v>
      </c>
      <c r="F1842" s="63" t="s">
        <v>2893</v>
      </c>
      <c r="G1842">
        <v>1</v>
      </c>
      <c r="H1842">
        <v>20</v>
      </c>
      <c r="I1842">
        <v>20</v>
      </c>
      <c r="J1842">
        <v>20</v>
      </c>
      <c r="K1842">
        <v>289.82</v>
      </c>
      <c r="L1842">
        <v>10</v>
      </c>
    </row>
    <row r="1843" spans="1:12">
      <c r="A1843" s="63" t="s">
        <v>701</v>
      </c>
      <c r="B1843" s="63" t="s">
        <v>274</v>
      </c>
      <c r="C1843" s="63" t="s">
        <v>275</v>
      </c>
      <c r="D1843" s="63" t="s">
        <v>261</v>
      </c>
      <c r="E1843" s="63" t="s">
        <v>302</v>
      </c>
      <c r="F1843" s="63" t="s">
        <v>1773</v>
      </c>
      <c r="G1843">
        <v>1</v>
      </c>
      <c r="H1843">
        <v>20</v>
      </c>
      <c r="I1843">
        <v>20</v>
      </c>
      <c r="J1843">
        <v>20</v>
      </c>
      <c r="K1843">
        <v>305.73</v>
      </c>
      <c r="L1843">
        <v>10</v>
      </c>
    </row>
    <row r="1844" spans="1:12">
      <c r="A1844" s="63" t="s">
        <v>701</v>
      </c>
      <c r="B1844" s="63" t="s">
        <v>274</v>
      </c>
      <c r="C1844" s="63" t="s">
        <v>275</v>
      </c>
      <c r="D1844" s="63" t="s">
        <v>261</v>
      </c>
      <c r="E1844" s="63" t="s">
        <v>302</v>
      </c>
      <c r="F1844" s="63" t="s">
        <v>1579</v>
      </c>
      <c r="G1844">
        <v>1</v>
      </c>
      <c r="H1844">
        <v>20</v>
      </c>
      <c r="I1844">
        <v>20</v>
      </c>
      <c r="J1844">
        <v>20</v>
      </c>
      <c r="K1844">
        <v>119.98</v>
      </c>
      <c r="L1844">
        <v>0</v>
      </c>
    </row>
    <row r="1845" spans="1:12">
      <c r="A1845" s="63" t="s">
        <v>701</v>
      </c>
      <c r="B1845" s="63" t="s">
        <v>274</v>
      </c>
      <c r="C1845" s="63" t="s">
        <v>275</v>
      </c>
      <c r="D1845" s="63" t="s">
        <v>261</v>
      </c>
      <c r="E1845" s="63" t="s">
        <v>302</v>
      </c>
      <c r="F1845" s="63" t="s">
        <v>2894</v>
      </c>
      <c r="G1845">
        <v>1</v>
      </c>
      <c r="H1845">
        <v>20</v>
      </c>
      <c r="I1845">
        <v>20</v>
      </c>
      <c r="J1845">
        <v>20</v>
      </c>
      <c r="K1845">
        <v>311.35000000000002</v>
      </c>
      <c r="L1845">
        <v>10</v>
      </c>
    </row>
    <row r="1846" spans="1:12">
      <c r="A1846" s="63" t="s">
        <v>701</v>
      </c>
      <c r="B1846" s="63" t="s">
        <v>274</v>
      </c>
      <c r="C1846" s="63" t="s">
        <v>275</v>
      </c>
      <c r="D1846" s="63" t="s">
        <v>261</v>
      </c>
      <c r="E1846" s="63" t="s">
        <v>302</v>
      </c>
      <c r="F1846" s="63" t="s">
        <v>1752</v>
      </c>
      <c r="G1846">
        <v>1</v>
      </c>
      <c r="H1846">
        <v>20</v>
      </c>
      <c r="I1846">
        <v>20</v>
      </c>
      <c r="J1846">
        <v>20</v>
      </c>
      <c r="K1846">
        <v>120.53</v>
      </c>
      <c r="L1846">
        <v>0</v>
      </c>
    </row>
    <row r="1847" spans="1:12">
      <c r="A1847" s="63" t="s">
        <v>701</v>
      </c>
      <c r="B1847" s="63" t="s">
        <v>274</v>
      </c>
      <c r="C1847" s="63" t="s">
        <v>275</v>
      </c>
      <c r="D1847" s="63" t="s">
        <v>261</v>
      </c>
      <c r="E1847" s="63" t="s">
        <v>302</v>
      </c>
      <c r="F1847" s="63" t="s">
        <v>2895</v>
      </c>
      <c r="G1847">
        <v>1</v>
      </c>
      <c r="H1847">
        <v>20</v>
      </c>
      <c r="I1847">
        <v>20</v>
      </c>
      <c r="J1847">
        <v>20</v>
      </c>
      <c r="K1847">
        <v>310.55</v>
      </c>
      <c r="L1847">
        <v>10</v>
      </c>
    </row>
    <row r="1848" spans="1:12">
      <c r="A1848" s="63" t="s">
        <v>701</v>
      </c>
      <c r="B1848" s="63" t="s">
        <v>274</v>
      </c>
      <c r="C1848" s="63" t="s">
        <v>275</v>
      </c>
      <c r="D1848" s="63" t="s">
        <v>261</v>
      </c>
      <c r="E1848" s="63" t="s">
        <v>302</v>
      </c>
      <c r="F1848" s="63" t="s">
        <v>2896</v>
      </c>
      <c r="G1848">
        <v>1</v>
      </c>
      <c r="H1848">
        <v>20</v>
      </c>
      <c r="I1848">
        <v>20</v>
      </c>
      <c r="J1848">
        <v>20</v>
      </c>
      <c r="K1848">
        <v>305.02</v>
      </c>
      <c r="L1848">
        <v>10</v>
      </c>
    </row>
    <row r="1849" spans="1:12">
      <c r="A1849" s="63" t="s">
        <v>701</v>
      </c>
      <c r="B1849" s="63" t="s">
        <v>274</v>
      </c>
      <c r="C1849" s="63" t="s">
        <v>275</v>
      </c>
      <c r="D1849" s="63" t="s">
        <v>261</v>
      </c>
      <c r="E1849" s="63" t="s">
        <v>302</v>
      </c>
      <c r="F1849" s="63" t="s">
        <v>2897</v>
      </c>
      <c r="G1849">
        <v>1</v>
      </c>
      <c r="H1849">
        <v>20</v>
      </c>
      <c r="I1849">
        <v>20</v>
      </c>
      <c r="J1849">
        <v>20</v>
      </c>
      <c r="K1849">
        <v>270.07</v>
      </c>
      <c r="L1849">
        <v>10</v>
      </c>
    </row>
    <row r="1850" spans="1:12">
      <c r="A1850" s="63" t="s">
        <v>2898</v>
      </c>
      <c r="B1850" s="63" t="s">
        <v>334</v>
      </c>
      <c r="C1850" s="63" t="s">
        <v>1071</v>
      </c>
      <c r="D1850" s="63" t="s">
        <v>59</v>
      </c>
      <c r="E1850" s="63" t="s">
        <v>174</v>
      </c>
      <c r="F1850" s="63" t="s">
        <v>669</v>
      </c>
      <c r="G1850">
        <v>1</v>
      </c>
      <c r="H1850">
        <v>59</v>
      </c>
      <c r="I1850">
        <v>354</v>
      </c>
      <c r="J1850">
        <v>354</v>
      </c>
      <c r="K1850">
        <v>45.05</v>
      </c>
      <c r="L1850">
        <v>5</v>
      </c>
    </row>
    <row r="1851" spans="1:12">
      <c r="A1851" s="63" t="s">
        <v>76</v>
      </c>
      <c r="G1851">
        <v>1849</v>
      </c>
      <c r="H1851">
        <v>70238</v>
      </c>
      <c r="I1851">
        <v>671869</v>
      </c>
      <c r="J1851">
        <v>2156956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Sheet14"/>
  <dimension ref="A1:AL28"/>
  <sheetViews>
    <sheetView workbookViewId="0">
      <selection activeCell="A27" sqref="A27:AL500"/>
    </sheetView>
  </sheetViews>
  <sheetFormatPr defaultRowHeight="16.5"/>
  <sheetData>
    <row r="1" spans="1:38">
      <c r="A1" s="63" t="s">
        <v>1862</v>
      </c>
      <c r="B1" s="63" t="s">
        <v>2203</v>
      </c>
      <c r="C1">
        <v>0.8</v>
      </c>
      <c r="D1" s="63" t="s">
        <v>1040</v>
      </c>
      <c r="F1" s="63" t="s">
        <v>1930</v>
      </c>
      <c r="G1">
        <v>2</v>
      </c>
      <c r="J1" s="63" t="s">
        <v>178</v>
      </c>
      <c r="L1" s="63" t="s">
        <v>1041</v>
      </c>
      <c r="M1">
        <v>103</v>
      </c>
      <c r="O1" s="63" t="s">
        <v>178</v>
      </c>
      <c r="Q1" s="63" t="s">
        <v>1041</v>
      </c>
      <c r="R1">
        <v>21601</v>
      </c>
      <c r="Y1">
        <v>0</v>
      </c>
      <c r="Z1">
        <v>0</v>
      </c>
      <c r="AA1" s="206">
        <v>44151</v>
      </c>
      <c r="AB1" s="207">
        <v>0.31347222222222221</v>
      </c>
      <c r="AC1" s="206">
        <v>44151</v>
      </c>
      <c r="AD1" s="207">
        <v>0.3134837962962963</v>
      </c>
      <c r="AE1" s="206">
        <v>44151</v>
      </c>
      <c r="AF1" s="207">
        <v>0.3134837962962963</v>
      </c>
      <c r="AG1" s="206">
        <v>44151</v>
      </c>
      <c r="AH1" s="207">
        <v>0.31381944444444443</v>
      </c>
      <c r="AI1" s="206">
        <v>44151</v>
      </c>
      <c r="AJ1" s="207">
        <v>0.31402777777777779</v>
      </c>
      <c r="AK1" s="63" t="s">
        <v>1042</v>
      </c>
      <c r="AL1">
        <v>4</v>
      </c>
    </row>
    <row r="2" spans="1:38">
      <c r="A2" s="63" t="s">
        <v>2204</v>
      </c>
      <c r="B2" s="63" t="s">
        <v>2205</v>
      </c>
      <c r="C2">
        <v>0.97</v>
      </c>
      <c r="D2" s="63" t="s">
        <v>1040</v>
      </c>
      <c r="F2" s="63" t="s">
        <v>2206</v>
      </c>
      <c r="G2">
        <v>1</v>
      </c>
      <c r="J2" s="63" t="s">
        <v>178</v>
      </c>
      <c r="L2" s="63" t="s">
        <v>1204</v>
      </c>
      <c r="M2">
        <v>103</v>
      </c>
      <c r="O2" s="63" t="s">
        <v>178</v>
      </c>
      <c r="Q2" s="63" t="s">
        <v>1204</v>
      </c>
      <c r="R2">
        <v>22601</v>
      </c>
      <c r="Y2">
        <v>0</v>
      </c>
      <c r="Z2">
        <v>0</v>
      </c>
      <c r="AA2" s="206">
        <v>44151</v>
      </c>
      <c r="AB2" s="207">
        <v>0.32012731481481482</v>
      </c>
      <c r="AC2" s="206">
        <v>44151</v>
      </c>
      <c r="AD2" s="207">
        <v>0.32013888888888892</v>
      </c>
      <c r="AE2" s="206">
        <v>44151</v>
      </c>
      <c r="AF2" s="207">
        <v>0.32013888888888892</v>
      </c>
      <c r="AG2" s="206">
        <v>44151</v>
      </c>
      <c r="AH2" s="207">
        <v>0.32047453703703704</v>
      </c>
      <c r="AI2" s="206">
        <v>44151</v>
      </c>
      <c r="AJ2" s="207">
        <v>0.32079861111111113</v>
      </c>
      <c r="AK2" s="63" t="s">
        <v>1042</v>
      </c>
      <c r="AL2">
        <v>4</v>
      </c>
    </row>
    <row r="3" spans="1:38">
      <c r="A3" s="63" t="s">
        <v>2207</v>
      </c>
      <c r="B3" s="63" t="s">
        <v>2208</v>
      </c>
      <c r="C3">
        <v>1.37</v>
      </c>
      <c r="D3" s="63" t="s">
        <v>1040</v>
      </c>
      <c r="F3" s="63" t="s">
        <v>1930</v>
      </c>
      <c r="G3">
        <v>2</v>
      </c>
      <c r="J3" s="63" t="s">
        <v>178</v>
      </c>
      <c r="L3" s="63" t="s">
        <v>1041</v>
      </c>
      <c r="M3">
        <v>103</v>
      </c>
      <c r="O3" s="63" t="s">
        <v>178</v>
      </c>
      <c r="Q3" s="63" t="s">
        <v>1041</v>
      </c>
      <c r="R3">
        <v>11501</v>
      </c>
      <c r="S3" s="63" t="s">
        <v>2209</v>
      </c>
      <c r="T3" s="63" t="s">
        <v>2210</v>
      </c>
      <c r="U3" s="63" t="s">
        <v>2211</v>
      </c>
      <c r="V3">
        <v>0</v>
      </c>
      <c r="W3">
        <v>2100</v>
      </c>
      <c r="X3">
        <v>2100</v>
      </c>
      <c r="Y3">
        <v>60</v>
      </c>
      <c r="Z3">
        <v>107</v>
      </c>
      <c r="AA3" s="206">
        <v>44151</v>
      </c>
      <c r="AB3" s="207">
        <v>0.32233796296296297</v>
      </c>
      <c r="AC3" s="206">
        <v>44151</v>
      </c>
      <c r="AD3" s="207">
        <v>0.322349537037037</v>
      </c>
      <c r="AE3" s="206">
        <v>44151</v>
      </c>
      <c r="AF3" s="207">
        <v>0.322349537037037</v>
      </c>
      <c r="AG3" s="206">
        <v>44151</v>
      </c>
      <c r="AH3" s="207">
        <v>0.3230555555555556</v>
      </c>
      <c r="AI3" s="206">
        <v>44151</v>
      </c>
      <c r="AJ3" s="207">
        <v>0.32328703703703704</v>
      </c>
      <c r="AK3" s="63" t="s">
        <v>1042</v>
      </c>
      <c r="AL3">
        <v>4</v>
      </c>
    </row>
    <row r="4" spans="1:38">
      <c r="A4" s="63" t="s">
        <v>1929</v>
      </c>
      <c r="B4" s="63" t="s">
        <v>2212</v>
      </c>
      <c r="C4">
        <v>1.27</v>
      </c>
      <c r="D4" s="63" t="s">
        <v>1040</v>
      </c>
      <c r="F4" s="63" t="s">
        <v>2206</v>
      </c>
      <c r="G4">
        <v>2</v>
      </c>
      <c r="J4" s="63" t="s">
        <v>178</v>
      </c>
      <c r="L4" s="63" t="s">
        <v>1204</v>
      </c>
      <c r="M4">
        <v>103</v>
      </c>
      <c r="O4" s="63" t="s">
        <v>178</v>
      </c>
      <c r="Q4" s="63" t="s">
        <v>1204</v>
      </c>
      <c r="R4">
        <v>13802</v>
      </c>
      <c r="Y4">
        <v>0</v>
      </c>
      <c r="Z4">
        <v>0</v>
      </c>
      <c r="AA4" s="206">
        <v>44151</v>
      </c>
      <c r="AB4" s="207">
        <v>0.33857638888888886</v>
      </c>
      <c r="AC4" s="206">
        <v>44151</v>
      </c>
      <c r="AD4" s="207">
        <v>0.33858796296296295</v>
      </c>
      <c r="AE4" s="206">
        <v>44151</v>
      </c>
      <c r="AF4" s="207">
        <v>0.33858796296296295</v>
      </c>
      <c r="AG4" s="206">
        <v>44151</v>
      </c>
      <c r="AH4" s="207">
        <v>0.33922453703703703</v>
      </c>
      <c r="AI4" s="206">
        <v>44151</v>
      </c>
      <c r="AJ4" s="207">
        <v>0.33945601851851853</v>
      </c>
      <c r="AK4" s="63" t="s">
        <v>1042</v>
      </c>
      <c r="AL4">
        <v>4</v>
      </c>
    </row>
    <row r="5" spans="1:38">
      <c r="A5" s="63" t="s">
        <v>2213</v>
      </c>
      <c r="B5" s="63" t="s">
        <v>2214</v>
      </c>
      <c r="C5">
        <v>3.95</v>
      </c>
      <c r="D5" s="63" t="s">
        <v>1040</v>
      </c>
      <c r="F5" s="63" t="s">
        <v>1085</v>
      </c>
      <c r="G5">
        <v>1</v>
      </c>
      <c r="J5" s="63" t="s">
        <v>255</v>
      </c>
      <c r="L5" s="63" t="s">
        <v>1086</v>
      </c>
      <c r="M5">
        <v>103</v>
      </c>
      <c r="O5" s="63" t="s">
        <v>255</v>
      </c>
      <c r="Q5" s="63" t="s">
        <v>1086</v>
      </c>
      <c r="R5">
        <v>20503</v>
      </c>
      <c r="Y5">
        <v>0</v>
      </c>
      <c r="Z5">
        <v>0</v>
      </c>
      <c r="AA5" s="206">
        <v>44151</v>
      </c>
      <c r="AB5" s="207">
        <v>0.34314814814814815</v>
      </c>
      <c r="AC5" s="206">
        <v>44151</v>
      </c>
      <c r="AD5" s="207">
        <v>0.34385416666666663</v>
      </c>
      <c r="AE5" s="206">
        <v>44151</v>
      </c>
      <c r="AF5" s="207">
        <v>0.34385416666666663</v>
      </c>
      <c r="AG5" s="206">
        <v>44151</v>
      </c>
      <c r="AH5" s="207">
        <v>0.34435185185185185</v>
      </c>
      <c r="AI5" s="206">
        <v>44151</v>
      </c>
      <c r="AJ5" s="207">
        <v>0.34589120370370369</v>
      </c>
      <c r="AK5" s="63" t="s">
        <v>1042</v>
      </c>
      <c r="AL5">
        <v>0</v>
      </c>
    </row>
    <row r="6" spans="1:38">
      <c r="A6" s="63" t="s">
        <v>2215</v>
      </c>
      <c r="B6" s="63" t="s">
        <v>2216</v>
      </c>
      <c r="C6">
        <v>0.93</v>
      </c>
      <c r="D6" s="63" t="s">
        <v>1040</v>
      </c>
      <c r="F6" s="63" t="s">
        <v>2206</v>
      </c>
      <c r="G6">
        <v>2</v>
      </c>
      <c r="J6" s="63" t="s">
        <v>178</v>
      </c>
      <c r="L6" s="63" t="s">
        <v>1204</v>
      </c>
      <c r="M6">
        <v>103</v>
      </c>
      <c r="O6" s="63" t="s">
        <v>178</v>
      </c>
      <c r="Q6" s="63" t="s">
        <v>1204</v>
      </c>
      <c r="R6">
        <v>13802</v>
      </c>
      <c r="S6" s="63" t="s">
        <v>2217</v>
      </c>
      <c r="T6" s="63" t="s">
        <v>2218</v>
      </c>
      <c r="U6" s="63" t="s">
        <v>2219</v>
      </c>
      <c r="V6">
        <v>0</v>
      </c>
      <c r="W6">
        <v>2100</v>
      </c>
      <c r="X6">
        <v>2100</v>
      </c>
      <c r="Y6">
        <v>60</v>
      </c>
      <c r="Z6">
        <v>718</v>
      </c>
      <c r="AA6" s="206">
        <v>44151</v>
      </c>
      <c r="AB6" s="207">
        <v>0.34357638888888892</v>
      </c>
      <c r="AC6" s="206">
        <v>44151</v>
      </c>
      <c r="AD6" s="207">
        <v>0.34357638888888892</v>
      </c>
      <c r="AE6" s="206">
        <v>44151</v>
      </c>
      <c r="AF6" s="207">
        <v>0.34357638888888892</v>
      </c>
      <c r="AG6" s="206">
        <v>44151</v>
      </c>
      <c r="AH6" s="207">
        <v>0.34399305555555554</v>
      </c>
      <c r="AI6" s="206">
        <v>44151</v>
      </c>
      <c r="AJ6" s="207">
        <v>0.34422453703703698</v>
      </c>
      <c r="AK6" s="63" t="s">
        <v>1042</v>
      </c>
      <c r="AL6">
        <v>4</v>
      </c>
    </row>
    <row r="7" spans="1:38">
      <c r="A7" s="63" t="s">
        <v>2220</v>
      </c>
      <c r="B7" s="63" t="s">
        <v>2221</v>
      </c>
      <c r="C7">
        <v>1.07</v>
      </c>
      <c r="D7" s="63" t="s">
        <v>1040</v>
      </c>
      <c r="F7" s="63" t="s">
        <v>2206</v>
      </c>
      <c r="G7">
        <v>1</v>
      </c>
      <c r="J7" s="63" t="s">
        <v>178</v>
      </c>
      <c r="L7" s="63" t="s">
        <v>1204</v>
      </c>
      <c r="M7">
        <v>103</v>
      </c>
      <c r="O7" s="63" t="s">
        <v>178</v>
      </c>
      <c r="Q7" s="63" t="s">
        <v>1204</v>
      </c>
      <c r="R7">
        <v>23503</v>
      </c>
      <c r="Y7">
        <v>0</v>
      </c>
      <c r="Z7">
        <v>0</v>
      </c>
      <c r="AA7" s="206">
        <v>44151</v>
      </c>
      <c r="AB7" s="207">
        <v>0.35712962962962963</v>
      </c>
      <c r="AC7" s="206">
        <v>44151</v>
      </c>
      <c r="AD7" s="207">
        <v>0.35714120370370367</v>
      </c>
      <c r="AE7" s="206">
        <v>44151</v>
      </c>
      <c r="AF7" s="207">
        <v>0.35714120370370367</v>
      </c>
      <c r="AG7" s="206">
        <v>44151</v>
      </c>
      <c r="AH7" s="207">
        <v>0.3576273148148148</v>
      </c>
      <c r="AI7" s="206">
        <v>44151</v>
      </c>
      <c r="AJ7" s="207">
        <v>0.35787037037037034</v>
      </c>
      <c r="AK7" s="63" t="s">
        <v>1042</v>
      </c>
      <c r="AL7">
        <v>4</v>
      </c>
    </row>
    <row r="8" spans="1:38">
      <c r="A8" s="63" t="s">
        <v>2222</v>
      </c>
      <c r="B8" s="63" t="s">
        <v>2223</v>
      </c>
      <c r="C8">
        <v>2.7</v>
      </c>
      <c r="D8" s="63" t="s">
        <v>1040</v>
      </c>
      <c r="F8" s="63" t="s">
        <v>1085</v>
      </c>
      <c r="G8">
        <v>2</v>
      </c>
      <c r="J8" s="63" t="s">
        <v>255</v>
      </c>
      <c r="L8" s="63" t="s">
        <v>1086</v>
      </c>
      <c r="M8">
        <v>103</v>
      </c>
      <c r="O8" s="63" t="s">
        <v>255</v>
      </c>
      <c r="Q8" s="63" t="s">
        <v>1086</v>
      </c>
      <c r="R8">
        <v>10302</v>
      </c>
      <c r="Y8">
        <v>0</v>
      </c>
      <c r="Z8">
        <v>0</v>
      </c>
      <c r="AA8" s="206">
        <v>44151</v>
      </c>
      <c r="AB8" s="207">
        <v>0.36241898148148149</v>
      </c>
      <c r="AC8" s="206">
        <v>44151</v>
      </c>
      <c r="AD8" s="207">
        <v>0.36244212962962963</v>
      </c>
      <c r="AE8" s="206">
        <v>44151</v>
      </c>
      <c r="AF8" s="207">
        <v>0.36244212962962963</v>
      </c>
      <c r="AG8" s="206">
        <v>44151</v>
      </c>
      <c r="AH8" s="207">
        <v>0.36290509259259257</v>
      </c>
      <c r="AI8" s="206">
        <v>44151</v>
      </c>
      <c r="AJ8" s="207">
        <v>0.36429398148148145</v>
      </c>
      <c r="AK8" s="63" t="s">
        <v>1042</v>
      </c>
      <c r="AL8">
        <v>0</v>
      </c>
    </row>
    <row r="9" spans="1:38">
      <c r="A9" s="63" t="s">
        <v>2127</v>
      </c>
      <c r="B9" s="63" t="s">
        <v>2224</v>
      </c>
      <c r="C9">
        <v>1.83</v>
      </c>
      <c r="D9" s="63" t="s">
        <v>1040</v>
      </c>
      <c r="F9" s="63" t="s">
        <v>1303</v>
      </c>
      <c r="G9">
        <v>1</v>
      </c>
      <c r="J9" s="63" t="s">
        <v>178</v>
      </c>
      <c r="L9" s="63" t="s">
        <v>1204</v>
      </c>
      <c r="M9">
        <v>103</v>
      </c>
      <c r="O9" s="63" t="s">
        <v>178</v>
      </c>
      <c r="Q9" s="63" t="s">
        <v>1204</v>
      </c>
      <c r="R9">
        <v>22803</v>
      </c>
      <c r="S9" s="63" t="s">
        <v>2225</v>
      </c>
      <c r="T9" s="63" t="s">
        <v>2226</v>
      </c>
      <c r="U9" s="63" t="s">
        <v>1556</v>
      </c>
      <c r="V9">
        <v>0</v>
      </c>
      <c r="W9">
        <v>2100</v>
      </c>
      <c r="X9">
        <v>2100</v>
      </c>
      <c r="Y9">
        <v>53</v>
      </c>
      <c r="Z9">
        <v>953</v>
      </c>
      <c r="AA9" s="206">
        <v>44151</v>
      </c>
      <c r="AB9" s="207">
        <v>0.3732638888888889</v>
      </c>
      <c r="AC9" s="206">
        <v>44151</v>
      </c>
      <c r="AD9" s="207">
        <v>0.3732638888888889</v>
      </c>
      <c r="AE9" s="206">
        <v>44151</v>
      </c>
      <c r="AF9" s="207">
        <v>0.3732638888888889</v>
      </c>
      <c r="AG9" s="206">
        <v>44151</v>
      </c>
      <c r="AH9" s="207">
        <v>0.37417824074074074</v>
      </c>
      <c r="AI9" s="206">
        <v>44151</v>
      </c>
      <c r="AJ9" s="207">
        <v>0.37453703703703706</v>
      </c>
      <c r="AK9" s="63" t="s">
        <v>1042</v>
      </c>
      <c r="AL9">
        <v>4</v>
      </c>
    </row>
    <row r="10" spans="1:38">
      <c r="A10" s="63" t="s">
        <v>2227</v>
      </c>
      <c r="B10" s="63" t="s">
        <v>2228</v>
      </c>
      <c r="C10">
        <v>1.83</v>
      </c>
      <c r="D10" s="63" t="s">
        <v>1040</v>
      </c>
      <c r="F10" s="63" t="s">
        <v>1561</v>
      </c>
      <c r="G10">
        <v>2</v>
      </c>
      <c r="J10" s="63" t="s">
        <v>1567</v>
      </c>
      <c r="L10" s="63" t="s">
        <v>1568</v>
      </c>
      <c r="M10">
        <v>103</v>
      </c>
      <c r="O10" s="63" t="s">
        <v>1567</v>
      </c>
      <c r="Q10" s="63" t="s">
        <v>1568</v>
      </c>
      <c r="R10">
        <v>20502</v>
      </c>
      <c r="S10" s="63" t="s">
        <v>2225</v>
      </c>
      <c r="T10" s="63" t="s">
        <v>2226</v>
      </c>
      <c r="U10" s="63" t="s">
        <v>2229</v>
      </c>
      <c r="V10">
        <v>0</v>
      </c>
      <c r="W10">
        <v>2000</v>
      </c>
      <c r="X10">
        <v>2000</v>
      </c>
      <c r="Y10">
        <v>60</v>
      </c>
      <c r="Z10">
        <v>107</v>
      </c>
      <c r="AA10" s="206">
        <v>44151</v>
      </c>
      <c r="AB10" s="207">
        <v>0.4059490740740741</v>
      </c>
      <c r="AC10" s="206">
        <v>44151</v>
      </c>
      <c r="AD10" s="207">
        <v>0.40629629629629632</v>
      </c>
      <c r="AE10" s="206">
        <v>44151</v>
      </c>
      <c r="AF10" s="207">
        <v>0.40629629629629632</v>
      </c>
      <c r="AG10" s="206">
        <v>44151</v>
      </c>
      <c r="AH10" s="207">
        <v>0.4070023148148148</v>
      </c>
      <c r="AI10" s="206">
        <v>44151</v>
      </c>
      <c r="AJ10" s="207">
        <v>0.40722222222222221</v>
      </c>
      <c r="AK10" s="63" t="s">
        <v>1042</v>
      </c>
      <c r="AL10">
        <v>5</v>
      </c>
    </row>
    <row r="11" spans="1:38">
      <c r="A11" s="63" t="s">
        <v>2230</v>
      </c>
      <c r="B11" s="63" t="s">
        <v>2231</v>
      </c>
      <c r="C11">
        <v>1.02</v>
      </c>
      <c r="D11" s="63" t="s">
        <v>1040</v>
      </c>
      <c r="F11" s="63" t="s">
        <v>1930</v>
      </c>
      <c r="G11">
        <v>1</v>
      </c>
      <c r="J11" s="63" t="s">
        <v>178</v>
      </c>
      <c r="L11" s="63" t="s">
        <v>1041</v>
      </c>
      <c r="M11">
        <v>103</v>
      </c>
      <c r="O11" s="63" t="s">
        <v>178</v>
      </c>
      <c r="Q11" s="63" t="s">
        <v>1041</v>
      </c>
      <c r="R11">
        <v>10402</v>
      </c>
      <c r="Y11">
        <v>0</v>
      </c>
      <c r="Z11">
        <v>0</v>
      </c>
      <c r="AA11" s="206">
        <v>44151</v>
      </c>
      <c r="AB11" s="207">
        <v>0.40857638888888892</v>
      </c>
      <c r="AC11" s="206">
        <v>44151</v>
      </c>
      <c r="AD11" s="207">
        <v>0.40857638888888892</v>
      </c>
      <c r="AE11" s="206">
        <v>44151</v>
      </c>
      <c r="AF11" s="207">
        <v>0.40857638888888892</v>
      </c>
      <c r="AG11" s="206">
        <v>44151</v>
      </c>
      <c r="AH11" s="207">
        <v>0.40898148148148145</v>
      </c>
      <c r="AI11" s="206">
        <v>44151</v>
      </c>
      <c r="AJ11" s="207">
        <v>0.40928240740740746</v>
      </c>
      <c r="AK11" s="63" t="s">
        <v>1042</v>
      </c>
      <c r="AL11">
        <v>4</v>
      </c>
    </row>
    <row r="12" spans="1:38">
      <c r="A12" s="63" t="s">
        <v>2232</v>
      </c>
      <c r="B12" s="63" t="s">
        <v>2233</v>
      </c>
      <c r="C12">
        <v>1.33</v>
      </c>
      <c r="D12" s="63" t="s">
        <v>1040</v>
      </c>
      <c r="F12" s="63" t="s">
        <v>1560</v>
      </c>
      <c r="G12">
        <v>2</v>
      </c>
      <c r="J12" s="63" t="s">
        <v>178</v>
      </c>
      <c r="L12" s="63" t="s">
        <v>1204</v>
      </c>
      <c r="M12">
        <v>103</v>
      </c>
      <c r="O12" s="63" t="s">
        <v>178</v>
      </c>
      <c r="Q12" s="63" t="s">
        <v>1204</v>
      </c>
      <c r="R12">
        <v>23903</v>
      </c>
      <c r="Y12">
        <v>0</v>
      </c>
      <c r="Z12">
        <v>0</v>
      </c>
      <c r="AA12" s="206">
        <v>44151</v>
      </c>
      <c r="AB12" s="207">
        <v>0.41230324074074076</v>
      </c>
      <c r="AC12" s="206">
        <v>44151</v>
      </c>
      <c r="AD12" s="207">
        <v>0.41266203703703702</v>
      </c>
      <c r="AE12" s="206">
        <v>44151</v>
      </c>
      <c r="AF12" s="207">
        <v>0.41266203703703702</v>
      </c>
      <c r="AG12" s="206">
        <v>44151</v>
      </c>
      <c r="AH12" s="207">
        <v>0.41299768518518515</v>
      </c>
      <c r="AI12" s="206">
        <v>44151</v>
      </c>
      <c r="AJ12" s="207">
        <v>0.4132291666666667</v>
      </c>
      <c r="AK12" s="63" t="s">
        <v>1042</v>
      </c>
      <c r="AL12">
        <v>4</v>
      </c>
    </row>
    <row r="13" spans="1:38">
      <c r="A13" s="63" t="s">
        <v>1875</v>
      </c>
      <c r="B13" s="63" t="s">
        <v>2234</v>
      </c>
      <c r="C13">
        <v>0.78</v>
      </c>
      <c r="D13" s="63" t="s">
        <v>1040</v>
      </c>
      <c r="F13" s="63" t="s">
        <v>1557</v>
      </c>
      <c r="G13">
        <v>2</v>
      </c>
      <c r="J13" s="63" t="s">
        <v>1567</v>
      </c>
      <c r="L13" s="63" t="s">
        <v>1568</v>
      </c>
      <c r="M13">
        <v>103</v>
      </c>
      <c r="O13" s="63" t="s">
        <v>1567</v>
      </c>
      <c r="Q13" s="63" t="s">
        <v>1568</v>
      </c>
      <c r="R13">
        <v>10201</v>
      </c>
      <c r="S13" s="63" t="s">
        <v>2225</v>
      </c>
      <c r="T13" s="63" t="s">
        <v>2226</v>
      </c>
      <c r="U13" s="63" t="s">
        <v>2229</v>
      </c>
      <c r="V13">
        <v>0</v>
      </c>
      <c r="W13">
        <v>2000</v>
      </c>
      <c r="X13">
        <v>2000</v>
      </c>
      <c r="Y13">
        <v>60</v>
      </c>
      <c r="Z13">
        <v>107</v>
      </c>
      <c r="AA13" s="206">
        <v>44151</v>
      </c>
      <c r="AB13" s="207">
        <v>0.41502314814814811</v>
      </c>
      <c r="AC13" s="206">
        <v>44151</v>
      </c>
      <c r="AD13" s="207">
        <v>0.41502314814814811</v>
      </c>
      <c r="AE13" s="206">
        <v>44151</v>
      </c>
      <c r="AF13" s="207">
        <v>0.41502314814814811</v>
      </c>
      <c r="AG13" s="206">
        <v>44151</v>
      </c>
      <c r="AH13" s="207">
        <v>0.4153587962962963</v>
      </c>
      <c r="AI13" s="206">
        <v>44151</v>
      </c>
      <c r="AJ13" s="207">
        <v>0.41556712962962966</v>
      </c>
      <c r="AK13" s="63" t="s">
        <v>1042</v>
      </c>
      <c r="AL13">
        <v>5</v>
      </c>
    </row>
    <row r="14" spans="1:38">
      <c r="A14" s="63" t="s">
        <v>1874</v>
      </c>
      <c r="B14" s="63" t="s">
        <v>2235</v>
      </c>
      <c r="C14">
        <v>8.3000000000000007</v>
      </c>
      <c r="D14" s="63" t="s">
        <v>1040</v>
      </c>
      <c r="F14" s="63" t="s">
        <v>1557</v>
      </c>
      <c r="G14">
        <v>1</v>
      </c>
      <c r="J14" s="63" t="s">
        <v>1558</v>
      </c>
      <c r="L14" s="63" t="s">
        <v>1559</v>
      </c>
      <c r="M14">
        <v>103</v>
      </c>
      <c r="O14" s="63" t="s">
        <v>1558</v>
      </c>
      <c r="Q14" s="63" t="s">
        <v>1559</v>
      </c>
      <c r="R14">
        <v>12803</v>
      </c>
      <c r="Y14">
        <v>0</v>
      </c>
      <c r="Z14">
        <v>0</v>
      </c>
      <c r="AA14" s="206">
        <v>44151</v>
      </c>
      <c r="AB14" s="207">
        <v>0.44296296296296295</v>
      </c>
      <c r="AC14" s="206">
        <v>44151</v>
      </c>
      <c r="AD14" s="207">
        <v>0.44297453703703704</v>
      </c>
      <c r="AE14" s="206">
        <v>44151</v>
      </c>
      <c r="AF14" s="207">
        <v>0.44297453703703704</v>
      </c>
      <c r="AG14" s="206">
        <v>44151</v>
      </c>
      <c r="AH14" s="207">
        <v>0.44340277777777781</v>
      </c>
      <c r="AI14" s="206">
        <v>44151</v>
      </c>
      <c r="AJ14" s="207">
        <v>0.44872685185185185</v>
      </c>
      <c r="AK14" s="63" t="s">
        <v>1042</v>
      </c>
      <c r="AL14">
        <v>5</v>
      </c>
    </row>
    <row r="15" spans="1:38">
      <c r="A15" s="63" t="s">
        <v>1552</v>
      </c>
      <c r="B15" s="63" t="s">
        <v>2236</v>
      </c>
      <c r="C15">
        <v>2.5299999999999998</v>
      </c>
      <c r="D15" s="63" t="s">
        <v>1040</v>
      </c>
      <c r="F15" s="63" t="s">
        <v>1560</v>
      </c>
      <c r="G15">
        <v>2</v>
      </c>
      <c r="J15" s="63" t="s">
        <v>178</v>
      </c>
      <c r="L15" s="63" t="s">
        <v>1204</v>
      </c>
      <c r="M15">
        <v>103</v>
      </c>
      <c r="O15" s="63" t="s">
        <v>178</v>
      </c>
      <c r="Q15" s="63" t="s">
        <v>1204</v>
      </c>
      <c r="R15">
        <v>22701</v>
      </c>
      <c r="Y15">
        <v>0</v>
      </c>
      <c r="Z15">
        <v>0</v>
      </c>
      <c r="AA15" s="206">
        <v>44151</v>
      </c>
      <c r="AB15" s="207">
        <v>0.4519097222222222</v>
      </c>
      <c r="AC15" s="206">
        <v>44151</v>
      </c>
      <c r="AD15" s="207">
        <v>0.4519097222222222</v>
      </c>
      <c r="AE15" s="206">
        <v>44151</v>
      </c>
      <c r="AF15" s="207">
        <v>0.45192129629629635</v>
      </c>
      <c r="AG15" s="206">
        <v>44151</v>
      </c>
      <c r="AH15" s="207">
        <v>0.45339120370370373</v>
      </c>
      <c r="AI15" s="206">
        <v>44151</v>
      </c>
      <c r="AJ15" s="207">
        <v>0.45366898148148144</v>
      </c>
      <c r="AK15" s="63" t="s">
        <v>1042</v>
      </c>
      <c r="AL15">
        <v>4</v>
      </c>
    </row>
    <row r="16" spans="1:38">
      <c r="A16" s="63" t="s">
        <v>1573</v>
      </c>
      <c r="B16" s="63" t="s">
        <v>2237</v>
      </c>
      <c r="C16">
        <v>1.23</v>
      </c>
      <c r="D16" s="63" t="s">
        <v>1040</v>
      </c>
      <c r="F16" s="63" t="s">
        <v>1557</v>
      </c>
      <c r="G16">
        <v>2</v>
      </c>
      <c r="J16" s="63" t="s">
        <v>1567</v>
      </c>
      <c r="L16" s="63" t="s">
        <v>1568</v>
      </c>
      <c r="M16">
        <v>103</v>
      </c>
      <c r="O16" s="63" t="s">
        <v>1567</v>
      </c>
      <c r="Q16" s="63" t="s">
        <v>1568</v>
      </c>
      <c r="R16">
        <v>21103</v>
      </c>
      <c r="Y16">
        <v>0</v>
      </c>
      <c r="Z16">
        <v>0</v>
      </c>
      <c r="AA16" s="206">
        <v>44151</v>
      </c>
      <c r="AB16" s="207">
        <v>0.45916666666666667</v>
      </c>
      <c r="AC16" s="206">
        <v>44151</v>
      </c>
      <c r="AD16" s="207">
        <v>0.45951388888888894</v>
      </c>
      <c r="AE16" s="206">
        <v>44151</v>
      </c>
      <c r="AF16" s="207">
        <v>0.45951388888888894</v>
      </c>
      <c r="AG16" s="206">
        <v>44151</v>
      </c>
      <c r="AH16" s="207">
        <v>0.45979166666666665</v>
      </c>
      <c r="AI16" s="206">
        <v>44151</v>
      </c>
      <c r="AJ16" s="207">
        <v>0.4600231481481481</v>
      </c>
      <c r="AK16" s="63" t="s">
        <v>1042</v>
      </c>
      <c r="AL16">
        <v>5</v>
      </c>
    </row>
    <row r="17" spans="1:38">
      <c r="A17" s="63" t="s">
        <v>2238</v>
      </c>
      <c r="B17" s="63" t="s">
        <v>2239</v>
      </c>
      <c r="C17">
        <v>10.43</v>
      </c>
      <c r="D17" s="63" t="s">
        <v>1040</v>
      </c>
      <c r="F17" s="63" t="s">
        <v>1561</v>
      </c>
      <c r="G17">
        <v>1</v>
      </c>
      <c r="J17" s="63" t="s">
        <v>1558</v>
      </c>
      <c r="L17" s="63" t="s">
        <v>1559</v>
      </c>
      <c r="M17">
        <v>103</v>
      </c>
      <c r="O17" s="63" t="s">
        <v>1558</v>
      </c>
      <c r="Q17" s="63" t="s">
        <v>1559</v>
      </c>
      <c r="R17">
        <v>12202</v>
      </c>
      <c r="Y17">
        <v>0</v>
      </c>
      <c r="Z17">
        <v>0</v>
      </c>
      <c r="AA17" s="206">
        <v>44151</v>
      </c>
      <c r="AB17" s="207">
        <v>0.46748842592592593</v>
      </c>
      <c r="AC17" s="206">
        <v>44151</v>
      </c>
      <c r="AD17" s="207">
        <v>0.46820601851851856</v>
      </c>
      <c r="AE17" s="206">
        <v>44151</v>
      </c>
      <c r="AF17" s="207">
        <v>0.46820601851851856</v>
      </c>
      <c r="AG17" s="206">
        <v>44151</v>
      </c>
      <c r="AH17" s="207">
        <v>0.46918981481481481</v>
      </c>
      <c r="AI17" s="206">
        <v>44151</v>
      </c>
      <c r="AJ17" s="207">
        <v>0.47473379629629631</v>
      </c>
      <c r="AK17" s="63" t="s">
        <v>1042</v>
      </c>
      <c r="AL17">
        <v>5</v>
      </c>
    </row>
    <row r="18" spans="1:38">
      <c r="A18" s="63" t="s">
        <v>2240</v>
      </c>
      <c r="B18" s="63" t="s">
        <v>2241</v>
      </c>
      <c r="C18">
        <v>0.97</v>
      </c>
      <c r="D18" s="63" t="s">
        <v>1040</v>
      </c>
      <c r="F18" s="63" t="s">
        <v>1557</v>
      </c>
      <c r="G18">
        <v>1</v>
      </c>
      <c r="J18" s="63" t="s">
        <v>1567</v>
      </c>
      <c r="L18" s="63" t="s">
        <v>1568</v>
      </c>
      <c r="M18">
        <v>103</v>
      </c>
      <c r="O18" s="63" t="s">
        <v>1567</v>
      </c>
      <c r="Q18" s="63" t="s">
        <v>1568</v>
      </c>
      <c r="R18">
        <v>10101</v>
      </c>
      <c r="Y18">
        <v>0</v>
      </c>
      <c r="Z18">
        <v>0</v>
      </c>
      <c r="AA18" s="206">
        <v>44151</v>
      </c>
      <c r="AB18" s="207">
        <v>0.47503472222222221</v>
      </c>
      <c r="AC18" s="206">
        <v>44151</v>
      </c>
      <c r="AD18" s="207">
        <v>0.4750462962962963</v>
      </c>
      <c r="AE18" s="206">
        <v>44151</v>
      </c>
      <c r="AF18" s="207">
        <v>0.4750462962962963</v>
      </c>
      <c r="AG18" s="206">
        <v>44151</v>
      </c>
      <c r="AH18" s="207">
        <v>0.47547453703703701</v>
      </c>
      <c r="AI18" s="206">
        <v>44151</v>
      </c>
      <c r="AJ18" s="207">
        <v>0.47570601851851851</v>
      </c>
      <c r="AK18" s="63" t="s">
        <v>1042</v>
      </c>
      <c r="AL18">
        <v>5</v>
      </c>
    </row>
    <row r="19" spans="1:38">
      <c r="A19" s="63" t="s">
        <v>1550</v>
      </c>
      <c r="B19" s="63" t="s">
        <v>2242</v>
      </c>
      <c r="C19">
        <v>1.35</v>
      </c>
      <c r="D19" s="63" t="s">
        <v>1040</v>
      </c>
      <c r="F19" s="63" t="s">
        <v>1557</v>
      </c>
      <c r="G19">
        <v>2</v>
      </c>
      <c r="J19" s="63" t="s">
        <v>1567</v>
      </c>
      <c r="L19" s="63" t="s">
        <v>1568</v>
      </c>
      <c r="M19">
        <v>103</v>
      </c>
      <c r="O19" s="63" t="s">
        <v>1567</v>
      </c>
      <c r="Q19" s="63" t="s">
        <v>1568</v>
      </c>
      <c r="R19">
        <v>21103</v>
      </c>
      <c r="Y19">
        <v>0</v>
      </c>
      <c r="Z19">
        <v>0</v>
      </c>
      <c r="AA19" s="206">
        <v>44151</v>
      </c>
      <c r="AB19" s="207">
        <v>0.49122685185185189</v>
      </c>
      <c r="AC19" s="206">
        <v>44151</v>
      </c>
      <c r="AD19" s="207">
        <v>0.49158564814814815</v>
      </c>
      <c r="AE19" s="206">
        <v>44151</v>
      </c>
      <c r="AF19" s="207">
        <v>0.49158564814814815</v>
      </c>
      <c r="AG19" s="206">
        <v>44151</v>
      </c>
      <c r="AH19" s="207">
        <v>0.49194444444444446</v>
      </c>
      <c r="AI19" s="206">
        <v>44151</v>
      </c>
      <c r="AJ19" s="207">
        <v>0.49216435185185187</v>
      </c>
      <c r="AK19" s="63" t="s">
        <v>1042</v>
      </c>
      <c r="AL19">
        <v>5</v>
      </c>
    </row>
    <row r="20" spans="1:38">
      <c r="A20" s="63" t="s">
        <v>1932</v>
      </c>
      <c r="B20" s="63" t="s">
        <v>2243</v>
      </c>
      <c r="C20">
        <v>0.93</v>
      </c>
      <c r="D20" s="63" t="s">
        <v>1040</v>
      </c>
      <c r="F20" s="63" t="s">
        <v>1930</v>
      </c>
      <c r="G20">
        <v>2</v>
      </c>
      <c r="J20" s="63" t="s">
        <v>178</v>
      </c>
      <c r="L20" s="63" t="s">
        <v>1041</v>
      </c>
      <c r="M20">
        <v>103</v>
      </c>
      <c r="O20" s="63" t="s">
        <v>178</v>
      </c>
      <c r="Q20" s="63" t="s">
        <v>1041</v>
      </c>
      <c r="R20">
        <v>10402</v>
      </c>
      <c r="Y20">
        <v>0</v>
      </c>
      <c r="Z20">
        <v>0</v>
      </c>
      <c r="AA20" s="206">
        <v>44151</v>
      </c>
      <c r="AB20" s="207">
        <v>0.49886574074074069</v>
      </c>
      <c r="AC20" s="206">
        <v>44151</v>
      </c>
      <c r="AD20" s="207">
        <v>0.49888888888888888</v>
      </c>
      <c r="AE20" s="206">
        <v>44151</v>
      </c>
      <c r="AF20" s="207">
        <v>0.49888888888888888</v>
      </c>
      <c r="AG20" s="206">
        <v>44151</v>
      </c>
      <c r="AH20" s="207">
        <v>0.49922453703703701</v>
      </c>
      <c r="AI20" s="206">
        <v>44151</v>
      </c>
      <c r="AJ20" s="207">
        <v>0.49951388888888887</v>
      </c>
      <c r="AK20" s="63" t="s">
        <v>1042</v>
      </c>
      <c r="AL20">
        <v>4</v>
      </c>
    </row>
    <row r="21" spans="1:38">
      <c r="A21" s="63" t="s">
        <v>2244</v>
      </c>
      <c r="B21" s="63" t="s">
        <v>2245</v>
      </c>
      <c r="C21">
        <v>2.4700000000000002</v>
      </c>
      <c r="D21" s="63" t="s">
        <v>1040</v>
      </c>
      <c r="F21" s="63" t="s">
        <v>1560</v>
      </c>
      <c r="G21">
        <v>1</v>
      </c>
      <c r="J21" s="63" t="s">
        <v>178</v>
      </c>
      <c r="L21" s="63" t="s">
        <v>1041</v>
      </c>
      <c r="M21">
        <v>103</v>
      </c>
      <c r="O21" s="63" t="s">
        <v>178</v>
      </c>
      <c r="Q21" s="63" t="s">
        <v>1041</v>
      </c>
      <c r="R21">
        <v>10301</v>
      </c>
      <c r="Y21">
        <v>0</v>
      </c>
      <c r="Z21">
        <v>0</v>
      </c>
      <c r="AA21" s="206">
        <v>44151</v>
      </c>
      <c r="AB21" s="207">
        <v>0.51188657407407401</v>
      </c>
      <c r="AC21" s="206">
        <v>44151</v>
      </c>
      <c r="AD21" s="207">
        <v>0.51189814814814816</v>
      </c>
      <c r="AE21" s="206">
        <v>44151</v>
      </c>
      <c r="AF21" s="207">
        <v>0.51189814814814816</v>
      </c>
      <c r="AG21" s="206">
        <v>44151</v>
      </c>
      <c r="AH21" s="207">
        <v>0.51224537037037032</v>
      </c>
      <c r="AI21" s="206">
        <v>44151</v>
      </c>
      <c r="AJ21" s="207">
        <v>0.51359953703703709</v>
      </c>
      <c r="AK21" s="63" t="s">
        <v>1042</v>
      </c>
      <c r="AL21">
        <v>4</v>
      </c>
    </row>
    <row r="22" spans="1:38">
      <c r="A22" s="63" t="s">
        <v>2246</v>
      </c>
      <c r="B22" s="63" t="s">
        <v>2247</v>
      </c>
      <c r="C22">
        <v>1.38</v>
      </c>
      <c r="D22" s="63" t="s">
        <v>1040</v>
      </c>
      <c r="F22" s="63" t="s">
        <v>1560</v>
      </c>
      <c r="G22">
        <v>1</v>
      </c>
      <c r="J22" s="63" t="s">
        <v>178</v>
      </c>
      <c r="L22" s="63" t="s">
        <v>1204</v>
      </c>
      <c r="M22">
        <v>103</v>
      </c>
      <c r="O22" s="63" t="s">
        <v>178</v>
      </c>
      <c r="Q22" s="63" t="s">
        <v>1204</v>
      </c>
      <c r="R22">
        <v>24502</v>
      </c>
      <c r="S22" s="63" t="s">
        <v>2248</v>
      </c>
      <c r="T22" s="63" t="s">
        <v>2249</v>
      </c>
      <c r="U22" s="63" t="s">
        <v>1556</v>
      </c>
      <c r="V22">
        <v>0</v>
      </c>
      <c r="W22">
        <v>2100</v>
      </c>
      <c r="X22">
        <v>2100</v>
      </c>
      <c r="Y22">
        <v>60</v>
      </c>
      <c r="Z22">
        <v>719</v>
      </c>
      <c r="AA22" s="206">
        <v>44151</v>
      </c>
      <c r="AB22" s="207">
        <v>0.52151620370370366</v>
      </c>
      <c r="AC22" s="206">
        <v>44151</v>
      </c>
      <c r="AD22" s="207">
        <v>0.52186342592592594</v>
      </c>
      <c r="AE22" s="206">
        <v>44151</v>
      </c>
      <c r="AF22" s="207">
        <v>0.52186342592592594</v>
      </c>
      <c r="AG22" s="206">
        <v>44151</v>
      </c>
      <c r="AH22" s="207">
        <v>0.52219907407407407</v>
      </c>
      <c r="AI22" s="206">
        <v>44151</v>
      </c>
      <c r="AJ22" s="207">
        <v>0.52247685185185189</v>
      </c>
      <c r="AK22" s="63" t="s">
        <v>1042</v>
      </c>
      <c r="AL22">
        <v>4</v>
      </c>
    </row>
    <row r="23" spans="1:38">
      <c r="A23" s="63" t="s">
        <v>2250</v>
      </c>
      <c r="B23" s="63" t="s">
        <v>2251</v>
      </c>
      <c r="C23">
        <v>1.02</v>
      </c>
      <c r="D23" s="63" t="s">
        <v>1040</v>
      </c>
      <c r="F23" s="63" t="s">
        <v>1930</v>
      </c>
      <c r="G23">
        <v>2</v>
      </c>
      <c r="J23" s="63" t="s">
        <v>178</v>
      </c>
      <c r="L23" s="63" t="s">
        <v>1041</v>
      </c>
      <c r="M23">
        <v>103</v>
      </c>
      <c r="O23" s="63" t="s">
        <v>178</v>
      </c>
      <c r="Q23" s="63" t="s">
        <v>1041</v>
      </c>
      <c r="R23">
        <v>10503</v>
      </c>
      <c r="Y23">
        <v>0</v>
      </c>
      <c r="Z23">
        <v>0</v>
      </c>
      <c r="AA23" s="206">
        <v>44151</v>
      </c>
      <c r="AB23" s="207">
        <v>0.52891203703703704</v>
      </c>
      <c r="AC23" s="206">
        <v>44151</v>
      </c>
      <c r="AD23" s="207">
        <v>0.52892361111111108</v>
      </c>
      <c r="AE23" s="206">
        <v>44151</v>
      </c>
      <c r="AF23" s="207">
        <v>0.52892361111111108</v>
      </c>
      <c r="AG23" s="206">
        <v>44151</v>
      </c>
      <c r="AH23" s="207">
        <v>0.52931712962962962</v>
      </c>
      <c r="AI23" s="206">
        <v>44151</v>
      </c>
      <c r="AJ23" s="207">
        <v>0.52961805555555552</v>
      </c>
      <c r="AK23" s="63" t="s">
        <v>1042</v>
      </c>
      <c r="AL23">
        <v>4</v>
      </c>
    </row>
    <row r="24" spans="1:38">
      <c r="A24" s="63" t="s">
        <v>1214</v>
      </c>
      <c r="B24" s="63" t="s">
        <v>2252</v>
      </c>
      <c r="C24">
        <v>0.8</v>
      </c>
      <c r="D24" s="63" t="s">
        <v>1040</v>
      </c>
      <c r="F24" s="63" t="s">
        <v>1303</v>
      </c>
      <c r="G24">
        <v>1</v>
      </c>
      <c r="J24" s="63" t="s">
        <v>178</v>
      </c>
      <c r="L24" s="63" t="s">
        <v>1204</v>
      </c>
      <c r="M24">
        <v>103</v>
      </c>
      <c r="O24" s="63" t="s">
        <v>178</v>
      </c>
      <c r="Q24" s="63" t="s">
        <v>1204</v>
      </c>
      <c r="R24">
        <v>24303</v>
      </c>
      <c r="Y24">
        <v>0</v>
      </c>
      <c r="Z24">
        <v>0</v>
      </c>
      <c r="AA24" s="206">
        <v>44151</v>
      </c>
      <c r="AB24" s="207">
        <v>0.54251157407407413</v>
      </c>
      <c r="AC24" s="206">
        <v>44151</v>
      </c>
      <c r="AD24" s="207">
        <v>0.54251157407407413</v>
      </c>
      <c r="AE24" s="206">
        <v>44151</v>
      </c>
      <c r="AF24" s="207">
        <v>0.54251157407407413</v>
      </c>
      <c r="AG24" s="206">
        <v>44151</v>
      </c>
      <c r="AH24" s="207">
        <v>0.54283564814814811</v>
      </c>
      <c r="AI24" s="206">
        <v>44151</v>
      </c>
      <c r="AJ24" s="207">
        <v>0.54306712962962966</v>
      </c>
      <c r="AK24" s="63" t="s">
        <v>1042</v>
      </c>
      <c r="AL24">
        <v>4</v>
      </c>
    </row>
    <row r="25" spans="1:38">
      <c r="A25" s="63" t="s">
        <v>1217</v>
      </c>
      <c r="B25" s="63" t="s">
        <v>2253</v>
      </c>
      <c r="C25">
        <v>1.47</v>
      </c>
      <c r="D25" s="63" t="s">
        <v>1040</v>
      </c>
      <c r="F25" s="63" t="s">
        <v>1303</v>
      </c>
      <c r="G25">
        <v>1</v>
      </c>
      <c r="J25" s="63" t="s">
        <v>178</v>
      </c>
      <c r="L25" s="63" t="s">
        <v>1204</v>
      </c>
      <c r="M25">
        <v>103</v>
      </c>
      <c r="O25" s="63" t="s">
        <v>178</v>
      </c>
      <c r="Q25" s="63" t="s">
        <v>1204</v>
      </c>
      <c r="R25">
        <v>24502</v>
      </c>
      <c r="S25" s="63" t="s">
        <v>2225</v>
      </c>
      <c r="T25" s="63" t="s">
        <v>2226</v>
      </c>
      <c r="U25" s="63" t="s">
        <v>1556</v>
      </c>
      <c r="V25">
        <v>0</v>
      </c>
      <c r="W25">
        <v>2100</v>
      </c>
      <c r="X25">
        <v>2100</v>
      </c>
      <c r="Y25">
        <v>60</v>
      </c>
      <c r="Z25">
        <v>107</v>
      </c>
      <c r="AA25" s="206">
        <v>44151</v>
      </c>
      <c r="AB25" s="207">
        <v>0.55413194444444447</v>
      </c>
      <c r="AC25" s="206">
        <v>44151</v>
      </c>
      <c r="AD25" s="207">
        <v>0.55449074074074078</v>
      </c>
      <c r="AE25" s="206">
        <v>44151</v>
      </c>
      <c r="AF25" s="207">
        <v>0.55449074074074078</v>
      </c>
      <c r="AG25" s="206">
        <v>44151</v>
      </c>
      <c r="AH25" s="207">
        <v>0.55491898148148155</v>
      </c>
      <c r="AI25" s="206">
        <v>44151</v>
      </c>
      <c r="AJ25" s="207">
        <v>0.555150462962963</v>
      </c>
      <c r="AK25" s="63" t="s">
        <v>1042</v>
      </c>
      <c r="AL25">
        <v>4</v>
      </c>
    </row>
    <row r="26" spans="1:38">
      <c r="A26" s="63" t="s">
        <v>2254</v>
      </c>
      <c r="B26" s="63" t="s">
        <v>2255</v>
      </c>
      <c r="C26">
        <v>1.35</v>
      </c>
      <c r="D26" s="63" t="s">
        <v>1040</v>
      </c>
      <c r="F26" s="63" t="s">
        <v>1303</v>
      </c>
      <c r="G26">
        <v>2</v>
      </c>
      <c r="J26" s="63" t="s">
        <v>178</v>
      </c>
      <c r="L26" s="63" t="s">
        <v>1204</v>
      </c>
      <c r="M26">
        <v>103</v>
      </c>
      <c r="O26" s="63" t="s">
        <v>178</v>
      </c>
      <c r="Q26" s="63" t="s">
        <v>1204</v>
      </c>
      <c r="R26">
        <v>24303</v>
      </c>
      <c r="Y26">
        <v>0</v>
      </c>
      <c r="Z26">
        <v>0</v>
      </c>
      <c r="AA26" s="206">
        <v>44151</v>
      </c>
      <c r="AB26" s="207">
        <v>0.60636574074074068</v>
      </c>
      <c r="AC26" s="206">
        <v>44151</v>
      </c>
      <c r="AD26" s="207">
        <v>0.60671296296296295</v>
      </c>
      <c r="AE26" s="206">
        <v>44151</v>
      </c>
      <c r="AF26" s="207">
        <v>0.60671296296296295</v>
      </c>
      <c r="AG26" s="206">
        <v>44151</v>
      </c>
      <c r="AH26" s="207">
        <v>0.60707175925925927</v>
      </c>
      <c r="AI26" s="206">
        <v>44151</v>
      </c>
      <c r="AJ26" s="207">
        <v>0.60730324074074071</v>
      </c>
      <c r="AK26" s="63" t="s">
        <v>1042</v>
      </c>
      <c r="AL26">
        <v>4</v>
      </c>
    </row>
    <row r="27" spans="1:38">
      <c r="A27" s="63" t="s">
        <v>2267</v>
      </c>
      <c r="B27" s="63" t="s">
        <v>2268</v>
      </c>
      <c r="C27">
        <v>1.05</v>
      </c>
      <c r="D27" s="63" t="s">
        <v>1040</v>
      </c>
      <c r="F27" s="63" t="s">
        <v>1560</v>
      </c>
      <c r="G27">
        <v>1</v>
      </c>
      <c r="J27" s="63" t="s">
        <v>178</v>
      </c>
      <c r="L27" s="63" t="s">
        <v>1204</v>
      </c>
      <c r="M27">
        <v>103</v>
      </c>
      <c r="O27" s="63" t="s">
        <v>178</v>
      </c>
      <c r="Q27" s="63" t="s">
        <v>1204</v>
      </c>
      <c r="R27">
        <v>23503</v>
      </c>
      <c r="Y27">
        <v>0</v>
      </c>
      <c r="Z27">
        <v>0</v>
      </c>
      <c r="AA27" s="206">
        <v>44151</v>
      </c>
      <c r="AB27" s="207">
        <v>0.61103009259259256</v>
      </c>
      <c r="AC27" s="206">
        <v>44151</v>
      </c>
      <c r="AD27" s="207">
        <v>0.61103009259259256</v>
      </c>
      <c r="AE27" s="206">
        <v>44151</v>
      </c>
      <c r="AF27" s="207">
        <v>0.61103009259259256</v>
      </c>
      <c r="AG27" s="206">
        <v>44151</v>
      </c>
      <c r="AH27" s="207">
        <v>0.61156250000000001</v>
      </c>
      <c r="AI27" s="206">
        <v>44151</v>
      </c>
      <c r="AJ27" s="207">
        <v>0.61175925925925922</v>
      </c>
      <c r="AK27" s="63" t="s">
        <v>1042</v>
      </c>
      <c r="AL27">
        <v>4</v>
      </c>
    </row>
    <row r="28" spans="1:38">
      <c r="A28" s="63" t="s">
        <v>2055</v>
      </c>
      <c r="B28" s="63" t="s">
        <v>2269</v>
      </c>
      <c r="C28">
        <v>1.52</v>
      </c>
      <c r="D28" s="63" t="s">
        <v>1040</v>
      </c>
      <c r="F28" s="63" t="s">
        <v>1930</v>
      </c>
      <c r="G28">
        <v>2</v>
      </c>
      <c r="J28" s="63" t="s">
        <v>178</v>
      </c>
      <c r="L28" s="63" t="s">
        <v>1041</v>
      </c>
      <c r="M28">
        <v>103</v>
      </c>
      <c r="O28" s="63" t="s">
        <v>178</v>
      </c>
      <c r="Q28" s="63" t="s">
        <v>1041</v>
      </c>
      <c r="R28">
        <v>10403</v>
      </c>
      <c r="S28" s="63" t="s">
        <v>2270</v>
      </c>
      <c r="T28" s="63" t="s">
        <v>2271</v>
      </c>
      <c r="U28" s="63" t="s">
        <v>2272</v>
      </c>
      <c r="V28">
        <v>0</v>
      </c>
      <c r="W28">
        <v>2100</v>
      </c>
      <c r="X28">
        <v>2100</v>
      </c>
      <c r="Y28">
        <v>56</v>
      </c>
      <c r="Z28">
        <v>802</v>
      </c>
      <c r="AA28" s="206">
        <v>44151</v>
      </c>
      <c r="AB28" s="207">
        <v>0.62140046296296292</v>
      </c>
      <c r="AC28" s="206">
        <v>44151</v>
      </c>
      <c r="AD28" s="207">
        <v>0.62140046296296292</v>
      </c>
      <c r="AE28" s="206">
        <v>44151</v>
      </c>
      <c r="AF28" s="207">
        <v>0.62140046296296292</v>
      </c>
      <c r="AG28" s="206">
        <v>44151</v>
      </c>
      <c r="AH28" s="207">
        <v>0.62214120370370374</v>
      </c>
      <c r="AI28" s="206">
        <v>44151</v>
      </c>
      <c r="AJ28" s="207">
        <v>0.62245370370370368</v>
      </c>
      <c r="AK28" s="63" t="s">
        <v>1042</v>
      </c>
      <c r="AL28">
        <v>4</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Sheet8"/>
  <dimension ref="A1:AD15"/>
  <sheetViews>
    <sheetView workbookViewId="0">
      <selection activeCell="L19" sqref="L19"/>
    </sheetView>
  </sheetViews>
  <sheetFormatPr defaultColWidth="4.875" defaultRowHeight="16.5"/>
  <cols>
    <col min="1" max="1" width="17.875" bestFit="1" customWidth="1"/>
    <col min="2" max="2" width="5.5" style="23" bestFit="1" customWidth="1"/>
    <col min="3" max="30" width="4.125" customWidth="1"/>
  </cols>
  <sheetData>
    <row r="1" spans="1:30" s="40" customFormat="1">
      <c r="A1" s="34" t="s">
        <v>92</v>
      </c>
      <c r="B1" s="23"/>
      <c r="C1" s="42">
        <v>43998</v>
      </c>
      <c r="D1" s="42">
        <v>43999</v>
      </c>
      <c r="E1" s="42">
        <v>44000</v>
      </c>
      <c r="F1" s="42">
        <v>44001</v>
      </c>
      <c r="G1" s="42">
        <v>44002</v>
      </c>
      <c r="H1" s="42">
        <v>44003</v>
      </c>
      <c r="I1" s="42">
        <v>44004</v>
      </c>
      <c r="J1" s="42">
        <v>44005</v>
      </c>
      <c r="K1" s="42">
        <v>44006</v>
      </c>
      <c r="L1" s="42">
        <v>44007</v>
      </c>
      <c r="M1" s="42">
        <v>44008</v>
      </c>
      <c r="N1" s="42">
        <v>44009</v>
      </c>
      <c r="O1" s="42">
        <v>44010</v>
      </c>
      <c r="P1" s="42">
        <v>44011</v>
      </c>
      <c r="Q1" s="42">
        <v>44012</v>
      </c>
      <c r="R1" s="42">
        <v>44013</v>
      </c>
      <c r="S1" s="42">
        <v>44014</v>
      </c>
      <c r="T1" s="42">
        <v>44015</v>
      </c>
      <c r="U1" s="42">
        <v>44016</v>
      </c>
      <c r="V1" s="42">
        <v>44017</v>
      </c>
      <c r="W1" s="42">
        <v>44018</v>
      </c>
      <c r="X1" s="42">
        <v>44019</v>
      </c>
      <c r="Y1" s="42">
        <v>44020</v>
      </c>
      <c r="Z1" s="42">
        <v>44021</v>
      </c>
      <c r="AA1" s="42">
        <v>44022</v>
      </c>
      <c r="AB1" s="42">
        <v>44023</v>
      </c>
      <c r="AC1" s="42">
        <v>44024</v>
      </c>
      <c r="AD1" s="42">
        <v>44025</v>
      </c>
    </row>
    <row r="2" spans="1:30">
      <c r="A2" s="291" t="s">
        <v>93</v>
      </c>
      <c r="B2" s="30" t="s">
        <v>96</v>
      </c>
      <c r="C2" s="43"/>
      <c r="D2" s="43"/>
      <c r="E2" s="43"/>
      <c r="F2" s="43"/>
      <c r="G2" s="43"/>
      <c r="H2" s="43"/>
      <c r="I2" s="43"/>
      <c r="J2" s="43"/>
      <c r="K2" s="43"/>
      <c r="L2" s="43"/>
      <c r="M2" s="4"/>
      <c r="N2" s="4"/>
      <c r="O2" s="4"/>
      <c r="P2" s="4"/>
      <c r="Q2" s="4"/>
      <c r="R2" s="4"/>
      <c r="S2" s="4"/>
      <c r="T2" s="4"/>
      <c r="U2" s="4"/>
      <c r="V2" s="4"/>
      <c r="W2" s="4"/>
      <c r="X2" s="4"/>
      <c r="Y2" s="4"/>
      <c r="Z2" s="4"/>
      <c r="AA2" s="4"/>
      <c r="AB2" s="4"/>
      <c r="AC2" s="4"/>
      <c r="AD2" s="4"/>
    </row>
    <row r="3" spans="1:30">
      <c r="A3" s="291"/>
      <c r="B3" s="44" t="s">
        <v>97</v>
      </c>
      <c r="C3" s="43"/>
      <c r="D3" s="43"/>
      <c r="E3" s="43"/>
      <c r="F3" s="43"/>
      <c r="G3" s="43"/>
      <c r="H3" s="43"/>
      <c r="I3" s="43"/>
      <c r="J3" s="43"/>
      <c r="K3" s="43"/>
      <c r="L3" s="43"/>
      <c r="M3" s="4"/>
      <c r="N3" s="4"/>
      <c r="O3" s="4"/>
      <c r="P3" s="4"/>
      <c r="Q3" s="4"/>
      <c r="R3" s="4"/>
      <c r="S3" s="4"/>
      <c r="T3" s="4"/>
      <c r="U3" s="4"/>
      <c r="V3" s="4"/>
      <c r="W3" s="4"/>
      <c r="X3" s="4"/>
      <c r="Y3" s="4"/>
      <c r="Z3" s="4"/>
      <c r="AA3" s="4"/>
      <c r="AB3" s="4"/>
      <c r="AC3" s="4"/>
      <c r="AD3" s="4"/>
    </row>
    <row r="4" spans="1:30">
      <c r="A4" s="291" t="s">
        <v>94</v>
      </c>
      <c r="B4" s="30" t="s">
        <v>96</v>
      </c>
      <c r="C4" s="43"/>
      <c r="D4" s="43"/>
      <c r="E4" s="43"/>
      <c r="F4" s="43"/>
      <c r="G4" s="43"/>
      <c r="H4" s="43"/>
      <c r="I4" s="43"/>
      <c r="J4" s="43"/>
      <c r="K4" s="43"/>
      <c r="L4" s="43"/>
      <c r="M4" s="4"/>
      <c r="N4" s="4"/>
      <c r="O4" s="4"/>
      <c r="P4" s="4"/>
      <c r="Q4" s="4"/>
      <c r="R4" s="4"/>
      <c r="S4" s="4"/>
      <c r="T4" s="4"/>
      <c r="U4" s="4"/>
      <c r="V4" s="4"/>
      <c r="W4" s="4"/>
      <c r="X4" s="4"/>
      <c r="Y4" s="4"/>
      <c r="Z4" s="4"/>
      <c r="AA4" s="4"/>
      <c r="AB4" s="4"/>
      <c r="AC4" s="4"/>
      <c r="AD4" s="4"/>
    </row>
    <row r="5" spans="1:30">
      <c r="A5" s="291"/>
      <c r="B5" s="44" t="s">
        <v>97</v>
      </c>
      <c r="C5" s="43"/>
      <c r="D5" s="43"/>
      <c r="E5" s="43"/>
      <c r="F5" s="43"/>
      <c r="G5" s="43"/>
      <c r="H5" s="43"/>
      <c r="I5" s="43"/>
      <c r="J5" s="43"/>
      <c r="K5" s="43"/>
      <c r="L5" s="43"/>
      <c r="M5" s="4"/>
      <c r="N5" s="4"/>
      <c r="O5" s="4"/>
      <c r="P5" s="4"/>
      <c r="Q5" s="4"/>
      <c r="R5" s="4"/>
      <c r="S5" s="4"/>
      <c r="T5" s="4"/>
      <c r="U5" s="4"/>
      <c r="V5" s="4"/>
      <c r="W5" s="4"/>
      <c r="X5" s="4"/>
      <c r="Y5" s="4"/>
      <c r="Z5" s="4"/>
      <c r="AA5" s="4"/>
      <c r="AB5" s="4"/>
      <c r="AC5" s="4"/>
      <c r="AD5" s="4"/>
    </row>
    <row r="6" spans="1:30">
      <c r="A6" s="291" t="s">
        <v>95</v>
      </c>
      <c r="B6" s="30" t="s">
        <v>96</v>
      </c>
      <c r="C6" s="43"/>
      <c r="D6" s="43"/>
      <c r="E6" s="43"/>
      <c r="F6" s="43"/>
      <c r="G6" s="43"/>
      <c r="H6" s="43"/>
      <c r="I6" s="43"/>
      <c r="J6" s="43"/>
      <c r="K6" s="43"/>
      <c r="L6" s="43"/>
      <c r="M6" s="4"/>
      <c r="N6" s="4"/>
      <c r="O6" s="4"/>
      <c r="P6" s="4"/>
      <c r="Q6" s="4"/>
      <c r="R6" s="4"/>
      <c r="S6" s="4"/>
      <c r="T6" s="4"/>
      <c r="U6" s="4"/>
      <c r="V6" s="4"/>
      <c r="W6" s="4"/>
      <c r="X6" s="4"/>
      <c r="Y6" s="4"/>
      <c r="Z6" s="4"/>
      <c r="AA6" s="4"/>
      <c r="AB6" s="4"/>
      <c r="AC6" s="4"/>
      <c r="AD6" s="4"/>
    </row>
    <row r="7" spans="1:30">
      <c r="A7" s="291"/>
      <c r="B7" s="44" t="s">
        <v>97</v>
      </c>
      <c r="C7" s="4"/>
      <c r="D7" s="4"/>
      <c r="E7" s="4"/>
      <c r="F7" s="4"/>
      <c r="G7" s="4"/>
      <c r="H7" s="4"/>
      <c r="I7" s="4"/>
      <c r="J7" s="4"/>
      <c r="K7" s="4"/>
      <c r="L7" s="4"/>
      <c r="M7" s="4"/>
      <c r="N7" s="4"/>
      <c r="O7" s="4"/>
      <c r="P7" s="4"/>
      <c r="Q7" s="4"/>
      <c r="R7" s="4"/>
      <c r="S7" s="4"/>
      <c r="T7" s="4"/>
      <c r="U7" s="4"/>
      <c r="V7" s="4"/>
      <c r="W7" s="4"/>
      <c r="X7" s="4"/>
      <c r="Y7" s="4"/>
      <c r="Z7" s="4"/>
      <c r="AA7" s="4"/>
      <c r="AB7" s="4"/>
      <c r="AC7" s="4"/>
      <c r="AD7" s="4"/>
    </row>
    <row r="8" spans="1:30">
      <c r="A8" s="292" t="s">
        <v>99</v>
      </c>
      <c r="B8" s="30" t="s">
        <v>96</v>
      </c>
      <c r="C8" s="4"/>
      <c r="D8" s="4"/>
      <c r="E8" s="4"/>
      <c r="F8" s="4"/>
      <c r="G8" s="4"/>
      <c r="H8" s="4"/>
      <c r="I8" s="4"/>
      <c r="J8" s="4"/>
      <c r="K8" s="4"/>
      <c r="L8" s="4"/>
      <c r="M8" s="4"/>
      <c r="N8" s="4"/>
      <c r="O8" s="4"/>
      <c r="P8" s="4"/>
      <c r="Q8" s="4"/>
      <c r="R8" s="4"/>
      <c r="S8" s="4"/>
      <c r="T8" s="4"/>
      <c r="U8" s="4"/>
      <c r="V8" s="4"/>
      <c r="W8" s="4"/>
      <c r="X8" s="4"/>
      <c r="Y8" s="4"/>
      <c r="Z8" s="4"/>
      <c r="AA8" s="4"/>
      <c r="AB8" s="4"/>
      <c r="AC8" s="4"/>
      <c r="AD8" s="4"/>
    </row>
    <row r="9" spans="1:30">
      <c r="A9" s="291"/>
      <c r="B9" s="44" t="s">
        <v>97</v>
      </c>
      <c r="C9" s="4"/>
      <c r="D9" s="4"/>
      <c r="E9" s="4"/>
      <c r="F9" s="4"/>
      <c r="G9" s="4"/>
      <c r="H9" s="4"/>
      <c r="I9" s="4"/>
      <c r="J9" s="4"/>
      <c r="K9" s="4"/>
      <c r="L9" s="4"/>
      <c r="M9" s="4"/>
      <c r="N9" s="4"/>
      <c r="O9" s="4"/>
      <c r="P9" s="4"/>
      <c r="Q9" s="4"/>
      <c r="R9" s="4"/>
      <c r="S9" s="4"/>
      <c r="T9" s="4"/>
      <c r="U9" s="4"/>
      <c r="V9" s="4"/>
      <c r="W9" s="4"/>
      <c r="X9" s="4"/>
      <c r="Y9" s="4"/>
      <c r="Z9" s="4"/>
      <c r="AA9" s="4"/>
      <c r="AB9" s="4"/>
      <c r="AC9" s="4"/>
      <c r="AD9" s="4"/>
    </row>
    <row r="10" spans="1:30">
      <c r="A10" s="292" t="s">
        <v>98</v>
      </c>
      <c r="B10" s="30" t="s">
        <v>96</v>
      </c>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row>
    <row r="11" spans="1:30">
      <c r="A11" s="291"/>
      <c r="B11" s="44" t="s">
        <v>97</v>
      </c>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row>
    <row r="12" spans="1:30">
      <c r="B12" s="31" t="s">
        <v>96</v>
      </c>
    </row>
    <row r="13" spans="1:30">
      <c r="B13" s="41" t="s">
        <v>97</v>
      </c>
    </row>
    <row r="14" spans="1:30">
      <c r="B14" s="31" t="s">
        <v>96</v>
      </c>
    </row>
    <row r="15" spans="1:30">
      <c r="B15" s="41" t="s">
        <v>97</v>
      </c>
    </row>
  </sheetData>
  <customSheetViews>
    <customSheetView guid="{86E069D6-AAB6-4ACE-BC4B-ADB04AF4E9D6}">
      <selection activeCell="L19" sqref="L19"/>
      <pageMargins left="0.7" right="0.7" top="0.75" bottom="0.75" header="0.3" footer="0.3"/>
    </customSheetView>
  </customSheetViews>
  <mergeCells count="5">
    <mergeCell ref="A2:A3"/>
    <mergeCell ref="A4:A5"/>
    <mergeCell ref="A6:A7"/>
    <mergeCell ref="A8:A9"/>
    <mergeCell ref="A10:A11"/>
  </mergeCells>
  <phoneticPr fontId="1"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sheetPr codeName="Sheet3"/>
  <dimension ref="A1:J89"/>
  <sheetViews>
    <sheetView workbookViewId="0">
      <selection activeCell="H20" sqref="H20"/>
    </sheetView>
  </sheetViews>
  <sheetFormatPr defaultRowHeight="16.5"/>
  <cols>
    <col min="1" max="1" width="7" bestFit="1" customWidth="1"/>
    <col min="2" max="2" width="21.375" bestFit="1" customWidth="1"/>
    <col min="3" max="3" width="7.625" bestFit="1" customWidth="1"/>
    <col min="4" max="4" width="10.875" bestFit="1" customWidth="1"/>
    <col min="5" max="5" width="8.375" bestFit="1" customWidth="1"/>
    <col min="6" max="6" width="10.5" bestFit="1" customWidth="1"/>
    <col min="7" max="7" width="8.625" bestFit="1" customWidth="1"/>
    <col min="8" max="8" width="14.875" bestFit="1" customWidth="1"/>
    <col min="10" max="10" width="16.125" customWidth="1"/>
  </cols>
  <sheetData>
    <row r="1" spans="1:10">
      <c r="A1" s="7" t="s">
        <v>101</v>
      </c>
      <c r="B1" s="7" t="s">
        <v>180</v>
      </c>
      <c r="C1" s="7" t="s">
        <v>78</v>
      </c>
      <c r="D1" s="7" t="s">
        <v>171</v>
      </c>
      <c r="E1" s="7" t="s">
        <v>154</v>
      </c>
      <c r="F1" s="7" t="s">
        <v>169</v>
      </c>
      <c r="G1" s="7" t="s">
        <v>156</v>
      </c>
      <c r="H1" s="155" t="s">
        <v>765</v>
      </c>
      <c r="I1" s="155" t="s">
        <v>163</v>
      </c>
      <c r="J1" s="155" t="s">
        <v>766</v>
      </c>
    </row>
    <row r="2" spans="1:10">
      <c r="A2" s="63">
        <v>201</v>
      </c>
      <c r="B2" s="63" t="s">
        <v>754</v>
      </c>
      <c r="C2" s="63" t="s">
        <v>285</v>
      </c>
      <c r="D2" s="63" t="s">
        <v>203</v>
      </c>
      <c r="E2" s="63" t="s">
        <v>761</v>
      </c>
      <c r="F2" s="63">
        <v>1</v>
      </c>
      <c r="G2" s="63">
        <v>60</v>
      </c>
    </row>
    <row r="3" spans="1:10">
      <c r="A3" s="63">
        <v>201</v>
      </c>
      <c r="B3" s="63" t="s">
        <v>754</v>
      </c>
      <c r="C3" s="63" t="s">
        <v>285</v>
      </c>
      <c r="D3" s="63" t="s">
        <v>203</v>
      </c>
      <c r="E3" s="63" t="s">
        <v>760</v>
      </c>
      <c r="F3" s="63">
        <v>1</v>
      </c>
      <c r="G3" s="63">
        <v>12</v>
      </c>
    </row>
    <row r="4" spans="1:10">
      <c r="A4" s="63">
        <v>201</v>
      </c>
      <c r="B4" s="63" t="s">
        <v>754</v>
      </c>
      <c r="C4" s="63" t="s">
        <v>285</v>
      </c>
      <c r="D4" s="63" t="s">
        <v>203</v>
      </c>
      <c r="E4" s="63" t="s">
        <v>681</v>
      </c>
      <c r="F4" s="63">
        <v>1</v>
      </c>
      <c r="G4" s="63">
        <v>3</v>
      </c>
    </row>
    <row r="5" spans="1:10">
      <c r="A5" s="63">
        <v>201</v>
      </c>
      <c r="B5" s="63" t="s">
        <v>612</v>
      </c>
      <c r="C5" s="63" t="s">
        <v>285</v>
      </c>
      <c r="D5" s="63" t="s">
        <v>174</v>
      </c>
      <c r="E5" s="63" t="s">
        <v>694</v>
      </c>
      <c r="F5" s="63">
        <v>1</v>
      </c>
      <c r="G5" s="63">
        <v>12</v>
      </c>
      <c r="H5" s="63" t="s">
        <v>767</v>
      </c>
    </row>
    <row r="6" spans="1:10">
      <c r="A6" s="63">
        <v>201</v>
      </c>
      <c r="B6" s="63" t="s">
        <v>710</v>
      </c>
      <c r="C6" s="63" t="s">
        <v>285</v>
      </c>
      <c r="D6" s="63" t="s">
        <v>174</v>
      </c>
      <c r="E6" s="63" t="s">
        <v>749</v>
      </c>
      <c r="F6" s="63">
        <v>1</v>
      </c>
      <c r="G6" s="63">
        <v>19</v>
      </c>
    </row>
    <row r="7" spans="1:10">
      <c r="A7" s="63">
        <v>201</v>
      </c>
      <c r="B7" s="63" t="s">
        <v>466</v>
      </c>
      <c r="C7" s="63" t="s">
        <v>285</v>
      </c>
      <c r="D7" s="63" t="s">
        <v>173</v>
      </c>
      <c r="E7" s="63" t="s">
        <v>708</v>
      </c>
      <c r="F7" s="63">
        <v>1</v>
      </c>
      <c r="G7" s="63">
        <v>55</v>
      </c>
    </row>
    <row r="8" spans="1:10">
      <c r="A8" s="63">
        <v>3300</v>
      </c>
      <c r="B8" s="63" t="s">
        <v>420</v>
      </c>
      <c r="C8" s="63" t="s">
        <v>285</v>
      </c>
      <c r="D8" s="63" t="s">
        <v>173</v>
      </c>
      <c r="E8" s="63" t="s">
        <v>653</v>
      </c>
      <c r="F8" s="63">
        <v>1</v>
      </c>
      <c r="G8" s="63">
        <v>30</v>
      </c>
    </row>
    <row r="9" spans="1:10">
      <c r="A9" s="63">
        <v>3300</v>
      </c>
      <c r="B9" s="63" t="s">
        <v>397</v>
      </c>
      <c r="C9" s="63" t="s">
        <v>285</v>
      </c>
      <c r="D9" s="63" t="s">
        <v>173</v>
      </c>
      <c r="E9" s="63" t="s">
        <v>607</v>
      </c>
      <c r="F9" s="63">
        <v>1</v>
      </c>
      <c r="G9" s="63">
        <v>45</v>
      </c>
    </row>
    <row r="10" spans="1:10">
      <c r="A10" s="63">
        <v>4300</v>
      </c>
      <c r="B10" s="63" t="s">
        <v>700</v>
      </c>
      <c r="C10" s="63" t="s">
        <v>285</v>
      </c>
      <c r="D10" s="63" t="s">
        <v>606</v>
      </c>
      <c r="E10" s="63" t="s">
        <v>693</v>
      </c>
      <c r="F10" s="63">
        <v>1</v>
      </c>
      <c r="G10" s="63">
        <v>60</v>
      </c>
    </row>
    <row r="11" spans="1:10">
      <c r="A11" s="63">
        <v>4350</v>
      </c>
      <c r="B11" s="63" t="s">
        <v>699</v>
      </c>
      <c r="C11" s="63" t="s">
        <v>285</v>
      </c>
      <c r="D11" s="63" t="s">
        <v>174</v>
      </c>
      <c r="E11" s="63" t="s">
        <v>763</v>
      </c>
      <c r="F11" s="63">
        <v>1</v>
      </c>
      <c r="G11" s="63">
        <v>60</v>
      </c>
    </row>
    <row r="12" spans="1:10">
      <c r="A12" s="63">
        <v>4560</v>
      </c>
      <c r="B12" s="63" t="s">
        <v>709</v>
      </c>
      <c r="C12" s="63" t="s">
        <v>285</v>
      </c>
      <c r="D12" s="63" t="s">
        <v>184</v>
      </c>
      <c r="E12" s="63" t="s">
        <v>759</v>
      </c>
      <c r="F12" s="63">
        <v>1</v>
      </c>
      <c r="G12" s="63">
        <v>3</v>
      </c>
    </row>
    <row r="13" spans="1:10">
      <c r="A13" s="63">
        <v>5200</v>
      </c>
      <c r="B13" s="63" t="s">
        <v>697</v>
      </c>
      <c r="C13" s="63" t="s">
        <v>205</v>
      </c>
      <c r="D13" s="63" t="s">
        <v>173</v>
      </c>
      <c r="E13" s="63" t="s">
        <v>747</v>
      </c>
      <c r="F13" s="63">
        <v>1</v>
      </c>
      <c r="G13" s="63">
        <v>40</v>
      </c>
    </row>
    <row r="14" spans="1:10">
      <c r="A14" s="63">
        <v>7200</v>
      </c>
      <c r="B14" s="63" t="s">
        <v>434</v>
      </c>
      <c r="C14" s="63" t="s">
        <v>285</v>
      </c>
      <c r="D14" s="63" t="s">
        <v>175</v>
      </c>
      <c r="E14" s="63" t="s">
        <v>435</v>
      </c>
      <c r="F14" s="63">
        <v>1</v>
      </c>
      <c r="G14" s="63">
        <v>23</v>
      </c>
    </row>
    <row r="15" spans="1:10">
      <c r="A15" s="63">
        <v>7300</v>
      </c>
      <c r="B15" s="63" t="s">
        <v>437</v>
      </c>
      <c r="C15" s="63" t="s">
        <v>285</v>
      </c>
      <c r="D15" s="63" t="s">
        <v>172</v>
      </c>
      <c r="E15" s="63" t="s">
        <v>438</v>
      </c>
      <c r="F15" s="63">
        <v>1</v>
      </c>
      <c r="G15" s="63">
        <v>47</v>
      </c>
    </row>
    <row r="16" spans="1:10">
      <c r="A16" s="63">
        <v>7300</v>
      </c>
      <c r="B16" s="63" t="s">
        <v>439</v>
      </c>
      <c r="C16" s="63" t="s">
        <v>285</v>
      </c>
      <c r="D16" s="63" t="s">
        <v>175</v>
      </c>
      <c r="E16" s="63" t="s">
        <v>440</v>
      </c>
      <c r="F16" s="63">
        <v>1</v>
      </c>
      <c r="G16" s="63">
        <v>25</v>
      </c>
    </row>
    <row r="17" spans="1:7">
      <c r="A17" s="63">
        <v>7300</v>
      </c>
      <c r="B17" s="63" t="s">
        <v>441</v>
      </c>
      <c r="C17" s="63" t="s">
        <v>285</v>
      </c>
      <c r="D17" s="63" t="s">
        <v>173</v>
      </c>
      <c r="E17" s="63" t="s">
        <v>442</v>
      </c>
      <c r="F17" s="63">
        <v>1</v>
      </c>
      <c r="G17" s="63">
        <v>6</v>
      </c>
    </row>
    <row r="18" spans="1:7">
      <c r="A18" s="63">
        <v>7300</v>
      </c>
      <c r="B18" s="63" t="s">
        <v>443</v>
      </c>
      <c r="C18" s="63" t="s">
        <v>285</v>
      </c>
      <c r="D18" s="63" t="s">
        <v>175</v>
      </c>
      <c r="E18" s="63" t="s">
        <v>444</v>
      </c>
      <c r="F18" s="63">
        <v>1</v>
      </c>
      <c r="G18" s="63">
        <v>46</v>
      </c>
    </row>
    <row r="19" spans="1:7">
      <c r="A19" s="63">
        <v>7300</v>
      </c>
      <c r="B19" s="63" t="s">
        <v>445</v>
      </c>
      <c r="C19" s="63" t="s">
        <v>285</v>
      </c>
      <c r="D19" s="63" t="s">
        <v>175</v>
      </c>
      <c r="E19" s="63" t="s">
        <v>446</v>
      </c>
      <c r="F19" s="63">
        <v>1</v>
      </c>
      <c r="G19" s="63">
        <v>7</v>
      </c>
    </row>
    <row r="20" spans="1:7">
      <c r="A20" s="63">
        <v>7300</v>
      </c>
      <c r="B20" s="63" t="s">
        <v>447</v>
      </c>
      <c r="C20" s="63" t="s">
        <v>285</v>
      </c>
      <c r="D20" s="63" t="s">
        <v>176</v>
      </c>
      <c r="E20" s="63" t="s">
        <v>448</v>
      </c>
      <c r="F20" s="63">
        <v>1</v>
      </c>
      <c r="G20" s="63">
        <v>5</v>
      </c>
    </row>
    <row r="21" spans="1:7">
      <c r="A21" s="63">
        <v>7300</v>
      </c>
      <c r="B21" s="63" t="s">
        <v>397</v>
      </c>
      <c r="C21" s="63" t="s">
        <v>285</v>
      </c>
      <c r="D21" s="63" t="s">
        <v>605</v>
      </c>
      <c r="E21" s="63" t="s">
        <v>712</v>
      </c>
      <c r="F21" s="63">
        <v>1</v>
      </c>
      <c r="G21" s="63">
        <v>27</v>
      </c>
    </row>
    <row r="22" spans="1:7">
      <c r="A22" s="63">
        <v>7300</v>
      </c>
      <c r="B22" s="63" t="s">
        <v>664</v>
      </c>
      <c r="C22" s="63" t="s">
        <v>285</v>
      </c>
      <c r="D22" s="63" t="s">
        <v>175</v>
      </c>
      <c r="E22" s="63" t="s">
        <v>713</v>
      </c>
      <c r="F22" s="63">
        <v>1</v>
      </c>
      <c r="G22" s="63">
        <v>3</v>
      </c>
    </row>
    <row r="23" spans="1:7">
      <c r="A23" s="63">
        <v>7300</v>
      </c>
      <c r="B23" s="63" t="s">
        <v>691</v>
      </c>
      <c r="C23" s="63" t="s">
        <v>285</v>
      </c>
      <c r="D23" s="63" t="s">
        <v>175</v>
      </c>
      <c r="E23" s="63" t="s">
        <v>695</v>
      </c>
      <c r="F23" s="63">
        <v>1</v>
      </c>
      <c r="G23" s="63">
        <v>3</v>
      </c>
    </row>
    <row r="24" spans="1:7">
      <c r="A24" s="63">
        <v>7300</v>
      </c>
      <c r="B24" s="63" t="s">
        <v>576</v>
      </c>
      <c r="C24" s="63" t="s">
        <v>285</v>
      </c>
      <c r="D24" s="63" t="s">
        <v>173</v>
      </c>
      <c r="E24" s="63" t="s">
        <v>598</v>
      </c>
      <c r="F24" s="63">
        <v>1</v>
      </c>
      <c r="G24" s="63">
        <v>9</v>
      </c>
    </row>
    <row r="25" spans="1:7">
      <c r="A25" s="63">
        <v>7300</v>
      </c>
      <c r="B25" s="63" t="s">
        <v>576</v>
      </c>
      <c r="C25" s="63" t="s">
        <v>285</v>
      </c>
      <c r="D25" s="63" t="s">
        <v>173</v>
      </c>
      <c r="E25" s="63" t="s">
        <v>630</v>
      </c>
      <c r="F25" s="63">
        <v>1</v>
      </c>
      <c r="G25" s="63">
        <v>60</v>
      </c>
    </row>
    <row r="26" spans="1:7">
      <c r="A26" s="63">
        <v>7300</v>
      </c>
      <c r="B26" s="63" t="s">
        <v>576</v>
      </c>
      <c r="C26" s="63" t="s">
        <v>285</v>
      </c>
      <c r="D26" s="63" t="s">
        <v>175</v>
      </c>
      <c r="E26" s="63" t="s">
        <v>629</v>
      </c>
      <c r="F26" s="63">
        <v>1</v>
      </c>
      <c r="G26" s="63">
        <v>60</v>
      </c>
    </row>
    <row r="27" spans="1:7">
      <c r="A27" s="63">
        <v>7300</v>
      </c>
      <c r="B27" s="63" t="s">
        <v>580</v>
      </c>
      <c r="C27" s="63" t="s">
        <v>285</v>
      </c>
      <c r="D27" s="63" t="s">
        <v>184</v>
      </c>
      <c r="E27" s="63" t="s">
        <v>626</v>
      </c>
      <c r="F27" s="63">
        <v>1</v>
      </c>
      <c r="G27" s="63">
        <v>5</v>
      </c>
    </row>
    <row r="28" spans="1:7">
      <c r="A28" s="63">
        <v>7300</v>
      </c>
      <c r="B28" s="63" t="s">
        <v>452</v>
      </c>
      <c r="C28" s="63" t="s">
        <v>301</v>
      </c>
      <c r="D28" s="63" t="s">
        <v>172</v>
      </c>
      <c r="E28" s="63" t="s">
        <v>453</v>
      </c>
      <c r="F28" s="63">
        <v>1</v>
      </c>
      <c r="G28" s="63">
        <v>9</v>
      </c>
    </row>
    <row r="29" spans="1:7">
      <c r="A29" s="63">
        <v>7300</v>
      </c>
      <c r="B29" s="63" t="s">
        <v>454</v>
      </c>
      <c r="C29" s="63" t="s">
        <v>301</v>
      </c>
      <c r="D29" s="63" t="s">
        <v>174</v>
      </c>
      <c r="E29" s="63" t="s">
        <v>455</v>
      </c>
      <c r="F29" s="63">
        <v>1</v>
      </c>
      <c r="G29" s="63">
        <v>55</v>
      </c>
    </row>
    <row r="30" spans="1:7">
      <c r="A30" s="63">
        <v>7300</v>
      </c>
      <c r="B30" s="63" t="s">
        <v>454</v>
      </c>
      <c r="C30" s="63" t="s">
        <v>301</v>
      </c>
      <c r="D30" s="63" t="s">
        <v>175</v>
      </c>
      <c r="E30" s="63" t="s">
        <v>456</v>
      </c>
      <c r="F30" s="63">
        <v>1</v>
      </c>
      <c r="G30" s="63">
        <v>27</v>
      </c>
    </row>
    <row r="31" spans="1:7">
      <c r="A31" s="63">
        <v>7300</v>
      </c>
      <c r="B31" s="63" t="s">
        <v>457</v>
      </c>
      <c r="C31" s="63" t="s">
        <v>285</v>
      </c>
      <c r="D31" s="63" t="s">
        <v>175</v>
      </c>
      <c r="E31" s="63" t="s">
        <v>458</v>
      </c>
      <c r="F31" s="63">
        <v>1</v>
      </c>
      <c r="G31" s="63">
        <v>16</v>
      </c>
    </row>
    <row r="32" spans="1:7">
      <c r="A32" s="63">
        <v>7310</v>
      </c>
      <c r="B32" s="63" t="s">
        <v>300</v>
      </c>
      <c r="C32" s="63" t="s">
        <v>301</v>
      </c>
      <c r="D32" s="63" t="s">
        <v>173</v>
      </c>
      <c r="E32" s="63" t="s">
        <v>399</v>
      </c>
      <c r="F32" s="63">
        <v>1</v>
      </c>
      <c r="G32" s="63">
        <v>5</v>
      </c>
    </row>
    <row r="33" spans="1:7">
      <c r="A33" s="63">
        <v>7310</v>
      </c>
      <c r="B33" s="63" t="s">
        <v>460</v>
      </c>
      <c r="C33" s="63" t="s">
        <v>301</v>
      </c>
      <c r="D33" s="63" t="s">
        <v>173</v>
      </c>
      <c r="E33" s="63" t="s">
        <v>461</v>
      </c>
      <c r="F33" s="63">
        <v>1</v>
      </c>
      <c r="G33" s="63">
        <v>59</v>
      </c>
    </row>
    <row r="34" spans="1:7">
      <c r="A34" s="63">
        <v>7310</v>
      </c>
      <c r="B34" s="63" t="s">
        <v>524</v>
      </c>
      <c r="C34" s="63" t="s">
        <v>285</v>
      </c>
      <c r="D34" s="63" t="s">
        <v>203</v>
      </c>
      <c r="E34" s="63" t="s">
        <v>753</v>
      </c>
      <c r="F34" s="63">
        <v>1</v>
      </c>
      <c r="G34" s="63">
        <v>38</v>
      </c>
    </row>
    <row r="35" spans="1:7">
      <c r="A35" s="63">
        <v>7310</v>
      </c>
      <c r="B35" s="63" t="s">
        <v>375</v>
      </c>
      <c r="C35" s="63" t="s">
        <v>285</v>
      </c>
      <c r="D35" s="63" t="s">
        <v>173</v>
      </c>
      <c r="E35" s="63" t="s">
        <v>462</v>
      </c>
      <c r="F35" s="63">
        <v>1</v>
      </c>
      <c r="G35" s="63">
        <v>20</v>
      </c>
    </row>
    <row r="36" spans="1:7">
      <c r="A36" s="63">
        <v>7330</v>
      </c>
      <c r="B36" s="63" t="s">
        <v>576</v>
      </c>
      <c r="C36" s="63" t="s">
        <v>285</v>
      </c>
      <c r="D36" s="63" t="s">
        <v>172</v>
      </c>
      <c r="E36" s="63" t="s">
        <v>614</v>
      </c>
      <c r="F36" s="63">
        <v>1</v>
      </c>
      <c r="G36" s="63">
        <v>24</v>
      </c>
    </row>
    <row r="37" spans="1:7">
      <c r="A37" s="63">
        <v>7330</v>
      </c>
      <c r="B37" s="63" t="s">
        <v>583</v>
      </c>
      <c r="C37" s="63" t="s">
        <v>301</v>
      </c>
      <c r="D37" s="63" t="s">
        <v>173</v>
      </c>
      <c r="E37" s="63" t="s">
        <v>628</v>
      </c>
      <c r="F37" s="63">
        <v>1</v>
      </c>
      <c r="G37" s="63">
        <v>5</v>
      </c>
    </row>
    <row r="38" spans="1:7">
      <c r="A38" s="63">
        <v>7560</v>
      </c>
      <c r="B38" s="63" t="s">
        <v>460</v>
      </c>
      <c r="C38" s="63" t="s">
        <v>301</v>
      </c>
      <c r="D38" s="63" t="s">
        <v>184</v>
      </c>
      <c r="E38" s="63" t="s">
        <v>463</v>
      </c>
      <c r="F38" s="63">
        <v>1</v>
      </c>
      <c r="G38" s="63">
        <v>21</v>
      </c>
    </row>
    <row r="39" spans="1:7">
      <c r="A39" s="63">
        <v>7560</v>
      </c>
      <c r="B39" s="63" t="s">
        <v>658</v>
      </c>
      <c r="C39" s="63" t="s">
        <v>285</v>
      </c>
      <c r="D39" s="63" t="s">
        <v>750</v>
      </c>
      <c r="E39" s="63" t="s">
        <v>764</v>
      </c>
      <c r="F39" s="63">
        <v>1</v>
      </c>
      <c r="G39" s="63">
        <v>3</v>
      </c>
    </row>
    <row r="40" spans="1:7">
      <c r="A40" s="63">
        <v>7560</v>
      </c>
      <c r="B40" s="63" t="s">
        <v>398</v>
      </c>
      <c r="C40" s="63" t="s">
        <v>285</v>
      </c>
      <c r="D40" s="63" t="s">
        <v>175</v>
      </c>
      <c r="E40" s="63" t="s">
        <v>599</v>
      </c>
      <c r="F40" s="63">
        <v>1</v>
      </c>
      <c r="G40" s="63">
        <v>51</v>
      </c>
    </row>
    <row r="41" spans="1:7">
      <c r="A41" s="63">
        <v>7560</v>
      </c>
      <c r="B41" s="63" t="s">
        <v>360</v>
      </c>
      <c r="C41" s="63" t="s">
        <v>285</v>
      </c>
      <c r="D41" s="63" t="s">
        <v>172</v>
      </c>
      <c r="E41" s="63" t="s">
        <v>688</v>
      </c>
      <c r="F41" s="63">
        <v>1</v>
      </c>
      <c r="G41" s="63">
        <v>30</v>
      </c>
    </row>
    <row r="42" spans="1:7">
      <c r="A42" s="63">
        <v>7560</v>
      </c>
      <c r="B42" s="63" t="s">
        <v>656</v>
      </c>
      <c r="C42" s="63" t="s">
        <v>285</v>
      </c>
      <c r="D42" s="63" t="s">
        <v>184</v>
      </c>
      <c r="E42" s="63" t="s">
        <v>610</v>
      </c>
      <c r="F42" s="63">
        <v>1</v>
      </c>
      <c r="G42" s="63">
        <v>20</v>
      </c>
    </row>
    <row r="43" spans="1:7">
      <c r="A43" s="63">
        <v>7560</v>
      </c>
      <c r="B43" s="63" t="s">
        <v>582</v>
      </c>
      <c r="C43" s="63" t="s">
        <v>285</v>
      </c>
      <c r="D43" s="63" t="s">
        <v>172</v>
      </c>
      <c r="E43" s="63" t="s">
        <v>608</v>
      </c>
      <c r="F43" s="63">
        <v>1</v>
      </c>
      <c r="G43" s="63">
        <v>8</v>
      </c>
    </row>
    <row r="44" spans="1:7">
      <c r="A44" s="63">
        <v>7560</v>
      </c>
      <c r="B44" s="63" t="s">
        <v>582</v>
      </c>
      <c r="C44" s="63" t="s">
        <v>301</v>
      </c>
      <c r="D44" s="63" t="s">
        <v>175</v>
      </c>
      <c r="E44" s="63" t="s">
        <v>657</v>
      </c>
      <c r="F44" s="63">
        <v>1</v>
      </c>
      <c r="G44" s="63">
        <v>5</v>
      </c>
    </row>
    <row r="45" spans="1:7">
      <c r="A45" s="63">
        <v>7560</v>
      </c>
      <c r="B45" s="63" t="s">
        <v>583</v>
      </c>
      <c r="C45" s="63" t="s">
        <v>285</v>
      </c>
      <c r="D45" s="63" t="s">
        <v>175</v>
      </c>
      <c r="E45" s="63" t="s">
        <v>662</v>
      </c>
      <c r="F45" s="63">
        <v>1</v>
      </c>
      <c r="G45" s="63">
        <v>32</v>
      </c>
    </row>
    <row r="46" spans="1:7">
      <c r="A46" s="63">
        <v>7560</v>
      </c>
      <c r="B46" s="63" t="s">
        <v>655</v>
      </c>
      <c r="C46" s="63" t="s">
        <v>285</v>
      </c>
      <c r="D46" s="63" t="s">
        <v>175</v>
      </c>
      <c r="E46" s="63" t="s">
        <v>665</v>
      </c>
      <c r="F46" s="63">
        <v>1</v>
      </c>
      <c r="G46" s="63">
        <v>24</v>
      </c>
    </row>
    <row r="47" spans="1:7">
      <c r="A47" s="63">
        <v>7560</v>
      </c>
      <c r="B47" s="63" t="s">
        <v>627</v>
      </c>
      <c r="C47" s="63" t="s">
        <v>285</v>
      </c>
      <c r="D47" s="63" t="s">
        <v>175</v>
      </c>
      <c r="E47" s="63" t="s">
        <v>669</v>
      </c>
      <c r="F47" s="63">
        <v>1</v>
      </c>
      <c r="G47" s="63">
        <v>9</v>
      </c>
    </row>
    <row r="48" spans="1:7">
      <c r="A48" s="63">
        <v>7570</v>
      </c>
      <c r="B48" s="63" t="s">
        <v>579</v>
      </c>
      <c r="C48" s="63" t="s">
        <v>285</v>
      </c>
      <c r="D48" s="63" t="s">
        <v>184</v>
      </c>
      <c r="E48" s="63" t="s">
        <v>687</v>
      </c>
      <c r="F48" s="63">
        <v>1</v>
      </c>
      <c r="G48" s="63">
        <v>10</v>
      </c>
    </row>
    <row r="49" spans="1:7">
      <c r="A49" s="63">
        <v>7570</v>
      </c>
      <c r="B49" s="63" t="s">
        <v>616</v>
      </c>
      <c r="C49" s="63" t="s">
        <v>285</v>
      </c>
      <c r="D49" s="63" t="s">
        <v>184</v>
      </c>
      <c r="E49" s="63" t="s">
        <v>668</v>
      </c>
      <c r="F49" s="63">
        <v>1</v>
      </c>
      <c r="G49" s="63">
        <v>6</v>
      </c>
    </row>
    <row r="50" spans="1:7">
      <c r="A50" s="63">
        <v>7571</v>
      </c>
      <c r="B50" s="63" t="s">
        <v>520</v>
      </c>
      <c r="C50" s="63" t="s">
        <v>285</v>
      </c>
      <c r="D50" s="63" t="s">
        <v>203</v>
      </c>
      <c r="E50" s="63" t="s">
        <v>392</v>
      </c>
      <c r="F50" s="63">
        <v>1</v>
      </c>
      <c r="G50" s="63">
        <v>60</v>
      </c>
    </row>
    <row r="51" spans="1:7">
      <c r="A51" s="63">
        <v>7571</v>
      </c>
      <c r="B51" s="63" t="s">
        <v>520</v>
      </c>
      <c r="C51" s="63" t="s">
        <v>285</v>
      </c>
      <c r="D51" s="63" t="s">
        <v>184</v>
      </c>
      <c r="E51" s="63" t="s">
        <v>667</v>
      </c>
      <c r="F51" s="63">
        <v>1</v>
      </c>
      <c r="G51" s="63">
        <v>4</v>
      </c>
    </row>
    <row r="52" spans="1:7">
      <c r="A52" s="63">
        <v>7590</v>
      </c>
      <c r="B52" s="63" t="s">
        <v>421</v>
      </c>
      <c r="C52" s="63" t="s">
        <v>285</v>
      </c>
      <c r="D52" s="63" t="s">
        <v>176</v>
      </c>
      <c r="E52" s="63" t="s">
        <v>663</v>
      </c>
      <c r="F52" s="63">
        <v>1</v>
      </c>
      <c r="G52" s="63">
        <v>9</v>
      </c>
    </row>
    <row r="53" spans="1:7">
      <c r="A53" s="63">
        <v>7599</v>
      </c>
      <c r="B53" s="63" t="s">
        <v>754</v>
      </c>
      <c r="C53" s="63" t="s">
        <v>285</v>
      </c>
      <c r="D53" s="63" t="s">
        <v>184</v>
      </c>
      <c r="E53" s="63" t="s">
        <v>638</v>
      </c>
      <c r="F53" s="63">
        <v>1</v>
      </c>
      <c r="G53" s="63">
        <v>1</v>
      </c>
    </row>
    <row r="54" spans="1:7">
      <c r="A54" s="63">
        <v>8300</v>
      </c>
      <c r="B54" s="63" t="s">
        <v>711</v>
      </c>
      <c r="C54" s="63" t="s">
        <v>285</v>
      </c>
      <c r="D54" s="63" t="s">
        <v>173</v>
      </c>
      <c r="E54" s="63" t="s">
        <v>609</v>
      </c>
      <c r="F54" s="63">
        <v>1</v>
      </c>
      <c r="G54" s="63">
        <v>25</v>
      </c>
    </row>
    <row r="55" spans="1:7">
      <c r="A55" s="63">
        <v>8300</v>
      </c>
      <c r="B55" s="63" t="s">
        <v>709</v>
      </c>
      <c r="C55" s="63" t="s">
        <v>285</v>
      </c>
      <c r="D55" s="63" t="s">
        <v>203</v>
      </c>
      <c r="E55" s="63" t="s">
        <v>748</v>
      </c>
      <c r="F55" s="63">
        <v>1</v>
      </c>
      <c r="G55" s="63">
        <v>5</v>
      </c>
    </row>
    <row r="56" spans="1:7">
      <c r="A56" s="63">
        <v>8313</v>
      </c>
      <c r="B56" s="63" t="s">
        <v>422</v>
      </c>
      <c r="C56" s="63" t="s">
        <v>285</v>
      </c>
      <c r="D56" s="63" t="s">
        <v>184</v>
      </c>
      <c r="E56" s="63" t="s">
        <v>572</v>
      </c>
      <c r="F56" s="63">
        <v>1</v>
      </c>
      <c r="G56" s="63">
        <v>3</v>
      </c>
    </row>
    <row r="57" spans="1:7">
      <c r="A57" s="63">
        <v>9199</v>
      </c>
      <c r="B57" s="63" t="s">
        <v>465</v>
      </c>
      <c r="C57" s="63" t="s">
        <v>285</v>
      </c>
      <c r="D57" s="63" t="s">
        <v>177</v>
      </c>
      <c r="E57" s="63" t="s">
        <v>651</v>
      </c>
      <c r="F57" s="63">
        <v>1</v>
      </c>
      <c r="G57" s="63">
        <v>10</v>
      </c>
    </row>
    <row r="58" spans="1:7">
      <c r="A58" s="63">
        <v>9500</v>
      </c>
      <c r="B58" s="63" t="s">
        <v>466</v>
      </c>
      <c r="C58" s="63" t="s">
        <v>285</v>
      </c>
      <c r="D58" s="63" t="s">
        <v>311</v>
      </c>
      <c r="E58" s="63" t="s">
        <v>660</v>
      </c>
      <c r="F58" s="63">
        <v>1</v>
      </c>
      <c r="G58" s="63">
        <v>60</v>
      </c>
    </row>
    <row r="59" spans="1:7">
      <c r="A59" s="63">
        <v>9500</v>
      </c>
      <c r="B59" s="63" t="s">
        <v>466</v>
      </c>
      <c r="C59" s="63" t="s">
        <v>285</v>
      </c>
      <c r="D59" s="63" t="s">
        <v>254</v>
      </c>
      <c r="E59" s="63" t="s">
        <v>659</v>
      </c>
      <c r="F59" s="63">
        <v>1</v>
      </c>
      <c r="G59" s="63">
        <v>23</v>
      </c>
    </row>
    <row r="60" spans="1:7">
      <c r="A60" s="63">
        <v>9500</v>
      </c>
      <c r="B60" s="63" t="s">
        <v>467</v>
      </c>
      <c r="C60" s="63" t="s">
        <v>285</v>
      </c>
      <c r="D60" s="63" t="s">
        <v>176</v>
      </c>
      <c r="E60" s="63" t="s">
        <v>666</v>
      </c>
      <c r="F60" s="63">
        <v>1</v>
      </c>
      <c r="G60" s="63">
        <v>9</v>
      </c>
    </row>
    <row r="61" spans="1:7">
      <c r="A61" s="63">
        <v>9511</v>
      </c>
      <c r="B61" s="63" t="s">
        <v>498</v>
      </c>
      <c r="C61" s="63" t="s">
        <v>285</v>
      </c>
      <c r="D61" s="63" t="s">
        <v>172</v>
      </c>
      <c r="E61" s="63" t="s">
        <v>499</v>
      </c>
      <c r="F61" s="63">
        <v>1</v>
      </c>
      <c r="G61" s="63">
        <v>59</v>
      </c>
    </row>
    <row r="62" spans="1:7">
      <c r="A62" s="63">
        <v>9580</v>
      </c>
      <c r="B62" s="63" t="s">
        <v>689</v>
      </c>
      <c r="C62" s="63" t="s">
        <v>325</v>
      </c>
      <c r="D62" s="63" t="s">
        <v>176</v>
      </c>
      <c r="E62" s="63" t="s">
        <v>470</v>
      </c>
      <c r="F62" s="63">
        <v>1</v>
      </c>
      <c r="G62" s="63">
        <v>20</v>
      </c>
    </row>
    <row r="63" spans="1:7">
      <c r="A63" s="63">
        <v>9920</v>
      </c>
      <c r="B63" s="63" t="s">
        <v>586</v>
      </c>
      <c r="C63" s="63" t="s">
        <v>301</v>
      </c>
      <c r="D63" s="63" t="s">
        <v>459</v>
      </c>
      <c r="E63" s="63" t="s">
        <v>587</v>
      </c>
      <c r="F63" s="63">
        <v>1</v>
      </c>
      <c r="G63" s="63">
        <v>27</v>
      </c>
    </row>
    <row r="64" spans="1:7">
      <c r="A64" s="63">
        <v>9920</v>
      </c>
      <c r="B64" s="63" t="s">
        <v>510</v>
      </c>
      <c r="C64" s="63" t="s">
        <v>325</v>
      </c>
      <c r="D64" s="63" t="s">
        <v>459</v>
      </c>
      <c r="E64" s="63" t="s">
        <v>511</v>
      </c>
      <c r="F64" s="63">
        <v>1</v>
      </c>
      <c r="G64" s="63">
        <v>8</v>
      </c>
    </row>
    <row r="65" spans="1:7">
      <c r="A65" s="63">
        <v>9920</v>
      </c>
      <c r="B65" s="63" t="s">
        <v>512</v>
      </c>
      <c r="C65" s="63" t="s">
        <v>325</v>
      </c>
      <c r="D65" s="63" t="s">
        <v>459</v>
      </c>
      <c r="E65" s="63" t="s">
        <v>513</v>
      </c>
      <c r="F65" s="63">
        <v>1</v>
      </c>
      <c r="G65" s="63">
        <v>1</v>
      </c>
    </row>
    <row r="66" spans="1:7">
      <c r="A66" s="63">
        <v>9920</v>
      </c>
      <c r="B66" s="63" t="s">
        <v>621</v>
      </c>
      <c r="C66" s="63" t="s">
        <v>325</v>
      </c>
      <c r="D66" s="63" t="s">
        <v>459</v>
      </c>
      <c r="E66" s="63" t="s">
        <v>617</v>
      </c>
      <c r="F66" s="63">
        <v>1</v>
      </c>
      <c r="G66" s="63">
        <v>7</v>
      </c>
    </row>
    <row r="67" spans="1:7">
      <c r="A67" s="63" t="s">
        <v>518</v>
      </c>
      <c r="B67" s="63" t="s">
        <v>520</v>
      </c>
      <c r="C67" s="63" t="s">
        <v>285</v>
      </c>
      <c r="D67" s="63" t="s">
        <v>174</v>
      </c>
      <c r="E67" s="63" t="s">
        <v>521</v>
      </c>
      <c r="F67" s="63">
        <v>1</v>
      </c>
      <c r="G67" s="63">
        <v>5</v>
      </c>
    </row>
    <row r="68" spans="1:7">
      <c r="A68" s="63" t="s">
        <v>518</v>
      </c>
      <c r="B68" s="63" t="s">
        <v>522</v>
      </c>
      <c r="C68" s="63" t="s">
        <v>285</v>
      </c>
      <c r="D68" s="63" t="s">
        <v>203</v>
      </c>
      <c r="E68" s="63" t="s">
        <v>523</v>
      </c>
      <c r="F68" s="63">
        <v>1</v>
      </c>
      <c r="G68" s="63">
        <v>60</v>
      </c>
    </row>
    <row r="69" spans="1:7">
      <c r="A69" s="63" t="s">
        <v>518</v>
      </c>
      <c r="B69" s="63" t="s">
        <v>524</v>
      </c>
      <c r="C69" s="63" t="s">
        <v>325</v>
      </c>
      <c r="D69" s="63" t="s">
        <v>174</v>
      </c>
      <c r="E69" s="63" t="s">
        <v>525</v>
      </c>
      <c r="F69" s="63">
        <v>1</v>
      </c>
      <c r="G69" s="63">
        <v>1</v>
      </c>
    </row>
    <row r="70" spans="1:7">
      <c r="A70" s="63" t="s">
        <v>518</v>
      </c>
      <c r="B70" s="63" t="s">
        <v>526</v>
      </c>
      <c r="C70" s="63" t="s">
        <v>285</v>
      </c>
      <c r="D70" s="63" t="s">
        <v>174</v>
      </c>
      <c r="E70" s="63" t="s">
        <v>527</v>
      </c>
      <c r="F70" s="63">
        <v>1</v>
      </c>
      <c r="G70" s="63">
        <v>22</v>
      </c>
    </row>
    <row r="71" spans="1:7">
      <c r="A71" s="63" t="s">
        <v>518</v>
      </c>
      <c r="B71" s="63" t="s">
        <v>528</v>
      </c>
      <c r="C71" s="63" t="s">
        <v>285</v>
      </c>
      <c r="D71" s="63" t="s">
        <v>184</v>
      </c>
      <c r="E71" s="63" t="s">
        <v>529</v>
      </c>
      <c r="F71" s="63">
        <v>1</v>
      </c>
      <c r="G71" s="63">
        <v>59</v>
      </c>
    </row>
    <row r="72" spans="1:7">
      <c r="A72" s="63" t="s">
        <v>518</v>
      </c>
      <c r="B72" s="63" t="s">
        <v>437</v>
      </c>
      <c r="C72" s="63" t="s">
        <v>285</v>
      </c>
      <c r="D72" s="63" t="s">
        <v>172</v>
      </c>
      <c r="E72" s="63" t="s">
        <v>530</v>
      </c>
      <c r="F72" s="63">
        <v>1</v>
      </c>
      <c r="G72" s="63">
        <v>6</v>
      </c>
    </row>
    <row r="73" spans="1:7">
      <c r="A73" s="63" t="s">
        <v>518</v>
      </c>
      <c r="B73" s="63" t="s">
        <v>531</v>
      </c>
      <c r="C73" s="63" t="s">
        <v>285</v>
      </c>
      <c r="D73" s="63" t="s">
        <v>173</v>
      </c>
      <c r="E73" s="63" t="s">
        <v>532</v>
      </c>
      <c r="F73" s="63">
        <v>1</v>
      </c>
      <c r="G73" s="63">
        <v>2</v>
      </c>
    </row>
    <row r="74" spans="1:7">
      <c r="A74" s="63" t="s">
        <v>518</v>
      </c>
      <c r="B74" s="63" t="s">
        <v>375</v>
      </c>
      <c r="C74" s="63" t="s">
        <v>285</v>
      </c>
      <c r="D74" s="63" t="s">
        <v>175</v>
      </c>
      <c r="E74" s="63" t="s">
        <v>533</v>
      </c>
      <c r="F74" s="63">
        <v>1</v>
      </c>
      <c r="G74" s="63">
        <v>29</v>
      </c>
    </row>
    <row r="75" spans="1:7">
      <c r="A75" s="63" t="s">
        <v>518</v>
      </c>
      <c r="B75" s="63" t="s">
        <v>514</v>
      </c>
      <c r="C75" s="63" t="s">
        <v>285</v>
      </c>
      <c r="D75" s="63" t="s">
        <v>175</v>
      </c>
      <c r="E75" s="63" t="s">
        <v>534</v>
      </c>
      <c r="F75" s="63">
        <v>1</v>
      </c>
      <c r="G75" s="63">
        <v>42</v>
      </c>
    </row>
    <row r="76" spans="1:7">
      <c r="A76" s="63" t="s">
        <v>518</v>
      </c>
      <c r="B76" s="63" t="s">
        <v>535</v>
      </c>
      <c r="C76" s="63" t="s">
        <v>285</v>
      </c>
      <c r="D76" s="63" t="s">
        <v>172</v>
      </c>
      <c r="E76" s="63" t="s">
        <v>536</v>
      </c>
      <c r="F76" s="63">
        <v>1</v>
      </c>
      <c r="G76" s="63">
        <v>43</v>
      </c>
    </row>
    <row r="77" spans="1:7">
      <c r="A77" s="63" t="s">
        <v>518</v>
      </c>
      <c r="B77" s="63" t="s">
        <v>535</v>
      </c>
      <c r="C77" s="63" t="s">
        <v>285</v>
      </c>
      <c r="D77" s="63" t="s">
        <v>175</v>
      </c>
      <c r="E77" s="63" t="s">
        <v>537</v>
      </c>
      <c r="F77" s="63">
        <v>1</v>
      </c>
      <c r="G77" s="63">
        <v>37</v>
      </c>
    </row>
    <row r="78" spans="1:7">
      <c r="A78" s="63" t="s">
        <v>518</v>
      </c>
      <c r="B78" s="63" t="s">
        <v>409</v>
      </c>
      <c r="C78" s="63" t="s">
        <v>325</v>
      </c>
      <c r="D78" s="63" t="s">
        <v>175</v>
      </c>
      <c r="E78" s="63" t="s">
        <v>538</v>
      </c>
      <c r="F78" s="63">
        <v>1</v>
      </c>
      <c r="G78" s="63">
        <v>8</v>
      </c>
    </row>
    <row r="79" spans="1:7">
      <c r="A79" s="63" t="s">
        <v>518</v>
      </c>
      <c r="B79" s="63" t="s">
        <v>415</v>
      </c>
      <c r="C79" s="63" t="s">
        <v>325</v>
      </c>
      <c r="D79" s="63" t="s">
        <v>172</v>
      </c>
      <c r="E79" s="63" t="s">
        <v>539</v>
      </c>
      <c r="F79" s="63">
        <v>1</v>
      </c>
      <c r="G79" s="63">
        <v>5</v>
      </c>
    </row>
    <row r="80" spans="1:7">
      <c r="A80" s="63" t="s">
        <v>518</v>
      </c>
      <c r="B80" s="63" t="s">
        <v>541</v>
      </c>
      <c r="C80" s="63" t="s">
        <v>285</v>
      </c>
      <c r="D80" s="63" t="s">
        <v>174</v>
      </c>
      <c r="E80" s="63" t="s">
        <v>542</v>
      </c>
      <c r="F80" s="63">
        <v>1</v>
      </c>
      <c r="G80" s="63">
        <v>26</v>
      </c>
    </row>
    <row r="81" spans="1:7">
      <c r="A81" s="63" t="s">
        <v>518</v>
      </c>
      <c r="B81" s="63" t="s">
        <v>543</v>
      </c>
      <c r="C81" s="63" t="s">
        <v>285</v>
      </c>
      <c r="D81" s="63" t="s">
        <v>174</v>
      </c>
      <c r="E81" s="63" t="s">
        <v>544</v>
      </c>
      <c r="F81" s="63">
        <v>1</v>
      </c>
      <c r="G81" s="63">
        <v>1</v>
      </c>
    </row>
    <row r="82" spans="1:7">
      <c r="A82" s="63" t="s">
        <v>518</v>
      </c>
      <c r="B82" s="63" t="s">
        <v>545</v>
      </c>
      <c r="C82" s="63" t="s">
        <v>285</v>
      </c>
      <c r="D82" s="63" t="s">
        <v>172</v>
      </c>
      <c r="E82" s="63" t="s">
        <v>546</v>
      </c>
      <c r="F82" s="63">
        <v>1</v>
      </c>
      <c r="G82" s="63">
        <v>4</v>
      </c>
    </row>
    <row r="83" spans="1:7">
      <c r="A83" s="63" t="s">
        <v>518</v>
      </c>
      <c r="B83" s="63" t="s">
        <v>547</v>
      </c>
      <c r="C83" s="63" t="s">
        <v>285</v>
      </c>
      <c r="D83" s="63" t="s">
        <v>203</v>
      </c>
      <c r="E83" s="63" t="s">
        <v>548</v>
      </c>
      <c r="F83" s="63">
        <v>1</v>
      </c>
      <c r="G83" s="63">
        <v>30</v>
      </c>
    </row>
    <row r="84" spans="1:7">
      <c r="A84" s="63" t="s">
        <v>518</v>
      </c>
      <c r="B84" s="63" t="s">
        <v>324</v>
      </c>
      <c r="C84" s="63" t="s">
        <v>325</v>
      </c>
      <c r="D84" s="63" t="s">
        <v>175</v>
      </c>
      <c r="E84" s="63" t="s">
        <v>549</v>
      </c>
      <c r="F84" s="63">
        <v>1</v>
      </c>
      <c r="G84" s="63">
        <v>40</v>
      </c>
    </row>
    <row r="85" spans="1:7">
      <c r="A85" s="63" t="s">
        <v>518</v>
      </c>
      <c r="B85" s="63" t="s">
        <v>550</v>
      </c>
      <c r="C85" s="63" t="s">
        <v>285</v>
      </c>
      <c r="D85" s="63" t="s">
        <v>173</v>
      </c>
      <c r="E85" s="63" t="s">
        <v>551</v>
      </c>
      <c r="F85" s="63">
        <v>1</v>
      </c>
      <c r="G85" s="63">
        <v>33</v>
      </c>
    </row>
    <row r="86" spans="1:7">
      <c r="A86" s="63" t="s">
        <v>518</v>
      </c>
      <c r="B86" s="63" t="s">
        <v>516</v>
      </c>
      <c r="C86" s="63" t="s">
        <v>325</v>
      </c>
      <c r="D86" s="63" t="s">
        <v>174</v>
      </c>
      <c r="E86" s="63" t="s">
        <v>552</v>
      </c>
      <c r="F86" s="63">
        <v>1</v>
      </c>
      <c r="G86" s="63">
        <v>43</v>
      </c>
    </row>
    <row r="87" spans="1:7">
      <c r="A87" s="63" t="s">
        <v>518</v>
      </c>
      <c r="B87" s="63" t="s">
        <v>434</v>
      </c>
      <c r="C87" s="63" t="s">
        <v>285</v>
      </c>
      <c r="D87" s="63" t="s">
        <v>175</v>
      </c>
      <c r="E87" s="63" t="s">
        <v>553</v>
      </c>
      <c r="F87" s="63">
        <v>1</v>
      </c>
      <c r="G87" s="63">
        <v>6</v>
      </c>
    </row>
    <row r="88" spans="1:7">
      <c r="A88" s="63" t="s">
        <v>758</v>
      </c>
      <c r="B88" s="63" t="s">
        <v>601</v>
      </c>
      <c r="C88" s="63" t="s">
        <v>205</v>
      </c>
      <c r="D88" s="63" t="s">
        <v>184</v>
      </c>
      <c r="E88" s="63" t="s">
        <v>613</v>
      </c>
      <c r="F88" s="63">
        <v>1</v>
      </c>
      <c r="G88" s="63">
        <v>30</v>
      </c>
    </row>
    <row r="89" spans="1:7">
      <c r="A89" s="63" t="s">
        <v>758</v>
      </c>
      <c r="B89" s="63" t="s">
        <v>318</v>
      </c>
      <c r="C89" s="63" t="s">
        <v>205</v>
      </c>
      <c r="D89" s="63" t="s">
        <v>174</v>
      </c>
      <c r="E89" s="63" t="s">
        <v>752</v>
      </c>
      <c r="F89" s="63">
        <v>1</v>
      </c>
      <c r="G89" s="63">
        <v>2</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9"/>
  <dimension ref="A1:W3240"/>
  <sheetViews>
    <sheetView zoomScale="80" zoomScaleNormal="80" workbookViewId="0">
      <pane ySplit="1" topLeftCell="A1528" activePane="bottomLeft" state="frozen"/>
      <selection pane="bottomLeft" activeCell="G595" sqref="G595"/>
    </sheetView>
  </sheetViews>
  <sheetFormatPr defaultRowHeight="16.5"/>
  <cols>
    <col min="1" max="1" width="9.75" customWidth="1"/>
    <col min="5" max="5" width="10.625" customWidth="1"/>
    <col min="6" max="6" width="11" customWidth="1"/>
    <col min="9" max="9" width="9.5" bestFit="1" customWidth="1"/>
    <col min="13" max="13" width="10" customWidth="1"/>
  </cols>
  <sheetData>
    <row r="1" spans="1:23">
      <c r="A1" s="3" t="s">
        <v>801</v>
      </c>
      <c r="B1" s="158" t="s">
        <v>802</v>
      </c>
      <c r="C1" s="158" t="s">
        <v>803</v>
      </c>
      <c r="D1" s="158" t="s">
        <v>804</v>
      </c>
      <c r="E1" s="158" t="s">
        <v>805</v>
      </c>
      <c r="F1" s="158" t="s">
        <v>806</v>
      </c>
      <c r="G1" s="158" t="s">
        <v>807</v>
      </c>
      <c r="H1" s="63"/>
      <c r="I1" s="63"/>
      <c r="J1" s="63"/>
      <c r="K1" s="63"/>
      <c r="L1" s="63"/>
      <c r="M1" s="63"/>
      <c r="N1" s="63"/>
      <c r="O1" s="63"/>
      <c r="P1" s="63"/>
      <c r="Q1" s="63"/>
      <c r="R1" s="63"/>
      <c r="S1" s="63"/>
      <c r="T1" s="63"/>
      <c r="W1">
        <v>2241</v>
      </c>
    </row>
    <row r="2" spans="1:23">
      <c r="A2" s="293">
        <v>44039</v>
      </c>
      <c r="B2" s="161">
        <v>0.44027777777777777</v>
      </c>
      <c r="C2" s="162">
        <v>40</v>
      </c>
      <c r="D2" s="162">
        <v>18</v>
      </c>
      <c r="E2" s="162">
        <v>15</v>
      </c>
      <c r="F2" s="162">
        <v>-3</v>
      </c>
      <c r="G2" s="163">
        <v>0.87629999999999997</v>
      </c>
      <c r="H2" s="63"/>
      <c r="I2" s="191"/>
      <c r="J2" s="190"/>
      <c r="K2" s="190"/>
      <c r="L2" s="190"/>
      <c r="M2" s="190">
        <v>44039</v>
      </c>
      <c r="N2" s="189" t="s">
        <v>799</v>
      </c>
      <c r="O2" s="189"/>
      <c r="P2" s="189"/>
      <c r="Q2" s="189"/>
      <c r="R2" s="189"/>
      <c r="S2" s="189"/>
    </row>
    <row r="3" spans="1:23">
      <c r="A3" s="294"/>
      <c r="B3" s="164">
        <v>0.68819444444444444</v>
      </c>
      <c r="C3" s="165">
        <v>41</v>
      </c>
      <c r="D3" s="165">
        <v>33</v>
      </c>
      <c r="E3" s="165">
        <v>39</v>
      </c>
      <c r="F3" s="165">
        <v>6</v>
      </c>
      <c r="G3" s="166">
        <v>0.87849999999999995</v>
      </c>
      <c r="H3" s="63"/>
      <c r="I3" s="304"/>
      <c r="J3" s="304"/>
      <c r="K3" s="167">
        <v>0.44027777777777777</v>
      </c>
      <c r="L3" s="168">
        <v>0.68819444444444444</v>
      </c>
      <c r="M3" s="168">
        <v>0.71527777777777779</v>
      </c>
      <c r="N3" s="168">
        <v>0.5493055555555556</v>
      </c>
      <c r="O3" s="169">
        <v>0.55138888888888882</v>
      </c>
      <c r="P3" s="169"/>
      <c r="Q3" s="161"/>
      <c r="R3" s="161"/>
      <c r="S3" s="161"/>
    </row>
    <row r="4" spans="1:23">
      <c r="A4" s="294"/>
      <c r="B4" s="196">
        <v>0.71527777777777779</v>
      </c>
      <c r="C4" s="197">
        <v>42</v>
      </c>
      <c r="D4" s="197">
        <v>33</v>
      </c>
      <c r="E4" s="197">
        <v>43</v>
      </c>
      <c r="F4" s="197">
        <v>10</v>
      </c>
      <c r="G4" s="198">
        <v>0.87749999999999995</v>
      </c>
      <c r="H4" s="63"/>
      <c r="I4" s="295" t="s">
        <v>782</v>
      </c>
      <c r="J4" s="296"/>
      <c r="K4" s="170">
        <v>5</v>
      </c>
      <c r="L4" s="171">
        <v>3</v>
      </c>
      <c r="M4" s="50">
        <v>3</v>
      </c>
      <c r="N4" s="171">
        <v>12</v>
      </c>
      <c r="O4" s="159">
        <v>12</v>
      </c>
      <c r="P4" s="159"/>
      <c r="Q4" s="162"/>
      <c r="R4" s="162"/>
      <c r="S4" s="162"/>
    </row>
    <row r="5" spans="1:23">
      <c r="A5" s="294"/>
      <c r="B5" s="164">
        <v>0.5493055555555556</v>
      </c>
      <c r="C5" s="165">
        <v>68</v>
      </c>
      <c r="D5" s="165">
        <v>7</v>
      </c>
      <c r="E5" s="165">
        <v>22</v>
      </c>
      <c r="F5" s="165">
        <v>15</v>
      </c>
      <c r="G5" s="166">
        <v>0.85570000000000002</v>
      </c>
      <c r="H5" s="63"/>
      <c r="I5" s="295" t="s">
        <v>783</v>
      </c>
      <c r="J5" s="295"/>
      <c r="K5" s="170">
        <v>0</v>
      </c>
      <c r="L5" s="171">
        <v>1</v>
      </c>
      <c r="M5" s="50">
        <v>1</v>
      </c>
      <c r="N5" s="171">
        <v>0</v>
      </c>
      <c r="O5" s="159">
        <v>0</v>
      </c>
      <c r="P5" s="159"/>
      <c r="Q5" s="162"/>
      <c r="R5" s="162"/>
      <c r="S5" s="162"/>
    </row>
    <row r="6" spans="1:23">
      <c r="A6" s="294"/>
      <c r="B6" s="161"/>
      <c r="C6" s="162"/>
      <c r="D6" s="162"/>
      <c r="E6" s="162"/>
      <c r="F6" s="162"/>
      <c r="G6" s="163"/>
      <c r="H6" s="63"/>
      <c r="I6" s="295" t="s">
        <v>784</v>
      </c>
      <c r="J6" s="295"/>
      <c r="K6" s="170">
        <v>0</v>
      </c>
      <c r="L6" s="171">
        <v>0</v>
      </c>
      <c r="M6" s="50">
        <v>0</v>
      </c>
      <c r="N6" s="171">
        <v>2</v>
      </c>
      <c r="O6" s="159">
        <v>3</v>
      </c>
      <c r="P6" s="159"/>
      <c r="Q6" s="162"/>
      <c r="R6" s="162"/>
      <c r="S6" s="162"/>
    </row>
    <row r="7" spans="1:23">
      <c r="A7" s="294"/>
      <c r="B7" s="164"/>
      <c r="C7" s="165"/>
      <c r="D7" s="165"/>
      <c r="E7" s="165"/>
      <c r="F7" s="165"/>
      <c r="G7" s="166"/>
      <c r="H7" s="63"/>
      <c r="I7" s="295" t="s">
        <v>785</v>
      </c>
      <c r="J7" s="295"/>
      <c r="K7" s="170">
        <v>3</v>
      </c>
      <c r="L7" s="171">
        <v>2</v>
      </c>
      <c r="M7" s="50">
        <v>1</v>
      </c>
      <c r="N7" s="171">
        <v>7</v>
      </c>
      <c r="O7" s="159">
        <v>7</v>
      </c>
      <c r="P7" s="159"/>
      <c r="Q7" s="162"/>
      <c r="R7" s="162"/>
      <c r="S7" s="162"/>
    </row>
    <row r="8" spans="1:23">
      <c r="A8" s="294"/>
      <c r="B8" s="161"/>
      <c r="C8" s="162"/>
      <c r="D8" s="162"/>
      <c r="E8" s="162"/>
      <c r="F8" s="162"/>
      <c r="G8" s="163"/>
      <c r="H8" s="63"/>
      <c r="I8" s="295" t="s">
        <v>786</v>
      </c>
      <c r="J8" s="295"/>
      <c r="K8" s="170">
        <v>0</v>
      </c>
      <c r="L8" s="171">
        <v>1</v>
      </c>
      <c r="M8" s="50">
        <v>1</v>
      </c>
      <c r="N8" s="171">
        <v>2</v>
      </c>
      <c r="O8" s="159">
        <v>2</v>
      </c>
      <c r="P8" s="159"/>
      <c r="Q8" s="162"/>
      <c r="R8" s="162"/>
      <c r="S8" s="162"/>
    </row>
    <row r="9" spans="1:23">
      <c r="A9" s="294"/>
      <c r="B9" s="164"/>
      <c r="C9" s="165"/>
      <c r="D9" s="165"/>
      <c r="E9" s="165"/>
      <c r="F9" s="165"/>
      <c r="G9" s="166"/>
      <c r="H9" s="63"/>
      <c r="I9" s="295" t="s">
        <v>787</v>
      </c>
      <c r="J9" s="295"/>
      <c r="K9" s="170">
        <v>10</v>
      </c>
      <c r="L9" s="171">
        <v>10</v>
      </c>
      <c r="M9" s="50">
        <v>12</v>
      </c>
      <c r="N9" s="171">
        <v>11</v>
      </c>
      <c r="O9" s="159">
        <v>11</v>
      </c>
      <c r="P9" s="159"/>
      <c r="Q9" s="162"/>
      <c r="R9" s="162"/>
      <c r="S9" s="162"/>
    </row>
    <row r="10" spans="1:23">
      <c r="A10" s="63"/>
      <c r="B10" s="63"/>
      <c r="C10" s="63"/>
      <c r="D10" s="63"/>
      <c r="E10" s="63"/>
      <c r="F10" s="63"/>
      <c r="G10" s="63"/>
      <c r="H10" s="63"/>
      <c r="I10" s="295" t="s">
        <v>788</v>
      </c>
      <c r="J10" s="295"/>
      <c r="K10" s="170">
        <v>0</v>
      </c>
      <c r="L10" s="171">
        <v>0</v>
      </c>
      <c r="M10" s="50">
        <v>0</v>
      </c>
      <c r="N10" s="171">
        <v>1</v>
      </c>
      <c r="O10" s="159">
        <v>1</v>
      </c>
      <c r="P10" s="159"/>
      <c r="Q10" s="162"/>
      <c r="R10" s="162"/>
      <c r="S10" s="162"/>
    </row>
    <row r="11" spans="1:23">
      <c r="A11" s="63"/>
      <c r="B11" s="63"/>
      <c r="C11" s="63"/>
      <c r="D11" s="63"/>
      <c r="E11" s="63"/>
      <c r="F11" s="63"/>
      <c r="G11" s="63"/>
      <c r="H11" s="63"/>
      <c r="I11" s="295" t="s">
        <v>789</v>
      </c>
      <c r="J11" s="295"/>
      <c r="K11" s="170">
        <v>4</v>
      </c>
      <c r="L11" s="171">
        <v>10</v>
      </c>
      <c r="M11" s="50">
        <v>10</v>
      </c>
      <c r="N11" s="171">
        <v>7</v>
      </c>
      <c r="O11" s="159">
        <v>7</v>
      </c>
      <c r="P11" s="159"/>
      <c r="Q11" s="162"/>
      <c r="R11" s="162"/>
      <c r="S11" s="162"/>
    </row>
    <row r="12" spans="1:23">
      <c r="A12" s="63"/>
      <c r="B12" s="63"/>
      <c r="C12" s="63"/>
      <c r="D12" s="63"/>
      <c r="E12" s="63"/>
      <c r="F12" s="63"/>
      <c r="G12" s="63"/>
      <c r="H12" s="63"/>
      <c r="I12" s="295" t="s">
        <v>790</v>
      </c>
      <c r="J12" s="295"/>
      <c r="K12" s="170">
        <v>5</v>
      </c>
      <c r="L12" s="171">
        <v>2</v>
      </c>
      <c r="M12" s="50">
        <v>2</v>
      </c>
      <c r="N12" s="171">
        <v>2</v>
      </c>
      <c r="O12" s="159">
        <v>2</v>
      </c>
      <c r="P12" s="159"/>
      <c r="Q12" s="162"/>
      <c r="R12" s="162"/>
      <c r="S12" s="162"/>
    </row>
    <row r="13" spans="1:23">
      <c r="A13" s="63"/>
      <c r="B13" s="63"/>
      <c r="C13" s="63"/>
      <c r="D13" s="63"/>
      <c r="E13" s="63"/>
      <c r="F13" s="63"/>
      <c r="G13" s="63"/>
      <c r="H13" s="63"/>
      <c r="I13" s="295" t="s">
        <v>791</v>
      </c>
      <c r="J13" s="295"/>
      <c r="K13" s="170">
        <v>29</v>
      </c>
      <c r="L13" s="171">
        <v>24</v>
      </c>
      <c r="M13" s="50">
        <v>25</v>
      </c>
      <c r="N13" s="171">
        <v>29</v>
      </c>
      <c r="O13" s="159">
        <v>28</v>
      </c>
      <c r="P13" s="159"/>
      <c r="Q13" s="162"/>
      <c r="R13" s="162"/>
      <c r="S13" s="162"/>
    </row>
    <row r="14" spans="1:23">
      <c r="A14" s="63"/>
      <c r="B14" s="63"/>
      <c r="C14" s="63"/>
      <c r="D14" s="63"/>
      <c r="E14" s="63"/>
      <c r="F14" s="63"/>
      <c r="G14" s="63"/>
      <c r="H14" s="63"/>
      <c r="I14" s="296" t="s">
        <v>792</v>
      </c>
      <c r="J14" s="296"/>
      <c r="K14" s="170">
        <v>3</v>
      </c>
      <c r="L14" s="171">
        <v>4</v>
      </c>
      <c r="M14" s="50">
        <v>3</v>
      </c>
      <c r="N14" s="171">
        <v>2</v>
      </c>
      <c r="O14" s="159">
        <v>2</v>
      </c>
      <c r="P14" s="159"/>
      <c r="Q14" s="162"/>
      <c r="R14" s="162"/>
      <c r="S14" s="162"/>
    </row>
    <row r="15" spans="1:23" ht="17.25" thickBot="1">
      <c r="A15" s="63"/>
      <c r="B15" s="63"/>
      <c r="C15" s="63"/>
      <c r="D15" s="63"/>
      <c r="E15" s="63"/>
      <c r="F15" s="63"/>
      <c r="G15" s="63"/>
      <c r="H15" s="63"/>
      <c r="I15" s="297" t="s">
        <v>793</v>
      </c>
      <c r="J15" s="297"/>
      <c r="K15" s="172">
        <f t="shared" ref="K15:S15" si="0">SUM(K4:K14)</f>
        <v>59</v>
      </c>
      <c r="L15" s="173">
        <f t="shared" si="0"/>
        <v>57</v>
      </c>
      <c r="M15" s="173">
        <f t="shared" si="0"/>
        <v>58</v>
      </c>
      <c r="N15" s="173">
        <f t="shared" si="0"/>
        <v>75</v>
      </c>
      <c r="O15" s="174">
        <f t="shared" si="0"/>
        <v>75</v>
      </c>
      <c r="P15" s="174">
        <f t="shared" si="0"/>
        <v>0</v>
      </c>
      <c r="Q15" s="175">
        <f t="shared" si="0"/>
        <v>0</v>
      </c>
      <c r="R15" s="175">
        <f t="shared" si="0"/>
        <v>0</v>
      </c>
      <c r="S15" s="175">
        <f t="shared" si="0"/>
        <v>0</v>
      </c>
    </row>
    <row r="16" spans="1:23" ht="17.25" thickBot="1">
      <c r="A16" s="63"/>
      <c r="B16" s="63"/>
      <c r="C16" s="63"/>
      <c r="D16" s="63"/>
      <c r="E16" s="63"/>
      <c r="F16" s="63"/>
      <c r="G16" s="63"/>
      <c r="H16" s="63"/>
      <c r="I16" s="298" t="s">
        <v>794</v>
      </c>
      <c r="J16" s="299"/>
      <c r="K16" s="176" t="e">
        <f>#REF!-K15</f>
        <v>#REF!</v>
      </c>
      <c r="L16" s="177">
        <f>K15-L15</f>
        <v>2</v>
      </c>
      <c r="M16" s="177">
        <f>K15-M15</f>
        <v>1</v>
      </c>
      <c r="N16" s="177">
        <f>K15-N15</f>
        <v>-16</v>
      </c>
      <c r="O16" s="178">
        <f>K15-O15</f>
        <v>-16</v>
      </c>
      <c r="P16" s="178">
        <f>K15-P15</f>
        <v>59</v>
      </c>
      <c r="Q16" s="179">
        <f>K15-Q15</f>
        <v>59</v>
      </c>
      <c r="R16" s="179">
        <f>K15-R15</f>
        <v>59</v>
      </c>
      <c r="S16" s="180">
        <f>L15-S15</f>
        <v>57</v>
      </c>
    </row>
    <row r="17" spans="1:19">
      <c r="A17" s="63"/>
      <c r="B17" s="63"/>
      <c r="C17" s="63"/>
      <c r="D17" s="63"/>
      <c r="E17" s="63"/>
      <c r="F17" s="63"/>
      <c r="G17" s="63"/>
      <c r="H17" s="63"/>
      <c r="I17" s="300" t="s">
        <v>795</v>
      </c>
      <c r="J17" s="301"/>
      <c r="K17" s="181">
        <v>145</v>
      </c>
      <c r="L17" s="182">
        <v>150</v>
      </c>
      <c r="M17" s="182">
        <v>182</v>
      </c>
      <c r="N17" s="182">
        <v>201</v>
      </c>
      <c r="O17" s="183">
        <v>199</v>
      </c>
      <c r="P17" s="182"/>
      <c r="Q17" s="182"/>
      <c r="R17" s="182"/>
      <c r="S17" s="182"/>
    </row>
    <row r="18" spans="1:19">
      <c r="A18" s="63"/>
      <c r="B18" s="63"/>
      <c r="C18" s="63"/>
      <c r="D18" s="63"/>
      <c r="E18" s="63"/>
      <c r="F18" s="63"/>
      <c r="G18" s="63"/>
      <c r="H18" s="63"/>
      <c r="I18" s="302" t="s">
        <v>796</v>
      </c>
      <c r="J18" s="302"/>
      <c r="K18" s="184">
        <v>40</v>
      </c>
      <c r="L18" s="160">
        <v>41</v>
      </c>
      <c r="M18" s="160">
        <v>41</v>
      </c>
      <c r="N18" s="160">
        <v>66</v>
      </c>
      <c r="O18" s="160">
        <v>67</v>
      </c>
      <c r="P18" s="160"/>
      <c r="Q18" s="160"/>
      <c r="R18" s="160"/>
      <c r="S18" s="160"/>
    </row>
    <row r="19" spans="1:19">
      <c r="A19" s="63"/>
      <c r="B19" s="63"/>
      <c r="C19" s="63"/>
      <c r="D19" s="63"/>
      <c r="E19" s="63"/>
      <c r="F19" s="63"/>
      <c r="G19" s="63"/>
      <c r="H19" s="63"/>
      <c r="I19" s="302" t="s">
        <v>797</v>
      </c>
      <c r="J19" s="302"/>
      <c r="K19" s="184">
        <v>105</v>
      </c>
      <c r="L19" s="160">
        <v>109</v>
      </c>
      <c r="M19" s="160">
        <v>141</v>
      </c>
      <c r="N19" s="160">
        <v>135</v>
      </c>
      <c r="O19" s="160">
        <v>132</v>
      </c>
      <c r="P19" s="160"/>
      <c r="Q19" s="160"/>
      <c r="R19" s="160"/>
      <c r="S19" s="160"/>
    </row>
    <row r="20" spans="1:19">
      <c r="A20" s="63"/>
      <c r="B20" s="63"/>
      <c r="C20" s="63"/>
      <c r="D20" s="63"/>
      <c r="E20" s="63"/>
      <c r="F20" s="63"/>
      <c r="G20" s="63"/>
      <c r="H20" s="63"/>
      <c r="I20" s="303" t="s">
        <v>798</v>
      </c>
      <c r="J20" s="303"/>
      <c r="K20" s="184"/>
      <c r="L20" s="185"/>
      <c r="M20" s="185"/>
      <c r="N20" s="185"/>
      <c r="O20" s="185"/>
      <c r="P20" s="6"/>
      <c r="Q20" s="6"/>
      <c r="R20" s="6"/>
      <c r="S20" s="6"/>
    </row>
    <row r="21" spans="1:19">
      <c r="A21" s="186"/>
      <c r="B21" s="186"/>
      <c r="C21" s="186"/>
      <c r="D21" s="186"/>
      <c r="E21" s="186"/>
      <c r="F21" s="186"/>
      <c r="G21" s="186"/>
      <c r="H21" s="186"/>
      <c r="I21" s="187"/>
      <c r="J21" s="187"/>
      <c r="K21" s="187"/>
      <c r="L21" s="188"/>
      <c r="M21" s="188"/>
      <c r="N21" s="188"/>
      <c r="O21" s="188"/>
      <c r="P21" s="187"/>
      <c r="Q21" s="187"/>
      <c r="R21" s="187"/>
      <c r="S21" s="187"/>
    </row>
    <row r="22" spans="1:19">
      <c r="A22" s="293">
        <v>44040</v>
      </c>
      <c r="B22" s="161">
        <v>0.46875</v>
      </c>
      <c r="C22" s="162">
        <v>67</v>
      </c>
      <c r="D22" s="162">
        <v>3</v>
      </c>
      <c r="E22" s="162">
        <v>16</v>
      </c>
      <c r="F22" s="162">
        <v>13</v>
      </c>
      <c r="G22" s="163">
        <v>0.8629</v>
      </c>
      <c r="H22" s="63"/>
      <c r="I22" s="191"/>
      <c r="J22" s="190"/>
      <c r="K22" s="190"/>
      <c r="L22" s="190"/>
      <c r="M22" s="190">
        <v>44040</v>
      </c>
      <c r="N22" s="189" t="s">
        <v>799</v>
      </c>
      <c r="O22" s="189"/>
      <c r="P22" s="189"/>
      <c r="Q22" s="189"/>
      <c r="R22" s="189"/>
      <c r="S22" s="189"/>
    </row>
    <row r="23" spans="1:19">
      <c r="A23" s="294"/>
      <c r="B23" s="164">
        <v>0.63541666666666663</v>
      </c>
      <c r="C23" s="165">
        <v>69</v>
      </c>
      <c r="D23" s="165">
        <v>13</v>
      </c>
      <c r="E23" s="165">
        <v>33</v>
      </c>
      <c r="F23" s="165">
        <v>20</v>
      </c>
      <c r="G23" s="166">
        <v>0.86080000000000001</v>
      </c>
      <c r="H23" s="63"/>
      <c r="I23" s="304"/>
      <c r="J23" s="304"/>
      <c r="K23" s="167">
        <v>0.46875</v>
      </c>
      <c r="L23" s="168">
        <v>0.63541666666666663</v>
      </c>
      <c r="M23" s="168">
        <v>0.69513888888888886</v>
      </c>
      <c r="N23" s="168">
        <v>0.87569444444444444</v>
      </c>
      <c r="O23" s="169">
        <v>0.92986111111111114</v>
      </c>
      <c r="P23" s="169">
        <v>7.6388888888888895E-2</v>
      </c>
      <c r="Q23" s="161">
        <v>0.1111111111111111</v>
      </c>
      <c r="R23" s="161">
        <v>0.11875000000000001</v>
      </c>
      <c r="S23" s="161">
        <v>0.28333333333333333</v>
      </c>
    </row>
    <row r="24" spans="1:19">
      <c r="A24" s="294"/>
      <c r="B24" s="161">
        <v>0.69513888888888886</v>
      </c>
      <c r="C24" s="162">
        <v>70</v>
      </c>
      <c r="D24" s="162">
        <v>17</v>
      </c>
      <c r="E24" s="162">
        <v>42</v>
      </c>
      <c r="F24" s="162">
        <v>25</v>
      </c>
      <c r="G24" s="163">
        <v>0.85160000000000002</v>
      </c>
      <c r="H24" s="63"/>
      <c r="I24" s="295" t="s">
        <v>782</v>
      </c>
      <c r="J24" s="296"/>
      <c r="K24" s="170">
        <v>10</v>
      </c>
      <c r="L24" s="171">
        <v>12</v>
      </c>
      <c r="M24" s="50">
        <v>15</v>
      </c>
      <c r="N24" s="171">
        <v>15</v>
      </c>
      <c r="O24" s="159">
        <v>11</v>
      </c>
      <c r="P24" s="199">
        <v>9</v>
      </c>
      <c r="Q24" s="162">
        <v>12</v>
      </c>
      <c r="R24" s="162">
        <v>12</v>
      </c>
      <c r="S24" s="162">
        <v>11</v>
      </c>
    </row>
    <row r="25" spans="1:19">
      <c r="A25" s="294"/>
      <c r="B25" s="164">
        <v>0.87569444444444444</v>
      </c>
      <c r="C25" s="165">
        <v>56</v>
      </c>
      <c r="D25" s="165">
        <v>26</v>
      </c>
      <c r="E25" s="165">
        <v>53</v>
      </c>
      <c r="F25" s="165">
        <v>27</v>
      </c>
      <c r="G25" s="166">
        <v>0.83799999999999997</v>
      </c>
      <c r="H25" s="63"/>
      <c r="I25" s="295" t="s">
        <v>783</v>
      </c>
      <c r="J25" s="295"/>
      <c r="K25" s="170">
        <v>0</v>
      </c>
      <c r="L25" s="171">
        <v>0</v>
      </c>
      <c r="M25" s="50">
        <v>0</v>
      </c>
      <c r="N25" s="171">
        <v>0</v>
      </c>
      <c r="O25" s="159">
        <v>0</v>
      </c>
      <c r="P25" s="199">
        <v>1</v>
      </c>
      <c r="Q25" s="162">
        <v>1</v>
      </c>
      <c r="R25" s="162">
        <v>1</v>
      </c>
      <c r="S25" s="162">
        <v>0</v>
      </c>
    </row>
    <row r="26" spans="1:19">
      <c r="A26" s="294"/>
      <c r="B26" s="161">
        <v>0.92986111111111114</v>
      </c>
      <c r="C26" s="162">
        <v>66</v>
      </c>
      <c r="D26" s="162">
        <v>31</v>
      </c>
      <c r="E26" s="162">
        <v>58</v>
      </c>
      <c r="F26" s="162">
        <v>27</v>
      </c>
      <c r="G26" s="163">
        <v>0.83550000000000002</v>
      </c>
      <c r="H26" s="63"/>
      <c r="I26" s="295" t="s">
        <v>784</v>
      </c>
      <c r="J26" s="295"/>
      <c r="K26" s="170">
        <v>1</v>
      </c>
      <c r="L26" s="171">
        <v>0</v>
      </c>
      <c r="M26" s="50">
        <v>1</v>
      </c>
      <c r="N26" s="171">
        <v>0</v>
      </c>
      <c r="O26" s="159">
        <v>2</v>
      </c>
      <c r="P26" s="199">
        <v>2</v>
      </c>
      <c r="Q26" s="162">
        <v>2</v>
      </c>
      <c r="R26" s="162">
        <v>1</v>
      </c>
      <c r="S26" s="162">
        <v>1</v>
      </c>
    </row>
    <row r="27" spans="1:19">
      <c r="A27" s="294"/>
      <c r="B27" s="164">
        <v>7.6388888888888895E-2</v>
      </c>
      <c r="C27" s="165">
        <v>54</v>
      </c>
      <c r="D27" s="165">
        <v>47</v>
      </c>
      <c r="E27" s="165">
        <v>76</v>
      </c>
      <c r="F27" s="165">
        <v>29</v>
      </c>
      <c r="G27" s="166">
        <v>0.83709999999999996</v>
      </c>
      <c r="H27" s="63"/>
      <c r="I27" s="295" t="s">
        <v>785</v>
      </c>
      <c r="J27" s="295"/>
      <c r="K27" s="170">
        <v>7</v>
      </c>
      <c r="L27" s="171">
        <v>6</v>
      </c>
      <c r="M27" s="50">
        <v>6</v>
      </c>
      <c r="N27" s="171">
        <v>12</v>
      </c>
      <c r="O27" s="159">
        <v>12</v>
      </c>
      <c r="P27" s="199">
        <v>10</v>
      </c>
      <c r="Q27" s="162">
        <v>12</v>
      </c>
      <c r="R27" s="162">
        <v>11</v>
      </c>
      <c r="S27" s="162">
        <v>7</v>
      </c>
    </row>
    <row r="28" spans="1:19">
      <c r="A28" s="294"/>
      <c r="B28" s="161">
        <v>0.1111111111111111</v>
      </c>
      <c r="C28" s="162">
        <v>50</v>
      </c>
      <c r="D28" s="162">
        <v>49</v>
      </c>
      <c r="E28" s="162">
        <v>80</v>
      </c>
      <c r="F28" s="162">
        <v>31</v>
      </c>
      <c r="G28" s="163">
        <v>0.84470000000000001</v>
      </c>
      <c r="H28" s="63"/>
      <c r="I28" s="295" t="s">
        <v>786</v>
      </c>
      <c r="J28" s="295"/>
      <c r="K28" s="170">
        <v>2</v>
      </c>
      <c r="L28" s="171">
        <v>3</v>
      </c>
      <c r="M28" s="50">
        <v>2</v>
      </c>
      <c r="N28" s="171">
        <v>1</v>
      </c>
      <c r="O28" s="159">
        <v>1</v>
      </c>
      <c r="P28" s="199">
        <v>0</v>
      </c>
      <c r="Q28" s="162">
        <v>0</v>
      </c>
      <c r="R28" s="162">
        <v>0</v>
      </c>
      <c r="S28" s="162">
        <v>2</v>
      </c>
    </row>
    <row r="29" spans="1:19">
      <c r="A29" s="294"/>
      <c r="B29" s="164">
        <v>0.11875000000000001</v>
      </c>
      <c r="C29" s="165">
        <v>54</v>
      </c>
      <c r="D29" s="165">
        <v>49</v>
      </c>
      <c r="E29" s="165">
        <v>81</v>
      </c>
      <c r="F29" s="165">
        <v>32</v>
      </c>
      <c r="G29" s="166">
        <v>0.84489999999999998</v>
      </c>
      <c r="H29" s="63"/>
      <c r="I29" s="295" t="s">
        <v>787</v>
      </c>
      <c r="J29" s="295"/>
      <c r="K29" s="170">
        <v>10</v>
      </c>
      <c r="L29" s="171">
        <v>13</v>
      </c>
      <c r="M29" s="50">
        <v>15</v>
      </c>
      <c r="N29" s="171">
        <v>20</v>
      </c>
      <c r="O29" s="159">
        <v>17</v>
      </c>
      <c r="P29" s="199">
        <v>20</v>
      </c>
      <c r="Q29" s="162">
        <v>13</v>
      </c>
      <c r="R29" s="162">
        <v>13</v>
      </c>
      <c r="S29" s="162">
        <v>10</v>
      </c>
    </row>
    <row r="30" spans="1:19">
      <c r="A30" s="63"/>
      <c r="B30" s="63">
        <v>0.28333333333333333</v>
      </c>
      <c r="C30" s="63">
        <v>67</v>
      </c>
      <c r="D30" s="63">
        <v>63</v>
      </c>
      <c r="E30" s="63">
        <v>95</v>
      </c>
      <c r="F30" s="63">
        <v>32</v>
      </c>
      <c r="G30" s="63">
        <v>0.8528</v>
      </c>
      <c r="H30" s="63"/>
      <c r="I30" s="295" t="s">
        <v>788</v>
      </c>
      <c r="J30" s="295"/>
      <c r="K30" s="170">
        <v>1</v>
      </c>
      <c r="L30" s="171">
        <v>1</v>
      </c>
      <c r="M30" s="50">
        <v>1</v>
      </c>
      <c r="N30" s="171">
        <v>0</v>
      </c>
      <c r="O30" s="159">
        <v>0</v>
      </c>
      <c r="P30" s="199">
        <v>0</v>
      </c>
      <c r="Q30" s="162">
        <v>0</v>
      </c>
      <c r="R30" s="162">
        <v>0</v>
      </c>
      <c r="S30" s="162">
        <v>0</v>
      </c>
    </row>
    <row r="31" spans="1:19">
      <c r="A31" s="63"/>
      <c r="B31" s="63"/>
      <c r="C31" s="63"/>
      <c r="D31" s="63"/>
      <c r="E31" s="63"/>
      <c r="F31" s="63"/>
      <c r="G31" s="63"/>
      <c r="H31" s="63"/>
      <c r="I31" s="295" t="s">
        <v>789</v>
      </c>
      <c r="J31" s="295"/>
      <c r="K31" s="170">
        <v>6</v>
      </c>
      <c r="L31" s="171">
        <v>6</v>
      </c>
      <c r="M31" s="50">
        <v>8</v>
      </c>
      <c r="N31" s="171">
        <v>7</v>
      </c>
      <c r="O31" s="159">
        <v>8</v>
      </c>
      <c r="P31" s="199">
        <v>10</v>
      </c>
      <c r="Q31" s="162">
        <v>10</v>
      </c>
      <c r="R31" s="162">
        <v>10</v>
      </c>
      <c r="S31" s="162">
        <v>10</v>
      </c>
    </row>
    <row r="32" spans="1:19">
      <c r="A32" s="63"/>
      <c r="B32" s="63"/>
      <c r="C32" s="63"/>
      <c r="D32" s="63"/>
      <c r="E32" s="63"/>
      <c r="F32" s="63"/>
      <c r="G32" s="63"/>
      <c r="H32" s="63"/>
      <c r="I32" s="295" t="s">
        <v>790</v>
      </c>
      <c r="J32" s="295"/>
      <c r="K32" s="170">
        <v>2</v>
      </c>
      <c r="L32" s="171">
        <v>2</v>
      </c>
      <c r="M32" s="50">
        <v>2</v>
      </c>
      <c r="N32" s="171">
        <v>3</v>
      </c>
      <c r="O32" s="159">
        <v>3</v>
      </c>
      <c r="P32" s="199">
        <v>5</v>
      </c>
      <c r="Q32" s="162">
        <v>5</v>
      </c>
      <c r="R32" s="162">
        <v>5</v>
      </c>
      <c r="S32" s="162">
        <v>3</v>
      </c>
    </row>
    <row r="33" spans="1:19">
      <c r="A33" s="63"/>
      <c r="B33" s="63"/>
      <c r="C33" s="63"/>
      <c r="D33" s="63"/>
      <c r="E33" s="63"/>
      <c r="F33" s="63"/>
      <c r="G33" s="63"/>
      <c r="H33" s="63"/>
      <c r="I33" s="295" t="s">
        <v>791</v>
      </c>
      <c r="J33" s="295"/>
      <c r="K33" s="170">
        <v>27</v>
      </c>
      <c r="L33" s="171">
        <v>26</v>
      </c>
      <c r="M33" s="50">
        <v>28</v>
      </c>
      <c r="N33" s="171">
        <v>32</v>
      </c>
      <c r="O33" s="159">
        <v>33</v>
      </c>
      <c r="P33" s="199">
        <v>30</v>
      </c>
      <c r="Q33" s="162">
        <v>28</v>
      </c>
      <c r="R33" s="162">
        <v>28</v>
      </c>
      <c r="S33" s="162">
        <v>30</v>
      </c>
    </row>
    <row r="34" spans="1:19">
      <c r="A34" s="63"/>
      <c r="B34" s="63"/>
      <c r="C34" s="63"/>
      <c r="D34" s="63"/>
      <c r="E34" s="63"/>
      <c r="F34" s="63"/>
      <c r="G34" s="63"/>
      <c r="H34" s="63"/>
      <c r="I34" s="296" t="s">
        <v>792</v>
      </c>
      <c r="J34" s="296"/>
      <c r="K34" s="170">
        <v>3</v>
      </c>
      <c r="L34" s="171">
        <v>2</v>
      </c>
      <c r="M34" s="50">
        <v>3</v>
      </c>
      <c r="N34" s="171">
        <v>3</v>
      </c>
      <c r="O34" s="159">
        <v>6</v>
      </c>
      <c r="P34" s="199">
        <v>5</v>
      </c>
      <c r="Q34" s="162">
        <v>4</v>
      </c>
      <c r="R34" s="162">
        <v>4</v>
      </c>
      <c r="S34" s="162">
        <v>3</v>
      </c>
    </row>
    <row r="35" spans="1:19" ht="17.25" thickBot="1">
      <c r="A35" s="63"/>
      <c r="B35" s="63"/>
      <c r="C35" s="63"/>
      <c r="D35" s="63"/>
      <c r="E35" s="63"/>
      <c r="F35" s="63"/>
      <c r="G35" s="63"/>
      <c r="H35" s="63"/>
      <c r="I35" s="297" t="s">
        <v>793</v>
      </c>
      <c r="J35" s="297"/>
      <c r="K35" s="172">
        <f t="shared" ref="K35:S35" si="1">SUM(K24:K34)</f>
        <v>69</v>
      </c>
      <c r="L35" s="173">
        <f t="shared" si="1"/>
        <v>71</v>
      </c>
      <c r="M35" s="173">
        <f t="shared" si="1"/>
        <v>81</v>
      </c>
      <c r="N35" s="173">
        <f t="shared" si="1"/>
        <v>93</v>
      </c>
      <c r="O35" s="174">
        <f t="shared" si="1"/>
        <v>93</v>
      </c>
      <c r="P35" s="174">
        <f t="shared" si="1"/>
        <v>92</v>
      </c>
      <c r="Q35" s="175">
        <f t="shared" si="1"/>
        <v>87</v>
      </c>
      <c r="R35" s="175">
        <f t="shared" si="1"/>
        <v>85</v>
      </c>
      <c r="S35" s="175">
        <f t="shared" si="1"/>
        <v>77</v>
      </c>
    </row>
    <row r="36" spans="1:19" ht="17.25" thickBot="1">
      <c r="A36" s="63"/>
      <c r="B36" s="63"/>
      <c r="C36" s="63"/>
      <c r="D36" s="63"/>
      <c r="E36" s="63"/>
      <c r="F36" s="63"/>
      <c r="G36" s="63"/>
      <c r="H36" s="63"/>
      <c r="I36" s="298" t="s">
        <v>794</v>
      </c>
      <c r="J36" s="299"/>
      <c r="K36" s="176">
        <f>S15-K35</f>
        <v>-69</v>
      </c>
      <c r="L36" s="177">
        <f>K35-L35</f>
        <v>-2</v>
      </c>
      <c r="M36" s="177">
        <f>K35-M35</f>
        <v>-12</v>
      </c>
      <c r="N36" s="177">
        <f>K35-N35</f>
        <v>-24</v>
      </c>
      <c r="O36" s="178">
        <f>K35-O35</f>
        <v>-24</v>
      </c>
      <c r="P36" s="178">
        <f>K35-P35</f>
        <v>-23</v>
      </c>
      <c r="Q36" s="179">
        <f>K35-Q35</f>
        <v>-18</v>
      </c>
      <c r="R36" s="179">
        <f>K35-R35</f>
        <v>-16</v>
      </c>
      <c r="S36" s="180">
        <f>L35-S35</f>
        <v>-6</v>
      </c>
    </row>
    <row r="37" spans="1:19">
      <c r="A37" s="63"/>
      <c r="B37" s="63"/>
      <c r="C37" s="63"/>
      <c r="D37" s="63"/>
      <c r="E37" s="63"/>
      <c r="F37" s="63"/>
      <c r="G37" s="63"/>
      <c r="H37" s="63"/>
      <c r="I37" s="300" t="s">
        <v>795</v>
      </c>
      <c r="J37" s="301"/>
      <c r="K37" s="181">
        <v>215</v>
      </c>
      <c r="L37" s="182">
        <v>212</v>
      </c>
      <c r="M37" s="182">
        <v>201</v>
      </c>
      <c r="N37" s="182">
        <v>207</v>
      </c>
      <c r="O37" s="183">
        <v>227</v>
      </c>
      <c r="P37" s="182">
        <v>215</v>
      </c>
      <c r="Q37" s="182">
        <v>210</v>
      </c>
      <c r="R37" s="182">
        <v>210</v>
      </c>
      <c r="S37" s="182">
        <v>218</v>
      </c>
    </row>
    <row r="38" spans="1:19">
      <c r="A38" s="63"/>
      <c r="B38" s="63"/>
      <c r="C38" s="63"/>
      <c r="D38" s="63"/>
      <c r="E38" s="63"/>
      <c r="F38" s="63"/>
      <c r="G38" s="63"/>
      <c r="H38" s="63"/>
      <c r="I38" s="302" t="s">
        <v>796</v>
      </c>
      <c r="J38" s="302"/>
      <c r="K38" s="184">
        <v>67</v>
      </c>
      <c r="L38" s="160">
        <v>69</v>
      </c>
      <c r="M38" s="160">
        <v>71</v>
      </c>
      <c r="N38" s="160">
        <v>56</v>
      </c>
      <c r="O38" s="160">
        <v>65</v>
      </c>
      <c r="P38" s="160">
        <v>56</v>
      </c>
      <c r="Q38" s="160">
        <v>51</v>
      </c>
      <c r="R38" s="160">
        <v>57</v>
      </c>
      <c r="S38" s="160">
        <v>67</v>
      </c>
    </row>
    <row r="39" spans="1:19">
      <c r="A39" s="63"/>
      <c r="B39" s="63"/>
      <c r="C39" s="63"/>
      <c r="D39" s="63"/>
      <c r="E39" s="63"/>
      <c r="F39" s="63"/>
      <c r="G39" s="63"/>
      <c r="H39" s="63"/>
      <c r="I39" s="302" t="s">
        <v>797</v>
      </c>
      <c r="J39" s="302"/>
      <c r="K39" s="184">
        <v>148</v>
      </c>
      <c r="L39" s="160">
        <v>143</v>
      </c>
      <c r="M39" s="160">
        <v>130</v>
      </c>
      <c r="N39" s="160">
        <v>151</v>
      </c>
      <c r="O39" s="160">
        <v>162</v>
      </c>
      <c r="P39" s="160">
        <v>159</v>
      </c>
      <c r="Q39" s="160">
        <v>159</v>
      </c>
      <c r="R39" s="160">
        <v>153</v>
      </c>
      <c r="S39" s="160">
        <v>151</v>
      </c>
    </row>
    <row r="40" spans="1:19">
      <c r="A40" s="63"/>
      <c r="B40" s="63"/>
      <c r="C40" s="63"/>
      <c r="D40" s="63"/>
      <c r="E40" s="63"/>
      <c r="F40" s="63"/>
      <c r="G40" s="63"/>
      <c r="H40" s="63"/>
      <c r="I40" s="303" t="s">
        <v>798</v>
      </c>
      <c r="J40" s="303"/>
      <c r="K40" s="184"/>
      <c r="L40" s="185"/>
      <c r="M40" s="185"/>
      <c r="N40" s="185"/>
      <c r="O40" s="185"/>
      <c r="P40" s="6"/>
      <c r="Q40" s="6"/>
      <c r="R40" s="6"/>
      <c r="S40" s="6"/>
    </row>
    <row r="41" spans="1:19">
      <c r="A41" s="3" t="s">
        <v>801</v>
      </c>
      <c r="B41" s="201" t="s">
        <v>802</v>
      </c>
      <c r="C41" s="201" t="s">
        <v>803</v>
      </c>
      <c r="D41" s="201" t="s">
        <v>119</v>
      </c>
      <c r="E41" s="201" t="s">
        <v>148</v>
      </c>
      <c r="F41" s="201" t="s">
        <v>806</v>
      </c>
      <c r="G41" s="201" t="s">
        <v>81</v>
      </c>
      <c r="H41" s="186"/>
      <c r="I41" s="187"/>
      <c r="J41" s="187"/>
      <c r="K41" s="187"/>
      <c r="L41" s="188"/>
      <c r="M41" s="188"/>
      <c r="N41" s="188"/>
      <c r="O41" s="188"/>
      <c r="P41" s="187"/>
      <c r="Q41" s="187"/>
      <c r="R41" s="187"/>
      <c r="S41" s="187"/>
    </row>
    <row r="42" spans="1:19">
      <c r="A42" s="293">
        <v>44041</v>
      </c>
      <c r="B42" s="161">
        <v>0.30208333333333331</v>
      </c>
      <c r="C42" s="162">
        <v>69</v>
      </c>
      <c r="D42" s="162">
        <v>63</v>
      </c>
      <c r="E42" s="162">
        <v>95</v>
      </c>
      <c r="F42" s="162">
        <v>32</v>
      </c>
      <c r="G42" s="163">
        <v>0.85309999999999997</v>
      </c>
      <c r="H42" s="63"/>
      <c r="I42" s="191"/>
      <c r="J42" s="190"/>
      <c r="K42" s="190"/>
      <c r="L42" s="190"/>
      <c r="M42" s="190">
        <v>44041</v>
      </c>
      <c r="N42" s="189" t="s">
        <v>800</v>
      </c>
      <c r="O42" s="189"/>
      <c r="P42" s="189"/>
      <c r="Q42" s="189"/>
      <c r="R42" s="189"/>
      <c r="S42" s="189"/>
    </row>
    <row r="43" spans="1:19">
      <c r="A43" s="294"/>
      <c r="B43" s="164">
        <v>0.47291666666666665</v>
      </c>
      <c r="C43" s="165">
        <v>79</v>
      </c>
      <c r="D43" s="165">
        <v>8</v>
      </c>
      <c r="E43" s="165">
        <v>17</v>
      </c>
      <c r="F43" s="165">
        <v>9</v>
      </c>
      <c r="G43" s="166">
        <v>0.84930000000000005</v>
      </c>
      <c r="H43" s="63"/>
      <c r="I43" s="304"/>
      <c r="J43" s="304"/>
      <c r="K43" s="167">
        <v>0.30208333333333331</v>
      </c>
      <c r="L43" s="168">
        <v>0.47291666666666665</v>
      </c>
      <c r="M43" s="168">
        <v>0.63958333333333328</v>
      </c>
      <c r="N43" s="168">
        <v>0.80625000000000002</v>
      </c>
      <c r="O43" s="169">
        <v>0.97291666666666676</v>
      </c>
      <c r="P43" s="169">
        <v>0.13958333333333334</v>
      </c>
      <c r="Q43" s="169">
        <v>0.30624999999999997</v>
      </c>
      <c r="R43" s="161"/>
      <c r="S43" s="161"/>
    </row>
    <row r="44" spans="1:19">
      <c r="A44" s="294"/>
      <c r="B44" s="161">
        <v>0.63958333333333328</v>
      </c>
      <c r="C44" s="162">
        <v>80</v>
      </c>
      <c r="D44" s="162">
        <v>15</v>
      </c>
      <c r="E44" s="162">
        <v>31</v>
      </c>
      <c r="F44" s="162">
        <v>16</v>
      </c>
      <c r="G44" s="163">
        <v>0.85170000000000001</v>
      </c>
      <c r="H44" s="63"/>
      <c r="I44" s="295" t="s">
        <v>782</v>
      </c>
      <c r="J44" s="296"/>
      <c r="K44" s="170">
        <v>10</v>
      </c>
      <c r="L44" s="171">
        <v>11</v>
      </c>
      <c r="M44" s="50">
        <v>14</v>
      </c>
      <c r="N44" s="171">
        <v>13</v>
      </c>
      <c r="O44" s="159">
        <v>14</v>
      </c>
      <c r="P44" s="159">
        <v>11</v>
      </c>
      <c r="Q44" s="200">
        <v>12</v>
      </c>
      <c r="R44" s="162"/>
      <c r="S44" s="162"/>
    </row>
    <row r="45" spans="1:19">
      <c r="A45" s="294"/>
      <c r="B45" s="164">
        <v>0.80625000000000002</v>
      </c>
      <c r="C45" s="165">
        <v>59</v>
      </c>
      <c r="D45" s="165">
        <v>34</v>
      </c>
      <c r="E45" s="165">
        <v>43</v>
      </c>
      <c r="F45" s="165">
        <v>9</v>
      </c>
      <c r="G45" s="166">
        <v>0.84360000000000002</v>
      </c>
      <c r="H45" s="63"/>
      <c r="I45" s="295" t="s">
        <v>783</v>
      </c>
      <c r="J45" s="295"/>
      <c r="K45" s="170">
        <v>0</v>
      </c>
      <c r="L45" s="171">
        <v>0</v>
      </c>
      <c r="M45" s="50">
        <v>0</v>
      </c>
      <c r="N45" s="171">
        <v>0</v>
      </c>
      <c r="O45" s="159">
        <v>3</v>
      </c>
      <c r="P45" s="159">
        <v>0</v>
      </c>
      <c r="Q45" s="200">
        <v>0</v>
      </c>
      <c r="R45" s="162"/>
      <c r="S45" s="162"/>
    </row>
    <row r="46" spans="1:19">
      <c r="A46" s="294"/>
      <c r="B46" s="161">
        <v>0.97291666666666676</v>
      </c>
      <c r="C46" s="162">
        <v>91</v>
      </c>
      <c r="D46" s="162">
        <v>39</v>
      </c>
      <c r="E46" s="162">
        <v>80</v>
      </c>
      <c r="F46" s="162">
        <v>41</v>
      </c>
      <c r="G46" s="163">
        <v>0.85440000000000005</v>
      </c>
      <c r="H46" s="63"/>
      <c r="I46" s="295" t="s">
        <v>784</v>
      </c>
      <c r="J46" s="295"/>
      <c r="K46" s="170">
        <v>1</v>
      </c>
      <c r="L46" s="171">
        <v>1</v>
      </c>
      <c r="M46" s="50">
        <v>1</v>
      </c>
      <c r="N46" s="171">
        <v>1</v>
      </c>
      <c r="O46" s="159">
        <v>1</v>
      </c>
      <c r="P46" s="159">
        <v>1</v>
      </c>
      <c r="Q46" s="200">
        <v>1</v>
      </c>
      <c r="R46" s="162"/>
      <c r="S46" s="162"/>
    </row>
    <row r="47" spans="1:19">
      <c r="A47" s="294"/>
      <c r="B47" s="164">
        <v>0.13958333333333334</v>
      </c>
      <c r="C47" s="165">
        <v>105</v>
      </c>
      <c r="D47" s="165">
        <v>57</v>
      </c>
      <c r="E47" s="165">
        <v>103</v>
      </c>
      <c r="F47" s="165">
        <v>46</v>
      </c>
      <c r="G47" s="166">
        <v>0.87070000000000003</v>
      </c>
      <c r="H47" s="63"/>
      <c r="I47" s="295" t="s">
        <v>785</v>
      </c>
      <c r="J47" s="295"/>
      <c r="K47" s="170">
        <v>7</v>
      </c>
      <c r="L47" s="171">
        <v>5</v>
      </c>
      <c r="M47" s="50">
        <v>4</v>
      </c>
      <c r="N47" s="171">
        <v>6</v>
      </c>
      <c r="O47" s="159">
        <v>4</v>
      </c>
      <c r="P47" s="159">
        <v>6</v>
      </c>
      <c r="Q47" s="200">
        <v>6</v>
      </c>
      <c r="R47" s="162"/>
      <c r="S47" s="162"/>
    </row>
    <row r="48" spans="1:19">
      <c r="A48" s="294"/>
      <c r="B48" s="161">
        <v>0.30624999999999997</v>
      </c>
      <c r="C48" s="162">
        <v>87</v>
      </c>
      <c r="D48" s="162">
        <v>75</v>
      </c>
      <c r="E48" s="162">
        <v>114</v>
      </c>
      <c r="F48" s="162">
        <v>39</v>
      </c>
      <c r="G48" s="163">
        <v>0.8649</v>
      </c>
      <c r="H48" s="63"/>
      <c r="I48" s="295" t="s">
        <v>786</v>
      </c>
      <c r="J48" s="295"/>
      <c r="K48" s="170">
        <v>3</v>
      </c>
      <c r="L48" s="171">
        <v>2</v>
      </c>
      <c r="M48" s="50">
        <v>1</v>
      </c>
      <c r="N48" s="171">
        <v>1</v>
      </c>
      <c r="O48" s="159">
        <v>1</v>
      </c>
      <c r="P48" s="159">
        <v>2</v>
      </c>
      <c r="Q48" s="200">
        <v>4</v>
      </c>
      <c r="R48" s="162"/>
      <c r="S48" s="162"/>
    </row>
    <row r="49" spans="1:19">
      <c r="A49" s="294"/>
      <c r="B49" s="164"/>
      <c r="C49" s="165"/>
      <c r="D49" s="165"/>
      <c r="E49" s="165"/>
      <c r="F49" s="165"/>
      <c r="G49" s="166"/>
      <c r="H49" s="63"/>
      <c r="I49" s="295" t="s">
        <v>787</v>
      </c>
      <c r="J49" s="295"/>
      <c r="K49" s="170">
        <v>11</v>
      </c>
      <c r="L49" s="171">
        <v>12</v>
      </c>
      <c r="M49" s="50">
        <v>16</v>
      </c>
      <c r="N49" s="171">
        <v>14</v>
      </c>
      <c r="O49" s="159">
        <v>12</v>
      </c>
      <c r="P49" s="159">
        <v>8</v>
      </c>
      <c r="Q49" s="200">
        <v>8</v>
      </c>
      <c r="R49" s="162"/>
      <c r="S49" s="162"/>
    </row>
    <row r="50" spans="1:19">
      <c r="A50" s="294"/>
      <c r="B50" s="161"/>
      <c r="C50" s="162"/>
      <c r="D50" s="162"/>
      <c r="E50" s="162"/>
      <c r="F50" s="162"/>
      <c r="G50" s="163"/>
      <c r="H50" s="63"/>
      <c r="I50" s="295" t="s">
        <v>788</v>
      </c>
      <c r="J50" s="295"/>
      <c r="K50" s="170">
        <v>0</v>
      </c>
      <c r="L50" s="171">
        <v>0</v>
      </c>
      <c r="M50" s="50">
        <v>0</v>
      </c>
      <c r="N50" s="171">
        <v>0</v>
      </c>
      <c r="O50" s="159">
        <v>0</v>
      </c>
      <c r="P50" s="159">
        <v>0</v>
      </c>
      <c r="Q50" s="200">
        <v>0</v>
      </c>
      <c r="R50" s="162"/>
      <c r="S50" s="162"/>
    </row>
    <row r="51" spans="1:19">
      <c r="A51" s="294"/>
      <c r="B51" s="164"/>
      <c r="C51" s="165"/>
      <c r="D51" s="165"/>
      <c r="E51" s="165"/>
      <c r="F51" s="165"/>
      <c r="G51" s="166"/>
      <c r="H51" s="63"/>
      <c r="I51" s="295" t="s">
        <v>789</v>
      </c>
      <c r="J51" s="295"/>
      <c r="K51" s="170">
        <v>7</v>
      </c>
      <c r="L51" s="171">
        <v>5</v>
      </c>
      <c r="M51" s="50">
        <v>6</v>
      </c>
      <c r="N51" s="171">
        <v>8</v>
      </c>
      <c r="O51" s="159">
        <v>4</v>
      </c>
      <c r="P51" s="159">
        <v>5</v>
      </c>
      <c r="Q51" s="200">
        <v>5</v>
      </c>
      <c r="R51" s="162"/>
      <c r="S51" s="162"/>
    </row>
    <row r="52" spans="1:19">
      <c r="A52" s="63"/>
      <c r="H52" s="63"/>
      <c r="I52" s="295" t="s">
        <v>790</v>
      </c>
      <c r="J52" s="295"/>
      <c r="K52" s="170">
        <v>3</v>
      </c>
      <c r="L52" s="171">
        <v>4</v>
      </c>
      <c r="M52" s="50">
        <v>2</v>
      </c>
      <c r="N52" s="171">
        <v>2</v>
      </c>
      <c r="O52" s="159">
        <v>3</v>
      </c>
      <c r="P52" s="159">
        <v>2</v>
      </c>
      <c r="Q52" s="200">
        <v>2</v>
      </c>
      <c r="R52" s="162"/>
      <c r="S52" s="162"/>
    </row>
    <row r="53" spans="1:19">
      <c r="A53" s="63"/>
      <c r="H53" s="63"/>
      <c r="I53" s="295" t="s">
        <v>791</v>
      </c>
      <c r="J53" s="295"/>
      <c r="K53" s="170">
        <v>29</v>
      </c>
      <c r="L53" s="171">
        <v>33</v>
      </c>
      <c r="M53" s="50">
        <v>32</v>
      </c>
      <c r="N53" s="171">
        <v>36</v>
      </c>
      <c r="O53" s="159">
        <v>28</v>
      </c>
      <c r="P53" s="159">
        <v>25</v>
      </c>
      <c r="Q53" s="200">
        <v>26</v>
      </c>
      <c r="R53" s="162"/>
      <c r="S53" s="162"/>
    </row>
    <row r="54" spans="1:19">
      <c r="A54" s="63"/>
      <c r="B54" s="63"/>
      <c r="C54" s="63"/>
      <c r="D54" s="63"/>
      <c r="E54" s="63"/>
      <c r="F54" s="63"/>
      <c r="G54" s="63"/>
      <c r="H54" s="63"/>
      <c r="I54" s="296" t="s">
        <v>792</v>
      </c>
      <c r="J54" s="296"/>
      <c r="K54" s="170">
        <v>3</v>
      </c>
      <c r="L54" s="171">
        <v>4</v>
      </c>
      <c r="M54" s="50">
        <v>4</v>
      </c>
      <c r="N54" s="171">
        <v>5</v>
      </c>
      <c r="O54" s="159">
        <v>7</v>
      </c>
      <c r="P54" s="159">
        <v>1</v>
      </c>
      <c r="Q54" s="200">
        <v>1</v>
      </c>
      <c r="R54" s="162"/>
      <c r="S54" s="162"/>
    </row>
    <row r="55" spans="1:19" ht="17.25" thickBot="1">
      <c r="A55" s="63"/>
      <c r="B55" s="63"/>
      <c r="C55" s="63"/>
      <c r="D55" s="63"/>
      <c r="E55" s="63"/>
      <c r="F55" s="63"/>
      <c r="G55" s="63"/>
      <c r="H55" s="63"/>
      <c r="I55" s="297" t="s">
        <v>793</v>
      </c>
      <c r="J55" s="297"/>
      <c r="K55" s="172">
        <f t="shared" ref="K55:S55" si="2">SUM(K44:K54)</f>
        <v>74</v>
      </c>
      <c r="L55" s="173">
        <f t="shared" si="2"/>
        <v>77</v>
      </c>
      <c r="M55" s="173">
        <f t="shared" si="2"/>
        <v>80</v>
      </c>
      <c r="N55" s="173">
        <f t="shared" si="2"/>
        <v>86</v>
      </c>
      <c r="O55" s="174">
        <f t="shared" si="2"/>
        <v>77</v>
      </c>
      <c r="P55" s="174">
        <f t="shared" si="2"/>
        <v>61</v>
      </c>
      <c r="Q55" s="174">
        <f t="shared" si="2"/>
        <v>65</v>
      </c>
      <c r="R55" s="175">
        <f t="shared" si="2"/>
        <v>0</v>
      </c>
      <c r="S55" s="175">
        <f t="shared" si="2"/>
        <v>0</v>
      </c>
    </row>
    <row r="56" spans="1:19" ht="17.25" thickBot="1">
      <c r="A56" s="63"/>
      <c r="B56" s="63"/>
      <c r="C56" s="63"/>
      <c r="D56" s="63"/>
      <c r="E56" s="63"/>
      <c r="F56" s="63"/>
      <c r="G56" s="63"/>
      <c r="H56" s="63"/>
      <c r="I56" s="298" t="s">
        <v>794</v>
      </c>
      <c r="J56" s="299"/>
      <c r="K56" s="176">
        <f>S35-K55</f>
        <v>3</v>
      </c>
      <c r="L56" s="177">
        <f>K55-L55</f>
        <v>-3</v>
      </c>
      <c r="M56" s="177">
        <f>K55-M55</f>
        <v>-6</v>
      </c>
      <c r="N56" s="177">
        <f>K55-N55</f>
        <v>-12</v>
      </c>
      <c r="O56" s="178">
        <f>K55-O55</f>
        <v>-3</v>
      </c>
      <c r="P56" s="178">
        <f>K55-P55</f>
        <v>13</v>
      </c>
      <c r="Q56" s="178">
        <f>K55-Q55</f>
        <v>9</v>
      </c>
      <c r="R56" s="179">
        <f>K55-R55</f>
        <v>74</v>
      </c>
      <c r="S56" s="180">
        <f>L55-S55</f>
        <v>77</v>
      </c>
    </row>
    <row r="57" spans="1:19">
      <c r="A57" s="63"/>
      <c r="B57" s="63"/>
      <c r="C57" s="63"/>
      <c r="D57" s="63"/>
      <c r="E57" s="63"/>
      <c r="F57" s="63"/>
      <c r="G57" s="63"/>
      <c r="H57" s="63"/>
      <c r="I57" s="300" t="s">
        <v>795</v>
      </c>
      <c r="J57" s="301"/>
      <c r="K57" s="181">
        <v>213</v>
      </c>
      <c r="L57" s="182">
        <v>224</v>
      </c>
      <c r="M57" s="182">
        <v>211</v>
      </c>
      <c r="N57" s="182">
        <v>198</v>
      </c>
      <c r="O57" s="183">
        <v>225</v>
      </c>
      <c r="P57" s="182">
        <v>248</v>
      </c>
      <c r="Q57" s="182">
        <v>236</v>
      </c>
      <c r="R57" s="182"/>
      <c r="S57" s="182"/>
    </row>
    <row r="58" spans="1:19">
      <c r="A58" s="63"/>
      <c r="B58" s="63"/>
      <c r="C58" s="63"/>
      <c r="D58" s="63"/>
      <c r="E58" s="63"/>
      <c r="F58" s="63"/>
      <c r="G58" s="63"/>
      <c r="H58" s="63"/>
      <c r="I58" s="302" t="s">
        <v>796</v>
      </c>
      <c r="J58" s="302"/>
      <c r="K58" s="184">
        <v>69</v>
      </c>
      <c r="L58" s="160">
        <v>79</v>
      </c>
      <c r="M58" s="160">
        <v>81</v>
      </c>
      <c r="N58" s="160">
        <v>62</v>
      </c>
      <c r="O58" s="160">
        <v>89</v>
      </c>
      <c r="P58" s="160">
        <v>103</v>
      </c>
      <c r="Q58" s="160">
        <v>85</v>
      </c>
      <c r="R58" s="160"/>
      <c r="S58" s="160"/>
    </row>
    <row r="59" spans="1:19">
      <c r="A59" s="63"/>
      <c r="B59" s="63"/>
      <c r="C59" s="63"/>
      <c r="D59" s="63"/>
      <c r="E59" s="63"/>
      <c r="F59" s="63"/>
      <c r="G59" s="63"/>
      <c r="H59" s="63"/>
      <c r="I59" s="302" t="s">
        <v>797</v>
      </c>
      <c r="J59" s="302"/>
      <c r="K59" s="184">
        <v>144</v>
      </c>
      <c r="L59" s="160">
        <v>145</v>
      </c>
      <c r="M59" s="160">
        <v>130</v>
      </c>
      <c r="N59" s="160">
        <v>136</v>
      </c>
      <c r="O59" s="160">
        <v>136</v>
      </c>
      <c r="P59" s="160">
        <v>145</v>
      </c>
      <c r="Q59" s="160">
        <v>151</v>
      </c>
      <c r="R59" s="160"/>
      <c r="S59" s="160"/>
    </row>
    <row r="60" spans="1:19">
      <c r="A60" s="63"/>
      <c r="B60" s="63"/>
      <c r="C60" s="63"/>
      <c r="D60" s="63"/>
      <c r="E60" s="63"/>
      <c r="F60" s="63"/>
      <c r="G60" s="63"/>
      <c r="H60" s="63"/>
      <c r="I60" s="303" t="s">
        <v>798</v>
      </c>
      <c r="J60" s="303"/>
      <c r="K60" s="184"/>
      <c r="L60" s="185"/>
      <c r="M60" s="185"/>
      <c r="N60" s="185"/>
      <c r="O60" s="185"/>
      <c r="P60" s="6"/>
      <c r="Q60" s="6"/>
      <c r="R60" s="6"/>
      <c r="S60" s="6"/>
    </row>
    <row r="61" spans="1:19">
      <c r="A61" s="3" t="s">
        <v>801</v>
      </c>
      <c r="B61" s="201" t="s">
        <v>802</v>
      </c>
      <c r="C61" s="201" t="s">
        <v>803</v>
      </c>
      <c r="D61" s="201" t="s">
        <v>119</v>
      </c>
      <c r="E61" s="201" t="s">
        <v>148</v>
      </c>
      <c r="F61" s="201" t="s">
        <v>806</v>
      </c>
      <c r="G61" s="201" t="s">
        <v>81</v>
      </c>
      <c r="H61" s="186"/>
      <c r="I61" s="187"/>
      <c r="J61" s="187"/>
      <c r="K61" s="187"/>
      <c r="L61" s="188"/>
      <c r="M61" s="188"/>
      <c r="N61" s="188"/>
      <c r="O61" s="188"/>
      <c r="P61" s="187"/>
      <c r="Q61" s="187"/>
      <c r="R61" s="187"/>
      <c r="S61" s="187"/>
    </row>
    <row r="62" spans="1:19">
      <c r="A62" s="293">
        <v>44042</v>
      </c>
      <c r="B62" s="161">
        <v>0.30624999999999997</v>
      </c>
      <c r="C62" s="162">
        <v>87</v>
      </c>
      <c r="D62" s="162">
        <v>75</v>
      </c>
      <c r="E62" s="162">
        <v>114</v>
      </c>
      <c r="F62" s="162">
        <v>39</v>
      </c>
      <c r="G62" s="163">
        <v>0.8649</v>
      </c>
      <c r="H62" s="63"/>
      <c r="I62" s="191"/>
      <c r="J62" s="190"/>
      <c r="K62" s="190"/>
      <c r="L62" s="190"/>
      <c r="M62" s="190">
        <v>44042</v>
      </c>
      <c r="N62" s="189" t="s">
        <v>799</v>
      </c>
      <c r="O62" s="189"/>
      <c r="P62" s="189"/>
      <c r="Q62" s="189"/>
      <c r="R62" s="189"/>
      <c r="S62" s="189"/>
    </row>
    <row r="63" spans="1:19">
      <c r="A63" s="294"/>
      <c r="B63" s="164"/>
      <c r="C63" s="165"/>
      <c r="D63" s="165"/>
      <c r="E63" s="165"/>
      <c r="F63" s="165"/>
      <c r="G63" s="166"/>
      <c r="H63" s="63"/>
      <c r="I63" s="304"/>
      <c r="J63" s="304"/>
      <c r="K63" s="167">
        <v>0.30624999999999997</v>
      </c>
      <c r="L63" s="168"/>
      <c r="M63" s="168"/>
      <c r="N63" s="168"/>
      <c r="O63" s="169"/>
      <c r="P63" s="169"/>
      <c r="Q63" s="169"/>
      <c r="R63" s="161"/>
      <c r="S63" s="161"/>
    </row>
    <row r="64" spans="1:19">
      <c r="A64" s="294"/>
      <c r="B64" s="161"/>
      <c r="C64" s="162"/>
      <c r="D64" s="162"/>
      <c r="E64" s="162"/>
      <c r="F64" s="162"/>
      <c r="G64" s="163"/>
      <c r="H64" s="63"/>
      <c r="I64" s="295" t="s">
        <v>782</v>
      </c>
      <c r="J64" s="296"/>
      <c r="K64" s="170">
        <v>12</v>
      </c>
      <c r="L64" s="171"/>
      <c r="M64" s="50"/>
      <c r="N64" s="171"/>
      <c r="O64" s="159"/>
      <c r="P64" s="159"/>
      <c r="Q64" s="200"/>
      <c r="R64" s="162"/>
      <c r="S64" s="162"/>
    </row>
    <row r="65" spans="1:19">
      <c r="A65" s="294"/>
      <c r="B65" s="164"/>
      <c r="C65" s="165"/>
      <c r="D65" s="165"/>
      <c r="E65" s="165"/>
      <c r="F65" s="165"/>
      <c r="G65" s="166"/>
      <c r="H65" s="63"/>
      <c r="I65" s="295" t="s">
        <v>783</v>
      </c>
      <c r="J65" s="295"/>
      <c r="K65" s="170">
        <v>0</v>
      </c>
      <c r="L65" s="171"/>
      <c r="M65" s="50"/>
      <c r="N65" s="171"/>
      <c r="O65" s="159"/>
      <c r="P65" s="159"/>
      <c r="Q65" s="200"/>
      <c r="R65" s="162"/>
      <c r="S65" s="162"/>
    </row>
    <row r="66" spans="1:19">
      <c r="A66" s="294"/>
      <c r="B66" s="161"/>
      <c r="C66" s="162"/>
      <c r="D66" s="162"/>
      <c r="E66" s="162"/>
      <c r="F66" s="162"/>
      <c r="G66" s="163"/>
      <c r="H66" s="63"/>
      <c r="I66" s="295" t="s">
        <v>784</v>
      </c>
      <c r="J66" s="295"/>
      <c r="K66" s="170">
        <v>1</v>
      </c>
      <c r="L66" s="171"/>
      <c r="M66" s="50"/>
      <c r="N66" s="171"/>
      <c r="O66" s="159"/>
      <c r="P66" s="159"/>
      <c r="Q66" s="200"/>
      <c r="R66" s="162"/>
      <c r="S66" s="162"/>
    </row>
    <row r="67" spans="1:19">
      <c r="A67" s="294"/>
      <c r="B67" s="164"/>
      <c r="C67" s="165"/>
      <c r="D67" s="165"/>
      <c r="E67" s="165"/>
      <c r="F67" s="165"/>
      <c r="G67" s="166"/>
      <c r="H67" s="63"/>
      <c r="I67" s="295" t="s">
        <v>785</v>
      </c>
      <c r="J67" s="295"/>
      <c r="K67" s="170">
        <v>6</v>
      </c>
      <c r="L67" s="171"/>
      <c r="M67" s="50"/>
      <c r="N67" s="171"/>
      <c r="O67" s="159"/>
      <c r="P67" s="159"/>
      <c r="Q67" s="200"/>
      <c r="R67" s="162"/>
      <c r="S67" s="162"/>
    </row>
    <row r="68" spans="1:19">
      <c r="A68" s="294"/>
      <c r="B68" s="161"/>
      <c r="C68" s="162"/>
      <c r="D68" s="162"/>
      <c r="E68" s="162"/>
      <c r="F68" s="162"/>
      <c r="G68" s="163"/>
      <c r="H68" s="63"/>
      <c r="I68" s="295" t="s">
        <v>786</v>
      </c>
      <c r="J68" s="295"/>
      <c r="K68" s="170">
        <v>4</v>
      </c>
      <c r="L68" s="171"/>
      <c r="M68" s="50"/>
      <c r="N68" s="171"/>
      <c r="O68" s="159"/>
      <c r="P68" s="159"/>
      <c r="Q68" s="200"/>
      <c r="R68" s="162"/>
      <c r="S68" s="162"/>
    </row>
    <row r="69" spans="1:19">
      <c r="A69" s="294"/>
      <c r="B69" s="164"/>
      <c r="C69" s="165"/>
      <c r="D69" s="165"/>
      <c r="E69" s="165"/>
      <c r="F69" s="165"/>
      <c r="G69" s="166"/>
      <c r="H69" s="63"/>
      <c r="I69" s="295" t="s">
        <v>787</v>
      </c>
      <c r="J69" s="295"/>
      <c r="K69" s="170">
        <v>8</v>
      </c>
      <c r="L69" s="171"/>
      <c r="M69" s="50"/>
      <c r="N69" s="171"/>
      <c r="O69" s="159"/>
      <c r="P69" s="159"/>
      <c r="Q69" s="200"/>
      <c r="R69" s="162"/>
      <c r="S69" s="162"/>
    </row>
    <row r="70" spans="1:19">
      <c r="A70" s="294"/>
      <c r="B70" s="161"/>
      <c r="C70" s="162"/>
      <c r="D70" s="162"/>
      <c r="E70" s="162"/>
      <c r="F70" s="162"/>
      <c r="G70" s="163"/>
      <c r="H70" s="63"/>
      <c r="I70" s="295" t="s">
        <v>788</v>
      </c>
      <c r="J70" s="295"/>
      <c r="K70" s="170">
        <v>0</v>
      </c>
      <c r="L70" s="171"/>
      <c r="M70" s="50"/>
      <c r="N70" s="171"/>
      <c r="O70" s="159"/>
      <c r="P70" s="159"/>
      <c r="Q70" s="200"/>
      <c r="R70" s="162"/>
      <c r="S70" s="162"/>
    </row>
    <row r="71" spans="1:19">
      <c r="A71" s="294"/>
      <c r="B71" s="164"/>
      <c r="C71" s="165"/>
      <c r="D71" s="165"/>
      <c r="E71" s="165"/>
      <c r="F71" s="165"/>
      <c r="G71" s="166"/>
      <c r="H71" s="63"/>
      <c r="I71" s="295" t="s">
        <v>789</v>
      </c>
      <c r="J71" s="295"/>
      <c r="K71" s="170">
        <v>5</v>
      </c>
      <c r="L71" s="171"/>
      <c r="M71" s="50"/>
      <c r="N71" s="171"/>
      <c r="O71" s="159"/>
      <c r="P71" s="159"/>
      <c r="Q71" s="200"/>
      <c r="R71" s="162"/>
      <c r="S71" s="162"/>
    </row>
    <row r="72" spans="1:19">
      <c r="A72" s="63"/>
      <c r="B72" s="63"/>
      <c r="C72" s="63"/>
      <c r="D72" s="63"/>
      <c r="E72" s="63"/>
      <c r="F72" s="63"/>
      <c r="G72" s="63"/>
      <c r="H72" s="63"/>
      <c r="I72" s="295" t="s">
        <v>790</v>
      </c>
      <c r="J72" s="295"/>
      <c r="K72" s="170">
        <v>2</v>
      </c>
      <c r="L72" s="171"/>
      <c r="M72" s="50"/>
      <c r="N72" s="171"/>
      <c r="O72" s="159"/>
      <c r="P72" s="159"/>
      <c r="Q72" s="200"/>
      <c r="R72" s="162"/>
      <c r="S72" s="162"/>
    </row>
    <row r="73" spans="1:19">
      <c r="A73" s="63"/>
      <c r="B73" s="63"/>
      <c r="C73" s="63"/>
      <c r="D73" s="63"/>
      <c r="E73" s="63"/>
      <c r="F73" s="63"/>
      <c r="G73" s="63"/>
      <c r="H73" s="63"/>
      <c r="I73" s="295" t="s">
        <v>791</v>
      </c>
      <c r="J73" s="295"/>
      <c r="K73" s="170">
        <v>26</v>
      </c>
      <c r="L73" s="171"/>
      <c r="M73" s="50"/>
      <c r="N73" s="171"/>
      <c r="O73" s="159"/>
      <c r="P73" s="159"/>
      <c r="Q73" s="200"/>
      <c r="R73" s="162"/>
      <c r="S73" s="162"/>
    </row>
    <row r="74" spans="1:19">
      <c r="A74" s="63"/>
      <c r="B74" s="63"/>
      <c r="C74" s="63"/>
      <c r="D74" s="63"/>
      <c r="E74" s="63"/>
      <c r="F74" s="63"/>
      <c r="G74" s="63"/>
      <c r="H74" s="63"/>
      <c r="I74" s="296" t="s">
        <v>792</v>
      </c>
      <c r="J74" s="296"/>
      <c r="K74" s="170">
        <v>1</v>
      </c>
      <c r="L74" s="171"/>
      <c r="M74" s="50"/>
      <c r="N74" s="171"/>
      <c r="O74" s="159"/>
      <c r="P74" s="159"/>
      <c r="Q74" s="200"/>
      <c r="R74" s="162"/>
      <c r="S74" s="162"/>
    </row>
    <row r="75" spans="1:19" ht="17.25" thickBot="1">
      <c r="A75" s="63"/>
      <c r="B75" s="63"/>
      <c r="C75" s="63"/>
      <c r="D75" s="63"/>
      <c r="E75" s="63"/>
      <c r="F75" s="63"/>
      <c r="G75" s="63"/>
      <c r="H75" s="63"/>
      <c r="I75" s="297" t="s">
        <v>793</v>
      </c>
      <c r="J75" s="297"/>
      <c r="K75" s="172">
        <f t="shared" ref="K75:S75" si="3">SUM(K64:K74)</f>
        <v>65</v>
      </c>
      <c r="L75" s="173">
        <f t="shared" si="3"/>
        <v>0</v>
      </c>
      <c r="M75" s="173">
        <f t="shared" si="3"/>
        <v>0</v>
      </c>
      <c r="N75" s="173">
        <f t="shared" si="3"/>
        <v>0</v>
      </c>
      <c r="O75" s="174">
        <f t="shared" si="3"/>
        <v>0</v>
      </c>
      <c r="P75" s="174">
        <f t="shared" si="3"/>
        <v>0</v>
      </c>
      <c r="Q75" s="174">
        <f t="shared" si="3"/>
        <v>0</v>
      </c>
      <c r="R75" s="175">
        <f t="shared" si="3"/>
        <v>0</v>
      </c>
      <c r="S75" s="175">
        <f t="shared" si="3"/>
        <v>0</v>
      </c>
    </row>
    <row r="76" spans="1:19" ht="17.25" thickBot="1">
      <c r="A76" s="63"/>
      <c r="B76" s="63"/>
      <c r="C76" s="63"/>
      <c r="D76" s="63"/>
      <c r="E76" s="63"/>
      <c r="F76" s="63"/>
      <c r="G76" s="63"/>
      <c r="H76" s="63"/>
      <c r="I76" s="298" t="s">
        <v>794</v>
      </c>
      <c r="J76" s="299"/>
      <c r="K76" s="176">
        <f>Q55-K75</f>
        <v>0</v>
      </c>
      <c r="L76" s="177">
        <f>K75-L75</f>
        <v>65</v>
      </c>
      <c r="M76" s="177">
        <f>K75-M75</f>
        <v>65</v>
      </c>
      <c r="N76" s="177">
        <f>K75-N75</f>
        <v>65</v>
      </c>
      <c r="O76" s="178">
        <f>K75-O75</f>
        <v>65</v>
      </c>
      <c r="P76" s="178">
        <f>K75-P75</f>
        <v>65</v>
      </c>
      <c r="Q76" s="178">
        <f>K75-Q75</f>
        <v>65</v>
      </c>
      <c r="R76" s="179">
        <f>K75-R75</f>
        <v>65</v>
      </c>
      <c r="S76" s="180">
        <f>L75-S75</f>
        <v>0</v>
      </c>
    </row>
    <row r="77" spans="1:19">
      <c r="A77" s="63"/>
      <c r="B77" s="63"/>
      <c r="C77" s="63"/>
      <c r="D77" s="63"/>
      <c r="E77" s="63"/>
      <c r="F77" s="63"/>
      <c r="G77" s="63"/>
      <c r="H77" s="63"/>
      <c r="I77" s="300" t="s">
        <v>795</v>
      </c>
      <c r="J77" s="301"/>
      <c r="K77" s="181">
        <v>236</v>
      </c>
      <c r="L77" s="182"/>
      <c r="M77" s="182"/>
      <c r="N77" s="182"/>
      <c r="O77" s="183"/>
      <c r="P77" s="182"/>
      <c r="Q77" s="182"/>
      <c r="R77" s="182"/>
      <c r="S77" s="182"/>
    </row>
    <row r="78" spans="1:19">
      <c r="A78" s="63"/>
      <c r="B78" s="63"/>
      <c r="C78" s="63"/>
      <c r="D78" s="63"/>
      <c r="E78" s="63"/>
      <c r="F78" s="63"/>
      <c r="G78" s="63"/>
      <c r="H78" s="63"/>
      <c r="I78" s="302" t="s">
        <v>796</v>
      </c>
      <c r="J78" s="302"/>
      <c r="K78" s="184">
        <v>85</v>
      </c>
      <c r="L78" s="160"/>
      <c r="M78" s="160"/>
      <c r="N78" s="160"/>
      <c r="O78" s="160"/>
      <c r="P78" s="160"/>
      <c r="Q78" s="160"/>
      <c r="R78" s="160"/>
      <c r="S78" s="160"/>
    </row>
    <row r="79" spans="1:19">
      <c r="A79" s="63"/>
      <c r="B79" s="63"/>
      <c r="C79" s="63"/>
      <c r="D79" s="63"/>
      <c r="E79" s="63"/>
      <c r="F79" s="63"/>
      <c r="G79" s="63"/>
      <c r="H79" s="63"/>
      <c r="I79" s="302" t="s">
        <v>797</v>
      </c>
      <c r="J79" s="302"/>
      <c r="K79" s="184">
        <v>151</v>
      </c>
      <c r="L79" s="160"/>
      <c r="M79" s="160"/>
      <c r="N79" s="160"/>
      <c r="O79" s="160"/>
      <c r="P79" s="160"/>
      <c r="Q79" s="160"/>
      <c r="R79" s="160"/>
      <c r="S79" s="160"/>
    </row>
    <row r="80" spans="1:19">
      <c r="A80" s="63"/>
      <c r="B80" s="63"/>
      <c r="C80" s="63"/>
      <c r="D80" s="63"/>
      <c r="E80" s="63"/>
      <c r="F80" s="63"/>
      <c r="G80" s="63"/>
      <c r="H80" s="63"/>
      <c r="I80" s="303" t="s">
        <v>798</v>
      </c>
      <c r="J80" s="303"/>
      <c r="K80" s="184"/>
      <c r="L80" s="185"/>
      <c r="M80" s="185"/>
      <c r="N80" s="185"/>
      <c r="O80" s="185"/>
      <c r="P80" s="6"/>
      <c r="Q80" s="6"/>
      <c r="R80" s="6"/>
      <c r="S80" s="6"/>
    </row>
    <row r="81" spans="1:19">
      <c r="A81" s="3" t="s">
        <v>801</v>
      </c>
      <c r="B81" s="201" t="s">
        <v>802</v>
      </c>
      <c r="C81" s="201" t="s">
        <v>803</v>
      </c>
      <c r="D81" s="201" t="s">
        <v>119</v>
      </c>
      <c r="E81" s="201" t="s">
        <v>148</v>
      </c>
      <c r="F81" s="201" t="s">
        <v>806</v>
      </c>
      <c r="G81" s="201" t="s">
        <v>81</v>
      </c>
      <c r="H81" s="186"/>
      <c r="I81" s="187"/>
      <c r="J81" s="187"/>
      <c r="K81" s="187"/>
      <c r="L81" s="188"/>
      <c r="M81" s="188"/>
      <c r="N81" s="188"/>
      <c r="O81" s="188"/>
      <c r="P81" s="187"/>
      <c r="Q81" s="187"/>
      <c r="R81" s="187"/>
      <c r="S81" s="187"/>
    </row>
    <row r="82" spans="1:19">
      <c r="A82" s="293">
        <v>44043</v>
      </c>
      <c r="B82" s="161">
        <v>0.30208333333333331</v>
      </c>
      <c r="C82" s="162">
        <v>53</v>
      </c>
      <c r="D82" s="162">
        <v>127</v>
      </c>
      <c r="E82" s="162">
        <v>99</v>
      </c>
      <c r="F82" s="162">
        <v>-28</v>
      </c>
      <c r="G82" s="163">
        <v>0.87970000000000004</v>
      </c>
      <c r="H82" s="63"/>
      <c r="I82" s="191"/>
      <c r="J82" s="190"/>
      <c r="K82" s="190"/>
      <c r="L82" s="190"/>
      <c r="M82" s="190">
        <v>44043</v>
      </c>
      <c r="N82" s="189" t="s">
        <v>800</v>
      </c>
      <c r="O82" s="189"/>
      <c r="P82" s="189"/>
      <c r="Q82" s="189"/>
      <c r="R82" s="189"/>
      <c r="S82" s="189"/>
    </row>
    <row r="83" spans="1:19">
      <c r="A83" s="294"/>
      <c r="B83" s="164">
        <v>0.47986111111111113</v>
      </c>
      <c r="C83" s="165">
        <v>44</v>
      </c>
      <c r="D83" s="165">
        <v>22</v>
      </c>
      <c r="E83" s="165">
        <v>21</v>
      </c>
      <c r="F83" s="165">
        <v>-1</v>
      </c>
      <c r="G83" s="166">
        <v>0.86719999999999997</v>
      </c>
      <c r="H83" s="63"/>
      <c r="I83" s="304"/>
      <c r="J83" s="304"/>
      <c r="K83" s="167">
        <v>0.30208333333333331</v>
      </c>
      <c r="L83" s="168">
        <v>0.47986111111111113</v>
      </c>
      <c r="M83" s="168">
        <v>0.64652777777777781</v>
      </c>
      <c r="N83" s="168">
        <v>0.81319444444444444</v>
      </c>
      <c r="O83" s="169"/>
      <c r="P83" s="169"/>
      <c r="Q83" s="169"/>
      <c r="R83" s="161"/>
      <c r="S83" s="161"/>
    </row>
    <row r="84" spans="1:19">
      <c r="A84" s="294"/>
      <c r="B84" s="161">
        <v>0.64652777777777781</v>
      </c>
      <c r="C84" s="162">
        <v>45</v>
      </c>
      <c r="D84" s="162">
        <v>42</v>
      </c>
      <c r="E84" s="162">
        <v>41</v>
      </c>
      <c r="F84" s="162">
        <v>-1</v>
      </c>
      <c r="G84" s="163">
        <v>0.87219999999999998</v>
      </c>
      <c r="H84" s="63"/>
      <c r="I84" s="295" t="s">
        <v>782</v>
      </c>
      <c r="J84" s="296"/>
      <c r="K84" s="170">
        <v>5</v>
      </c>
      <c r="L84" s="171">
        <v>2</v>
      </c>
      <c r="M84" s="50">
        <v>5</v>
      </c>
      <c r="N84" s="171">
        <v>6</v>
      </c>
      <c r="O84" s="159"/>
      <c r="P84" s="159"/>
      <c r="Q84" s="200"/>
      <c r="R84" s="162"/>
      <c r="S84" s="162"/>
    </row>
    <row r="85" spans="1:19">
      <c r="A85" s="294"/>
      <c r="B85" s="164">
        <v>0.81319444444444444</v>
      </c>
      <c r="C85" s="165">
        <v>51</v>
      </c>
      <c r="D85" s="165">
        <v>54</v>
      </c>
      <c r="E85" s="165">
        <v>57</v>
      </c>
      <c r="F85" s="165">
        <v>3</v>
      </c>
      <c r="G85" s="166">
        <v>0.86809999999999998</v>
      </c>
      <c r="H85" s="63"/>
      <c r="I85" s="295" t="s">
        <v>783</v>
      </c>
      <c r="J85" s="295"/>
      <c r="K85" s="170">
        <v>1</v>
      </c>
      <c r="L85" s="171">
        <v>1</v>
      </c>
      <c r="M85" s="50">
        <v>1</v>
      </c>
      <c r="N85" s="171">
        <v>2</v>
      </c>
      <c r="O85" s="159"/>
      <c r="P85" s="159"/>
      <c r="Q85" s="200"/>
      <c r="R85" s="162"/>
      <c r="S85" s="162"/>
    </row>
    <row r="86" spans="1:19">
      <c r="A86" s="294"/>
      <c r="B86" s="161"/>
      <c r="C86" s="162"/>
      <c r="D86" s="162"/>
      <c r="E86" s="162"/>
      <c r="F86" s="162"/>
      <c r="G86" s="163"/>
      <c r="H86" s="63"/>
      <c r="I86" s="295" t="s">
        <v>784</v>
      </c>
      <c r="J86" s="295"/>
      <c r="K86" s="170">
        <v>1</v>
      </c>
      <c r="L86" s="171">
        <v>1</v>
      </c>
      <c r="M86" s="50">
        <v>1</v>
      </c>
      <c r="N86" s="171">
        <v>1</v>
      </c>
      <c r="O86" s="159"/>
      <c r="P86" s="159"/>
      <c r="Q86" s="200"/>
      <c r="R86" s="162"/>
      <c r="S86" s="162"/>
    </row>
    <row r="87" spans="1:19">
      <c r="A87" s="294"/>
      <c r="B87" s="164"/>
      <c r="C87" s="165"/>
      <c r="D87" s="165"/>
      <c r="E87" s="165"/>
      <c r="F87" s="165"/>
      <c r="G87" s="166"/>
      <c r="H87" s="63"/>
      <c r="I87" s="295" t="s">
        <v>785</v>
      </c>
      <c r="J87" s="295"/>
      <c r="K87" s="170">
        <v>3</v>
      </c>
      <c r="L87" s="171">
        <v>3</v>
      </c>
      <c r="M87" s="50">
        <v>5</v>
      </c>
      <c r="N87" s="171">
        <v>5</v>
      </c>
      <c r="O87" s="159"/>
      <c r="P87" s="159"/>
      <c r="Q87" s="200"/>
      <c r="R87" s="162"/>
      <c r="S87" s="162"/>
    </row>
    <row r="88" spans="1:19">
      <c r="A88" s="294"/>
      <c r="B88" s="161"/>
      <c r="C88" s="162"/>
      <c r="D88" s="162"/>
      <c r="E88" s="162"/>
      <c r="F88" s="162"/>
      <c r="G88" s="163"/>
      <c r="H88" s="63"/>
      <c r="I88" s="295" t="s">
        <v>786</v>
      </c>
      <c r="J88" s="295"/>
      <c r="K88" s="170">
        <v>1</v>
      </c>
      <c r="L88" s="171">
        <v>1</v>
      </c>
      <c r="M88" s="50">
        <v>1</v>
      </c>
      <c r="N88" s="171">
        <v>2</v>
      </c>
      <c r="O88" s="159"/>
      <c r="P88" s="159"/>
      <c r="Q88" s="200"/>
      <c r="R88" s="162"/>
      <c r="S88" s="162"/>
    </row>
    <row r="89" spans="1:19">
      <c r="A89" s="294"/>
      <c r="B89" s="164"/>
      <c r="C89" s="165"/>
      <c r="D89" s="165"/>
      <c r="E89" s="165"/>
      <c r="F89" s="165"/>
      <c r="G89" s="166"/>
      <c r="H89" s="63"/>
      <c r="I89" s="295" t="s">
        <v>787</v>
      </c>
      <c r="J89" s="295"/>
      <c r="K89" s="170">
        <v>6</v>
      </c>
      <c r="L89" s="171">
        <v>12</v>
      </c>
      <c r="M89" s="50">
        <v>13</v>
      </c>
      <c r="N89" s="171">
        <v>11</v>
      </c>
      <c r="O89" s="159"/>
      <c r="P89" s="159"/>
      <c r="Q89" s="200"/>
      <c r="R89" s="162"/>
      <c r="S89" s="162"/>
    </row>
    <row r="90" spans="1:19">
      <c r="A90" s="294"/>
      <c r="B90" s="161"/>
      <c r="C90" s="162"/>
      <c r="D90" s="162"/>
      <c r="E90" s="162"/>
      <c r="F90" s="162"/>
      <c r="G90" s="163"/>
      <c r="H90" s="63"/>
      <c r="I90" s="295" t="s">
        <v>788</v>
      </c>
      <c r="J90" s="295"/>
      <c r="K90" s="170">
        <v>0</v>
      </c>
      <c r="L90" s="171">
        <v>1</v>
      </c>
      <c r="M90" s="50">
        <v>1</v>
      </c>
      <c r="N90" s="171">
        <v>1</v>
      </c>
      <c r="O90" s="159"/>
      <c r="P90" s="159"/>
      <c r="Q90" s="200"/>
      <c r="R90" s="162"/>
      <c r="S90" s="162"/>
    </row>
    <row r="91" spans="1:19">
      <c r="A91" s="294"/>
      <c r="B91" s="164"/>
      <c r="C91" s="165"/>
      <c r="D91" s="165"/>
      <c r="E91" s="165"/>
      <c r="F91" s="165"/>
      <c r="G91" s="166"/>
      <c r="H91" s="63"/>
      <c r="I91" s="295" t="s">
        <v>789</v>
      </c>
      <c r="J91" s="295"/>
      <c r="K91" s="170">
        <v>43</v>
      </c>
      <c r="L91" s="171">
        <v>5</v>
      </c>
      <c r="M91" s="50">
        <v>4</v>
      </c>
      <c r="N91" s="171">
        <v>6</v>
      </c>
      <c r="O91" s="159"/>
      <c r="P91" s="159"/>
      <c r="Q91" s="200"/>
      <c r="R91" s="162"/>
      <c r="S91" s="162"/>
    </row>
    <row r="92" spans="1:19">
      <c r="A92" s="63"/>
      <c r="B92" s="63"/>
      <c r="C92" s="63"/>
      <c r="D92" s="63"/>
      <c r="E92" s="63"/>
      <c r="F92" s="63"/>
      <c r="G92" s="63"/>
      <c r="H92" s="63"/>
      <c r="I92" s="295" t="s">
        <v>790</v>
      </c>
      <c r="J92" s="295"/>
      <c r="K92" s="170">
        <v>2</v>
      </c>
      <c r="L92" s="171">
        <v>3</v>
      </c>
      <c r="M92" s="50">
        <v>4</v>
      </c>
      <c r="N92" s="171">
        <v>3</v>
      </c>
      <c r="O92" s="159"/>
      <c r="P92" s="159"/>
      <c r="Q92" s="200"/>
      <c r="R92" s="162"/>
      <c r="S92" s="162"/>
    </row>
    <row r="93" spans="1:19">
      <c r="A93" s="63"/>
      <c r="B93" s="63"/>
      <c r="C93" s="63"/>
      <c r="D93" s="63"/>
      <c r="E93" s="63"/>
      <c r="F93" s="63"/>
      <c r="G93" s="63"/>
      <c r="H93" s="63"/>
      <c r="I93" s="295" t="s">
        <v>791</v>
      </c>
      <c r="J93" s="295"/>
      <c r="K93" s="170">
        <v>3</v>
      </c>
      <c r="L93" s="171">
        <v>25</v>
      </c>
      <c r="M93" s="50">
        <v>20</v>
      </c>
      <c r="N93" s="171">
        <v>23</v>
      </c>
      <c r="O93" s="159"/>
      <c r="P93" s="159"/>
      <c r="Q93" s="200"/>
      <c r="R93" s="162"/>
      <c r="S93" s="162"/>
    </row>
    <row r="94" spans="1:19">
      <c r="A94" s="63"/>
      <c r="B94" s="63"/>
      <c r="C94" s="63"/>
      <c r="D94" s="63"/>
      <c r="E94" s="63"/>
      <c r="F94" s="63"/>
      <c r="G94" s="63"/>
      <c r="H94" s="63"/>
      <c r="I94" s="296" t="s">
        <v>792</v>
      </c>
      <c r="J94" s="296"/>
      <c r="K94" s="170">
        <v>1</v>
      </c>
      <c r="L94" s="171">
        <v>1</v>
      </c>
      <c r="M94" s="50">
        <v>2</v>
      </c>
      <c r="N94" s="171">
        <v>1</v>
      </c>
      <c r="O94" s="159"/>
      <c r="P94" s="159"/>
      <c r="Q94" s="200"/>
      <c r="R94" s="162"/>
      <c r="S94" s="162"/>
    </row>
    <row r="95" spans="1:19" ht="17.25" thickBot="1">
      <c r="A95" s="63"/>
      <c r="B95" s="63"/>
      <c r="C95" s="63"/>
      <c r="D95" s="63"/>
      <c r="E95" s="63"/>
      <c r="F95" s="63"/>
      <c r="G95" s="63"/>
      <c r="H95" s="63"/>
      <c r="I95" s="297" t="s">
        <v>793</v>
      </c>
      <c r="J95" s="297"/>
      <c r="K95" s="172">
        <f t="shared" ref="K95:S95" si="4">SUM(K84:K94)</f>
        <v>66</v>
      </c>
      <c r="L95" s="173">
        <f t="shared" si="4"/>
        <v>55</v>
      </c>
      <c r="M95" s="173">
        <f t="shared" si="4"/>
        <v>57</v>
      </c>
      <c r="N95" s="173">
        <f t="shared" si="4"/>
        <v>61</v>
      </c>
      <c r="O95" s="174">
        <f t="shared" si="4"/>
        <v>0</v>
      </c>
      <c r="P95" s="174">
        <f t="shared" si="4"/>
        <v>0</v>
      </c>
      <c r="Q95" s="174">
        <f t="shared" si="4"/>
        <v>0</v>
      </c>
      <c r="R95" s="175">
        <f t="shared" si="4"/>
        <v>0</v>
      </c>
      <c r="S95" s="175">
        <f t="shared" si="4"/>
        <v>0</v>
      </c>
    </row>
    <row r="96" spans="1:19" ht="17.25" thickBot="1">
      <c r="A96" s="63"/>
      <c r="B96" s="63"/>
      <c r="C96" s="63"/>
      <c r="D96" s="63"/>
      <c r="E96" s="63"/>
      <c r="F96" s="63"/>
      <c r="G96" s="63"/>
      <c r="H96" s="63"/>
      <c r="I96" s="298" t="s">
        <v>794</v>
      </c>
      <c r="J96" s="299"/>
      <c r="K96" s="176">
        <v>0</v>
      </c>
      <c r="L96" s="177">
        <f>K95-L95</f>
        <v>11</v>
      </c>
      <c r="M96" s="177">
        <f>K95-M95</f>
        <v>9</v>
      </c>
      <c r="N96" s="177">
        <f>K95-N95</f>
        <v>5</v>
      </c>
      <c r="O96" s="178">
        <f>K95-O95</f>
        <v>66</v>
      </c>
      <c r="P96" s="178">
        <f>K95-P95</f>
        <v>66</v>
      </c>
      <c r="Q96" s="178">
        <f>K95-Q95</f>
        <v>66</v>
      </c>
      <c r="R96" s="179">
        <f>K95-R95</f>
        <v>66</v>
      </c>
      <c r="S96" s="180">
        <f>L95-S95</f>
        <v>55</v>
      </c>
    </row>
    <row r="97" spans="1:19">
      <c r="A97" s="63"/>
      <c r="B97" s="63"/>
      <c r="C97" s="63"/>
      <c r="D97" s="63"/>
      <c r="E97" s="63"/>
      <c r="F97" s="63"/>
      <c r="G97" s="63"/>
      <c r="H97" s="63"/>
      <c r="I97" s="300" t="s">
        <v>795</v>
      </c>
      <c r="J97" s="301"/>
      <c r="K97" s="181">
        <v>201</v>
      </c>
      <c r="L97" s="182">
        <v>203</v>
      </c>
      <c r="M97" s="182">
        <v>205</v>
      </c>
      <c r="N97" s="182">
        <v>183</v>
      </c>
      <c r="O97" s="183"/>
      <c r="P97" s="182"/>
      <c r="Q97" s="182"/>
      <c r="R97" s="182"/>
      <c r="S97" s="182"/>
    </row>
    <row r="98" spans="1:19">
      <c r="A98" s="63"/>
      <c r="B98" s="63"/>
      <c r="C98" s="63"/>
      <c r="D98" s="63"/>
      <c r="E98" s="63"/>
      <c r="F98" s="63"/>
      <c r="G98" s="63"/>
      <c r="H98" s="63"/>
      <c r="I98" s="302" t="s">
        <v>796</v>
      </c>
      <c r="J98" s="302"/>
      <c r="K98" s="184">
        <v>54</v>
      </c>
      <c r="L98" s="160">
        <v>44</v>
      </c>
      <c r="M98" s="160">
        <v>45</v>
      </c>
      <c r="N98" s="160">
        <v>51</v>
      </c>
      <c r="O98" s="160"/>
      <c r="P98" s="160"/>
      <c r="Q98" s="160"/>
      <c r="R98" s="160"/>
      <c r="S98" s="160"/>
    </row>
    <row r="99" spans="1:19">
      <c r="A99" s="63"/>
      <c r="B99" s="63"/>
      <c r="C99" s="63"/>
      <c r="D99" s="63"/>
      <c r="E99" s="63"/>
      <c r="F99" s="63"/>
      <c r="G99" s="63"/>
      <c r="H99" s="63"/>
      <c r="I99" s="302" t="s">
        <v>797</v>
      </c>
      <c r="J99" s="302"/>
      <c r="K99" s="184">
        <v>147</v>
      </c>
      <c r="L99" s="160">
        <v>159</v>
      </c>
      <c r="M99" s="160">
        <v>160</v>
      </c>
      <c r="N99" s="160">
        <v>132</v>
      </c>
      <c r="O99" s="160"/>
      <c r="P99" s="160"/>
      <c r="Q99" s="160"/>
      <c r="R99" s="160"/>
      <c r="S99" s="160"/>
    </row>
    <row r="100" spans="1:19">
      <c r="A100" s="63"/>
      <c r="B100" s="63"/>
      <c r="C100" s="63"/>
      <c r="D100" s="63"/>
      <c r="E100" s="63"/>
      <c r="F100" s="63"/>
      <c r="G100" s="63"/>
      <c r="H100" s="63"/>
      <c r="I100" s="303" t="s">
        <v>798</v>
      </c>
      <c r="J100" s="303"/>
      <c r="K100" s="184"/>
      <c r="L100" s="185"/>
      <c r="M100" s="185"/>
      <c r="N100" s="185"/>
      <c r="O100" s="185"/>
      <c r="P100" s="6"/>
      <c r="Q100" s="6"/>
      <c r="R100" s="6"/>
      <c r="S100" s="6"/>
    </row>
    <row r="101" spans="1:19">
      <c r="A101" s="3" t="s">
        <v>801</v>
      </c>
      <c r="B101" s="201" t="s">
        <v>802</v>
      </c>
      <c r="C101" s="201" t="s">
        <v>803</v>
      </c>
      <c r="D101" s="201" t="s">
        <v>119</v>
      </c>
      <c r="E101" s="201" t="s">
        <v>148</v>
      </c>
      <c r="F101" s="201" t="s">
        <v>806</v>
      </c>
      <c r="G101" s="201" t="s">
        <v>81</v>
      </c>
      <c r="H101" s="186"/>
      <c r="I101" s="187"/>
      <c r="J101" s="187"/>
      <c r="K101" s="187"/>
      <c r="L101" s="188"/>
      <c r="M101" s="188"/>
      <c r="N101" s="188"/>
      <c r="O101" s="188"/>
      <c r="P101" s="187"/>
      <c r="Q101" s="187"/>
      <c r="R101" s="187"/>
      <c r="S101" s="187"/>
    </row>
    <row r="102" spans="1:19">
      <c r="A102" s="293">
        <v>44044</v>
      </c>
      <c r="B102" s="161"/>
      <c r="C102" s="162"/>
      <c r="D102" s="162"/>
      <c r="E102" s="162"/>
      <c r="F102" s="162"/>
      <c r="G102" s="163"/>
      <c r="H102" s="63"/>
      <c r="I102" s="191"/>
      <c r="J102" s="190"/>
      <c r="K102" s="190"/>
      <c r="L102" s="190"/>
      <c r="M102" s="190">
        <v>44044</v>
      </c>
      <c r="N102" s="189" t="s">
        <v>841</v>
      </c>
      <c r="O102" s="189"/>
      <c r="P102" s="189"/>
      <c r="Q102" s="189"/>
      <c r="R102" s="189"/>
      <c r="S102" s="189"/>
    </row>
    <row r="103" spans="1:19">
      <c r="A103" s="294"/>
      <c r="B103" s="164"/>
      <c r="C103" s="165"/>
      <c r="D103" s="165"/>
      <c r="E103" s="165"/>
      <c r="F103" s="165"/>
      <c r="G103" s="166"/>
      <c r="H103" s="63"/>
      <c r="I103" s="304"/>
      <c r="J103" s="304"/>
      <c r="K103" s="167"/>
      <c r="L103" s="168"/>
      <c r="M103" s="168"/>
      <c r="N103" s="168"/>
      <c r="O103" s="169"/>
      <c r="P103" s="169"/>
      <c r="Q103" s="169"/>
      <c r="R103" s="161"/>
      <c r="S103" s="161"/>
    </row>
    <row r="104" spans="1:19">
      <c r="A104" s="294"/>
      <c r="B104" s="161"/>
      <c r="C104" s="162"/>
      <c r="D104" s="162"/>
      <c r="E104" s="162"/>
      <c r="F104" s="162"/>
      <c r="G104" s="163"/>
      <c r="H104" s="63"/>
      <c r="I104" s="295" t="s">
        <v>782</v>
      </c>
      <c r="J104" s="296"/>
      <c r="K104" s="170"/>
      <c r="L104" s="171"/>
      <c r="M104" s="50"/>
      <c r="N104" s="171"/>
      <c r="O104" s="192"/>
      <c r="P104" s="192"/>
      <c r="Q104" s="200"/>
      <c r="R104" s="162"/>
      <c r="S104" s="162"/>
    </row>
    <row r="105" spans="1:19">
      <c r="A105" s="294"/>
      <c r="B105" s="164"/>
      <c r="C105" s="165"/>
      <c r="D105" s="165"/>
      <c r="E105" s="165"/>
      <c r="F105" s="165"/>
      <c r="G105" s="166"/>
      <c r="H105" s="63"/>
      <c r="I105" s="295" t="s">
        <v>783</v>
      </c>
      <c r="J105" s="295"/>
      <c r="K105" s="170"/>
      <c r="L105" s="171"/>
      <c r="M105" s="50"/>
      <c r="N105" s="171"/>
      <c r="O105" s="192"/>
      <c r="P105" s="192"/>
      <c r="Q105" s="200"/>
      <c r="R105" s="162"/>
      <c r="S105" s="162"/>
    </row>
    <row r="106" spans="1:19">
      <c r="A106" s="294"/>
      <c r="B106" s="161"/>
      <c r="C106" s="162"/>
      <c r="D106" s="162"/>
      <c r="E106" s="162"/>
      <c r="F106" s="162"/>
      <c r="G106" s="163"/>
      <c r="H106" s="63"/>
      <c r="I106" s="295" t="s">
        <v>784</v>
      </c>
      <c r="J106" s="295"/>
      <c r="K106" s="170"/>
      <c r="L106" s="171"/>
      <c r="M106" s="50"/>
      <c r="N106" s="171"/>
      <c r="O106" s="192"/>
      <c r="P106" s="192"/>
      <c r="Q106" s="200"/>
      <c r="R106" s="162"/>
      <c r="S106" s="162"/>
    </row>
    <row r="107" spans="1:19">
      <c r="A107" s="294"/>
      <c r="B107" s="164"/>
      <c r="C107" s="165"/>
      <c r="D107" s="165"/>
      <c r="E107" s="165"/>
      <c r="F107" s="165"/>
      <c r="G107" s="166"/>
      <c r="H107" s="63"/>
      <c r="I107" s="295" t="s">
        <v>785</v>
      </c>
      <c r="J107" s="295"/>
      <c r="K107" s="170"/>
      <c r="L107" s="171"/>
      <c r="M107" s="50"/>
      <c r="N107" s="171"/>
      <c r="O107" s="192"/>
      <c r="P107" s="192"/>
      <c r="Q107" s="200"/>
      <c r="R107" s="162"/>
      <c r="S107" s="162"/>
    </row>
    <row r="108" spans="1:19">
      <c r="A108" s="294"/>
      <c r="B108" s="161"/>
      <c r="C108" s="162"/>
      <c r="D108" s="162"/>
      <c r="E108" s="162"/>
      <c r="F108" s="162"/>
      <c r="G108" s="163"/>
      <c r="H108" s="63"/>
      <c r="I108" s="295" t="s">
        <v>786</v>
      </c>
      <c r="J108" s="295"/>
      <c r="K108" s="170"/>
      <c r="L108" s="171"/>
      <c r="M108" s="50"/>
      <c r="N108" s="171"/>
      <c r="O108" s="192"/>
      <c r="P108" s="192"/>
      <c r="Q108" s="200"/>
      <c r="R108" s="162"/>
      <c r="S108" s="162"/>
    </row>
    <row r="109" spans="1:19">
      <c r="A109" s="294"/>
      <c r="B109" s="164"/>
      <c r="C109" s="165"/>
      <c r="D109" s="165"/>
      <c r="E109" s="165"/>
      <c r="F109" s="165"/>
      <c r="G109" s="166"/>
      <c r="H109" s="63"/>
      <c r="I109" s="295" t="s">
        <v>787</v>
      </c>
      <c r="J109" s="295"/>
      <c r="K109" s="170"/>
      <c r="L109" s="171"/>
      <c r="M109" s="50"/>
      <c r="N109" s="171"/>
      <c r="O109" s="192"/>
      <c r="P109" s="192"/>
      <c r="Q109" s="200"/>
      <c r="R109" s="162"/>
      <c r="S109" s="162"/>
    </row>
    <row r="110" spans="1:19">
      <c r="A110" s="294"/>
      <c r="B110" s="161"/>
      <c r="C110" s="162"/>
      <c r="D110" s="162"/>
      <c r="E110" s="162"/>
      <c r="F110" s="162"/>
      <c r="G110" s="163"/>
      <c r="H110" s="63"/>
      <c r="I110" s="295" t="s">
        <v>788</v>
      </c>
      <c r="J110" s="295"/>
      <c r="K110" s="170"/>
      <c r="L110" s="171"/>
      <c r="M110" s="50"/>
      <c r="N110" s="171"/>
      <c r="O110" s="192"/>
      <c r="P110" s="192"/>
      <c r="Q110" s="200"/>
      <c r="R110" s="162"/>
      <c r="S110" s="162"/>
    </row>
    <row r="111" spans="1:19">
      <c r="A111" s="294"/>
      <c r="B111" s="164"/>
      <c r="C111" s="165"/>
      <c r="D111" s="165"/>
      <c r="E111" s="165"/>
      <c r="F111" s="165"/>
      <c r="G111" s="166"/>
      <c r="H111" s="63"/>
      <c r="I111" s="295" t="s">
        <v>789</v>
      </c>
      <c r="J111" s="295"/>
      <c r="K111" s="170"/>
      <c r="L111" s="171"/>
      <c r="M111" s="50"/>
      <c r="N111" s="171"/>
      <c r="O111" s="192"/>
      <c r="P111" s="192"/>
      <c r="Q111" s="200"/>
      <c r="R111" s="162"/>
      <c r="S111" s="162"/>
    </row>
    <row r="112" spans="1:19">
      <c r="A112" s="63"/>
      <c r="B112" s="63"/>
      <c r="C112" s="63"/>
      <c r="D112" s="63"/>
      <c r="E112" s="63"/>
      <c r="F112" s="63"/>
      <c r="G112" s="63"/>
      <c r="H112" s="63"/>
      <c r="I112" s="295" t="s">
        <v>790</v>
      </c>
      <c r="J112" s="295"/>
      <c r="K112" s="170"/>
      <c r="L112" s="171"/>
      <c r="M112" s="50"/>
      <c r="N112" s="171"/>
      <c r="O112" s="192"/>
      <c r="P112" s="192"/>
      <c r="Q112" s="200"/>
      <c r="R112" s="162"/>
      <c r="S112" s="162"/>
    </row>
    <row r="113" spans="1:19">
      <c r="A113" s="63"/>
      <c r="B113" s="63"/>
      <c r="C113" s="63"/>
      <c r="D113" s="63"/>
      <c r="E113" s="63"/>
      <c r="F113" s="63"/>
      <c r="G113" s="63"/>
      <c r="H113" s="63"/>
      <c r="I113" s="295" t="s">
        <v>791</v>
      </c>
      <c r="J113" s="295"/>
      <c r="K113" s="170"/>
      <c r="L113" s="171"/>
      <c r="M113" s="50"/>
      <c r="N113" s="171"/>
      <c r="O113" s="192"/>
      <c r="P113" s="192"/>
      <c r="Q113" s="200"/>
      <c r="R113" s="162"/>
      <c r="S113" s="162"/>
    </row>
    <row r="114" spans="1:19">
      <c r="A114" s="63"/>
      <c r="B114" s="63"/>
      <c r="C114" s="63"/>
      <c r="D114" s="63"/>
      <c r="E114" s="63"/>
      <c r="F114" s="63"/>
      <c r="G114" s="63"/>
      <c r="H114" s="63"/>
      <c r="I114" s="296" t="s">
        <v>792</v>
      </c>
      <c r="J114" s="296"/>
      <c r="K114" s="170"/>
      <c r="L114" s="171"/>
      <c r="M114" s="50"/>
      <c r="N114" s="171"/>
      <c r="O114" s="192"/>
      <c r="P114" s="192"/>
      <c r="Q114" s="200"/>
      <c r="R114" s="162"/>
      <c r="S114" s="162"/>
    </row>
    <row r="115" spans="1:19" ht="17.25" thickBot="1">
      <c r="A115" s="63"/>
      <c r="B115" s="63"/>
      <c r="C115" s="63"/>
      <c r="D115" s="63"/>
      <c r="E115" s="63"/>
      <c r="F115" s="63"/>
      <c r="G115" s="63"/>
      <c r="H115" s="63"/>
      <c r="I115" s="297" t="s">
        <v>793</v>
      </c>
      <c r="J115" s="297"/>
      <c r="K115" s="172">
        <f t="shared" ref="K115:S115" si="5">SUM(K104:K114)</f>
        <v>0</v>
      </c>
      <c r="L115" s="194">
        <f t="shared" si="5"/>
        <v>0</v>
      </c>
      <c r="M115" s="194">
        <f t="shared" si="5"/>
        <v>0</v>
      </c>
      <c r="N115" s="194">
        <f t="shared" si="5"/>
        <v>0</v>
      </c>
      <c r="O115" s="174">
        <f t="shared" si="5"/>
        <v>0</v>
      </c>
      <c r="P115" s="174">
        <f t="shared" si="5"/>
        <v>0</v>
      </c>
      <c r="Q115" s="174">
        <f t="shared" si="5"/>
        <v>0</v>
      </c>
      <c r="R115" s="175">
        <f t="shared" si="5"/>
        <v>0</v>
      </c>
      <c r="S115" s="175">
        <f t="shared" si="5"/>
        <v>0</v>
      </c>
    </row>
    <row r="116" spans="1:19" ht="17.25" thickBot="1">
      <c r="A116" s="63"/>
      <c r="B116" s="63"/>
      <c r="C116" s="63"/>
      <c r="D116" s="63"/>
      <c r="E116" s="63"/>
      <c r="F116" s="63"/>
      <c r="G116" s="63"/>
      <c r="H116" s="63"/>
      <c r="I116" s="298" t="s">
        <v>794</v>
      </c>
      <c r="J116" s="299"/>
      <c r="K116" s="176">
        <v>0</v>
      </c>
      <c r="L116" s="177">
        <f>K115-L115</f>
        <v>0</v>
      </c>
      <c r="M116" s="177">
        <f>K115-M115</f>
        <v>0</v>
      </c>
      <c r="N116" s="177">
        <f>K115-N115</f>
        <v>0</v>
      </c>
      <c r="O116" s="178">
        <f>K115-O115</f>
        <v>0</v>
      </c>
      <c r="P116" s="178">
        <f>K115-P115</f>
        <v>0</v>
      </c>
      <c r="Q116" s="178">
        <f>K115-Q115</f>
        <v>0</v>
      </c>
      <c r="R116" s="179">
        <f>K115-R115</f>
        <v>0</v>
      </c>
      <c r="S116" s="180">
        <f>L115-S115</f>
        <v>0</v>
      </c>
    </row>
    <row r="117" spans="1:19">
      <c r="A117" s="63"/>
      <c r="B117" s="63"/>
      <c r="C117" s="63"/>
      <c r="D117" s="63"/>
      <c r="E117" s="63"/>
      <c r="F117" s="63"/>
      <c r="G117" s="63"/>
      <c r="H117" s="63"/>
      <c r="I117" s="300" t="s">
        <v>795</v>
      </c>
      <c r="J117" s="301"/>
      <c r="K117" s="181"/>
      <c r="L117" s="182"/>
      <c r="M117" s="182"/>
      <c r="N117" s="182"/>
      <c r="O117" s="183"/>
      <c r="P117" s="182"/>
      <c r="Q117" s="182"/>
      <c r="R117" s="182"/>
      <c r="S117" s="182"/>
    </row>
    <row r="118" spans="1:19">
      <c r="A118" s="63"/>
      <c r="B118" s="63"/>
      <c r="C118" s="63"/>
      <c r="D118" s="63"/>
      <c r="E118" s="63"/>
      <c r="F118" s="63"/>
      <c r="G118" s="63"/>
      <c r="H118" s="63"/>
      <c r="I118" s="302" t="s">
        <v>796</v>
      </c>
      <c r="J118" s="302"/>
      <c r="K118" s="184"/>
      <c r="L118" s="193"/>
      <c r="M118" s="193"/>
      <c r="N118" s="193"/>
      <c r="O118" s="193"/>
      <c r="P118" s="193"/>
      <c r="Q118" s="193"/>
      <c r="R118" s="193"/>
      <c r="S118" s="193"/>
    </row>
    <row r="119" spans="1:19">
      <c r="A119" s="63"/>
      <c r="B119" s="63"/>
      <c r="C119" s="63"/>
      <c r="D119" s="63"/>
      <c r="E119" s="63"/>
      <c r="F119" s="63"/>
      <c r="G119" s="63"/>
      <c r="H119" s="63"/>
      <c r="I119" s="302" t="s">
        <v>797</v>
      </c>
      <c r="J119" s="302"/>
      <c r="K119" s="184"/>
      <c r="L119" s="193"/>
      <c r="M119" s="193"/>
      <c r="N119" s="193"/>
      <c r="O119" s="193"/>
      <c r="P119" s="193"/>
      <c r="Q119" s="193"/>
      <c r="R119" s="193"/>
      <c r="S119" s="193"/>
    </row>
    <row r="120" spans="1:19">
      <c r="A120" s="63"/>
      <c r="B120" s="63"/>
      <c r="C120" s="63"/>
      <c r="D120" s="63"/>
      <c r="E120" s="63"/>
      <c r="F120" s="63"/>
      <c r="G120" s="63"/>
      <c r="H120" s="63"/>
      <c r="I120" s="303" t="s">
        <v>798</v>
      </c>
      <c r="J120" s="303"/>
      <c r="K120" s="184"/>
      <c r="L120" s="185"/>
      <c r="M120" s="185"/>
      <c r="N120" s="185"/>
      <c r="O120" s="185"/>
      <c r="P120" s="195"/>
      <c r="Q120" s="195"/>
      <c r="R120" s="195"/>
      <c r="S120" s="195"/>
    </row>
    <row r="121" spans="1:19">
      <c r="A121" s="3" t="s">
        <v>801</v>
      </c>
      <c r="B121" s="201" t="s">
        <v>802</v>
      </c>
      <c r="C121" s="201" t="s">
        <v>803</v>
      </c>
      <c r="D121" s="201" t="s">
        <v>119</v>
      </c>
      <c r="E121" s="201" t="s">
        <v>148</v>
      </c>
      <c r="F121" s="201" t="s">
        <v>806</v>
      </c>
      <c r="G121" s="201" t="s">
        <v>81</v>
      </c>
      <c r="H121" s="186"/>
      <c r="I121" s="187"/>
      <c r="J121" s="187"/>
      <c r="K121" s="187"/>
      <c r="L121" s="188"/>
      <c r="M121" s="188"/>
      <c r="N121" s="188"/>
      <c r="O121" s="188"/>
      <c r="P121" s="187"/>
      <c r="Q121" s="187"/>
      <c r="R121" s="187"/>
      <c r="S121" s="187"/>
    </row>
    <row r="122" spans="1:19">
      <c r="A122" s="293">
        <v>44045</v>
      </c>
      <c r="B122" s="161"/>
      <c r="C122" s="162"/>
      <c r="D122" s="162"/>
      <c r="E122" s="162"/>
      <c r="F122" s="162"/>
      <c r="G122" s="163"/>
      <c r="H122" s="63"/>
      <c r="I122" s="191"/>
      <c r="J122" s="190"/>
      <c r="K122" s="190"/>
      <c r="L122" s="190"/>
      <c r="M122" s="190">
        <v>44045</v>
      </c>
      <c r="N122" s="189" t="s">
        <v>842</v>
      </c>
      <c r="O122" s="189"/>
      <c r="P122" s="189"/>
      <c r="Q122" s="189"/>
      <c r="R122" s="189"/>
      <c r="S122" s="189"/>
    </row>
    <row r="123" spans="1:19">
      <c r="A123" s="294"/>
      <c r="B123" s="164"/>
      <c r="C123" s="165"/>
      <c r="D123" s="165"/>
      <c r="E123" s="165"/>
      <c r="F123" s="165"/>
      <c r="G123" s="166"/>
      <c r="H123" s="63"/>
      <c r="I123" s="304"/>
      <c r="J123" s="304"/>
      <c r="K123" s="167"/>
      <c r="L123" s="168"/>
      <c r="M123" s="168"/>
      <c r="N123" s="168"/>
      <c r="O123" s="169"/>
      <c r="P123" s="169"/>
      <c r="Q123" s="169"/>
      <c r="R123" s="161"/>
      <c r="S123" s="161"/>
    </row>
    <row r="124" spans="1:19">
      <c r="A124" s="294"/>
      <c r="B124" s="161"/>
      <c r="C124" s="162"/>
      <c r="D124" s="162"/>
      <c r="E124" s="162"/>
      <c r="F124" s="162"/>
      <c r="G124" s="163"/>
      <c r="H124" s="63"/>
      <c r="I124" s="295" t="s">
        <v>782</v>
      </c>
      <c r="J124" s="296"/>
      <c r="K124" s="170"/>
      <c r="L124" s="171"/>
      <c r="M124" s="50"/>
      <c r="N124" s="171"/>
      <c r="O124" s="192"/>
      <c r="P124" s="192"/>
      <c r="Q124" s="200"/>
      <c r="R124" s="162"/>
      <c r="S124" s="162"/>
    </row>
    <row r="125" spans="1:19">
      <c r="A125" s="294"/>
      <c r="B125" s="164"/>
      <c r="C125" s="165"/>
      <c r="D125" s="165"/>
      <c r="E125" s="165"/>
      <c r="F125" s="165"/>
      <c r="G125" s="166"/>
      <c r="H125" s="63"/>
      <c r="I125" s="295" t="s">
        <v>783</v>
      </c>
      <c r="J125" s="295"/>
      <c r="K125" s="170"/>
      <c r="L125" s="171"/>
      <c r="M125" s="50"/>
      <c r="N125" s="171"/>
      <c r="O125" s="192"/>
      <c r="P125" s="192"/>
      <c r="Q125" s="200"/>
      <c r="R125" s="162"/>
      <c r="S125" s="162"/>
    </row>
    <row r="126" spans="1:19">
      <c r="A126" s="294"/>
      <c r="B126" s="161"/>
      <c r="C126" s="162"/>
      <c r="D126" s="162"/>
      <c r="E126" s="162"/>
      <c r="F126" s="162"/>
      <c r="G126" s="163"/>
      <c r="H126" s="63"/>
      <c r="I126" s="295" t="s">
        <v>784</v>
      </c>
      <c r="J126" s="295"/>
      <c r="K126" s="170"/>
      <c r="L126" s="171"/>
      <c r="M126" s="50"/>
      <c r="N126" s="171"/>
      <c r="O126" s="192"/>
      <c r="P126" s="192"/>
      <c r="Q126" s="200"/>
      <c r="R126" s="162"/>
      <c r="S126" s="162"/>
    </row>
    <row r="127" spans="1:19">
      <c r="A127" s="294"/>
      <c r="B127" s="164"/>
      <c r="C127" s="165"/>
      <c r="D127" s="165"/>
      <c r="E127" s="165"/>
      <c r="F127" s="165"/>
      <c r="G127" s="166"/>
      <c r="H127" s="63"/>
      <c r="I127" s="295" t="s">
        <v>785</v>
      </c>
      <c r="J127" s="295"/>
      <c r="K127" s="170"/>
      <c r="L127" s="171"/>
      <c r="M127" s="50"/>
      <c r="N127" s="171"/>
      <c r="O127" s="192"/>
      <c r="P127" s="192"/>
      <c r="Q127" s="200"/>
      <c r="R127" s="162"/>
      <c r="S127" s="162"/>
    </row>
    <row r="128" spans="1:19">
      <c r="A128" s="294"/>
      <c r="B128" s="161"/>
      <c r="C128" s="162"/>
      <c r="D128" s="162"/>
      <c r="E128" s="162"/>
      <c r="F128" s="162"/>
      <c r="G128" s="163"/>
      <c r="H128" s="63"/>
      <c r="I128" s="295" t="s">
        <v>786</v>
      </c>
      <c r="J128" s="295"/>
      <c r="K128" s="170"/>
      <c r="L128" s="171"/>
      <c r="M128" s="50"/>
      <c r="N128" s="171"/>
      <c r="O128" s="192"/>
      <c r="P128" s="192"/>
      <c r="Q128" s="200"/>
      <c r="R128" s="162"/>
      <c r="S128" s="162"/>
    </row>
    <row r="129" spans="1:19">
      <c r="A129" s="294"/>
      <c r="B129" s="164"/>
      <c r="C129" s="165"/>
      <c r="D129" s="165"/>
      <c r="E129" s="165"/>
      <c r="F129" s="165"/>
      <c r="G129" s="166"/>
      <c r="H129" s="63"/>
      <c r="I129" s="295" t="s">
        <v>787</v>
      </c>
      <c r="J129" s="295"/>
      <c r="K129" s="170"/>
      <c r="L129" s="171"/>
      <c r="M129" s="50"/>
      <c r="N129" s="171"/>
      <c r="O129" s="192"/>
      <c r="P129" s="192"/>
      <c r="Q129" s="200"/>
      <c r="R129" s="162"/>
      <c r="S129" s="162"/>
    </row>
    <row r="130" spans="1:19">
      <c r="A130" s="294"/>
      <c r="B130" s="161"/>
      <c r="C130" s="162"/>
      <c r="D130" s="162"/>
      <c r="E130" s="162"/>
      <c r="F130" s="162"/>
      <c r="G130" s="163"/>
      <c r="H130" s="63"/>
      <c r="I130" s="295" t="s">
        <v>788</v>
      </c>
      <c r="J130" s="295"/>
      <c r="K130" s="170"/>
      <c r="L130" s="171"/>
      <c r="M130" s="50"/>
      <c r="N130" s="171"/>
      <c r="O130" s="192"/>
      <c r="P130" s="192"/>
      <c r="Q130" s="200"/>
      <c r="R130" s="162"/>
      <c r="S130" s="162"/>
    </row>
    <row r="131" spans="1:19">
      <c r="A131" s="294"/>
      <c r="B131" s="164"/>
      <c r="C131" s="165"/>
      <c r="D131" s="165"/>
      <c r="E131" s="165"/>
      <c r="F131" s="165"/>
      <c r="G131" s="166"/>
      <c r="H131" s="63"/>
      <c r="I131" s="295" t="s">
        <v>789</v>
      </c>
      <c r="J131" s="295"/>
      <c r="K131" s="170"/>
      <c r="L131" s="171"/>
      <c r="M131" s="50"/>
      <c r="N131" s="171"/>
      <c r="O131" s="192"/>
      <c r="P131" s="192"/>
      <c r="Q131" s="200"/>
      <c r="R131" s="162"/>
      <c r="S131" s="162"/>
    </row>
    <row r="132" spans="1:19">
      <c r="A132" s="63"/>
      <c r="B132" s="63"/>
      <c r="C132" s="63"/>
      <c r="D132" s="63"/>
      <c r="E132" s="63"/>
      <c r="F132" s="63"/>
      <c r="G132" s="63"/>
      <c r="H132" s="63"/>
      <c r="I132" s="295" t="s">
        <v>790</v>
      </c>
      <c r="J132" s="295"/>
      <c r="K132" s="170"/>
      <c r="L132" s="171"/>
      <c r="M132" s="50"/>
      <c r="N132" s="171"/>
      <c r="O132" s="192"/>
      <c r="P132" s="192"/>
      <c r="Q132" s="200"/>
      <c r="R132" s="162"/>
      <c r="S132" s="162"/>
    </row>
    <row r="133" spans="1:19">
      <c r="A133" s="63"/>
      <c r="B133" s="63"/>
      <c r="C133" s="63"/>
      <c r="D133" s="63"/>
      <c r="E133" s="63"/>
      <c r="F133" s="63"/>
      <c r="G133" s="63"/>
      <c r="H133" s="63"/>
      <c r="I133" s="295" t="s">
        <v>791</v>
      </c>
      <c r="J133" s="295"/>
      <c r="K133" s="170"/>
      <c r="L133" s="171"/>
      <c r="M133" s="50"/>
      <c r="N133" s="171"/>
      <c r="O133" s="192"/>
      <c r="P133" s="192"/>
      <c r="Q133" s="200"/>
      <c r="R133" s="162"/>
      <c r="S133" s="162"/>
    </row>
    <row r="134" spans="1:19">
      <c r="A134" s="63"/>
      <c r="B134" s="63"/>
      <c r="C134" s="63"/>
      <c r="D134" s="63"/>
      <c r="E134" s="63"/>
      <c r="F134" s="63"/>
      <c r="G134" s="63"/>
      <c r="H134" s="63"/>
      <c r="I134" s="296" t="s">
        <v>792</v>
      </c>
      <c r="J134" s="296"/>
      <c r="K134" s="170"/>
      <c r="L134" s="171"/>
      <c r="M134" s="50"/>
      <c r="N134" s="171"/>
      <c r="O134" s="192"/>
      <c r="P134" s="192"/>
      <c r="Q134" s="200"/>
      <c r="R134" s="162"/>
      <c r="S134" s="162"/>
    </row>
    <row r="135" spans="1:19" ht="17.25" thickBot="1">
      <c r="A135" s="63"/>
      <c r="B135" s="63"/>
      <c r="C135" s="63"/>
      <c r="D135" s="63"/>
      <c r="E135" s="63"/>
      <c r="F135" s="63"/>
      <c r="G135" s="63"/>
      <c r="H135" s="63"/>
      <c r="I135" s="297" t="s">
        <v>793</v>
      </c>
      <c r="J135" s="297"/>
      <c r="K135" s="172">
        <f t="shared" ref="K135:S135" si="6">SUM(K124:K134)</f>
        <v>0</v>
      </c>
      <c r="L135" s="194">
        <f t="shared" si="6"/>
        <v>0</v>
      </c>
      <c r="M135" s="194">
        <f t="shared" si="6"/>
        <v>0</v>
      </c>
      <c r="N135" s="194">
        <f t="shared" si="6"/>
        <v>0</v>
      </c>
      <c r="O135" s="174">
        <f t="shared" si="6"/>
        <v>0</v>
      </c>
      <c r="P135" s="174">
        <f t="shared" si="6"/>
        <v>0</v>
      </c>
      <c r="Q135" s="174">
        <f t="shared" si="6"/>
        <v>0</v>
      </c>
      <c r="R135" s="175">
        <f t="shared" si="6"/>
        <v>0</v>
      </c>
      <c r="S135" s="175">
        <f t="shared" si="6"/>
        <v>0</v>
      </c>
    </row>
    <row r="136" spans="1:19" ht="17.25" thickBot="1">
      <c r="A136" s="63"/>
      <c r="B136" s="63"/>
      <c r="C136" s="63"/>
      <c r="D136" s="63"/>
      <c r="E136" s="63"/>
      <c r="F136" s="63"/>
      <c r="G136" s="63"/>
      <c r="H136" s="63"/>
      <c r="I136" s="298" t="s">
        <v>794</v>
      </c>
      <c r="J136" s="299"/>
      <c r="K136" s="176">
        <v>0</v>
      </c>
      <c r="L136" s="177">
        <f>K135-L135</f>
        <v>0</v>
      </c>
      <c r="M136" s="177">
        <f>K135-M135</f>
        <v>0</v>
      </c>
      <c r="N136" s="177">
        <f>K135-N135</f>
        <v>0</v>
      </c>
      <c r="O136" s="178">
        <f>K135-O135</f>
        <v>0</v>
      </c>
      <c r="P136" s="178">
        <f>K135-P135</f>
        <v>0</v>
      </c>
      <c r="Q136" s="178">
        <f>K135-Q135</f>
        <v>0</v>
      </c>
      <c r="R136" s="179">
        <f>K135-R135</f>
        <v>0</v>
      </c>
      <c r="S136" s="180">
        <f>L135-S135</f>
        <v>0</v>
      </c>
    </row>
    <row r="137" spans="1:19">
      <c r="A137" s="63"/>
      <c r="B137" s="63"/>
      <c r="C137" s="63"/>
      <c r="D137" s="63"/>
      <c r="E137" s="63"/>
      <c r="F137" s="63"/>
      <c r="G137" s="63"/>
      <c r="H137" s="63"/>
      <c r="I137" s="300" t="s">
        <v>795</v>
      </c>
      <c r="J137" s="301"/>
      <c r="K137" s="181"/>
      <c r="L137" s="182"/>
      <c r="M137" s="182"/>
      <c r="N137" s="182"/>
      <c r="O137" s="183"/>
      <c r="P137" s="182"/>
      <c r="Q137" s="182"/>
      <c r="R137" s="182"/>
      <c r="S137" s="182"/>
    </row>
    <row r="138" spans="1:19">
      <c r="A138" s="63"/>
      <c r="B138" s="63"/>
      <c r="C138" s="63"/>
      <c r="D138" s="63"/>
      <c r="E138" s="63"/>
      <c r="F138" s="63"/>
      <c r="G138" s="63"/>
      <c r="H138" s="63"/>
      <c r="I138" s="302" t="s">
        <v>796</v>
      </c>
      <c r="J138" s="302"/>
      <c r="K138" s="184"/>
      <c r="L138" s="193"/>
      <c r="M138" s="193"/>
      <c r="N138" s="193"/>
      <c r="O138" s="193"/>
      <c r="P138" s="193"/>
      <c r="Q138" s="193"/>
      <c r="R138" s="193"/>
      <c r="S138" s="193"/>
    </row>
    <row r="139" spans="1:19">
      <c r="A139" s="63"/>
      <c r="B139" s="63"/>
      <c r="C139" s="63"/>
      <c r="D139" s="63"/>
      <c r="E139" s="63"/>
      <c r="F139" s="63"/>
      <c r="G139" s="63"/>
      <c r="H139" s="63"/>
      <c r="I139" s="302" t="s">
        <v>797</v>
      </c>
      <c r="J139" s="302"/>
      <c r="K139" s="184"/>
      <c r="L139" s="193"/>
      <c r="M139" s="193"/>
      <c r="N139" s="193"/>
      <c r="O139" s="193"/>
      <c r="P139" s="193"/>
      <c r="Q139" s="193"/>
      <c r="R139" s="193"/>
      <c r="S139" s="193"/>
    </row>
    <row r="140" spans="1:19">
      <c r="A140" s="63"/>
      <c r="B140" s="63"/>
      <c r="C140" s="63"/>
      <c r="D140" s="63"/>
      <c r="E140" s="63"/>
      <c r="F140" s="63"/>
      <c r="G140" s="63"/>
      <c r="H140" s="63"/>
      <c r="I140" s="303" t="s">
        <v>798</v>
      </c>
      <c r="J140" s="303"/>
      <c r="K140" s="184"/>
      <c r="L140" s="185"/>
      <c r="M140" s="185"/>
      <c r="N140" s="185"/>
      <c r="O140" s="185"/>
      <c r="P140" s="195"/>
      <c r="Q140" s="195"/>
      <c r="R140" s="195"/>
      <c r="S140" s="195"/>
    </row>
    <row r="141" spans="1:19">
      <c r="A141" s="3" t="s">
        <v>801</v>
      </c>
      <c r="B141" s="201" t="s">
        <v>802</v>
      </c>
      <c r="C141" s="201" t="s">
        <v>803</v>
      </c>
      <c r="D141" s="201" t="s">
        <v>119</v>
      </c>
      <c r="E141" s="201" t="s">
        <v>148</v>
      </c>
      <c r="F141" s="201" t="s">
        <v>806</v>
      </c>
      <c r="G141" s="201" t="s">
        <v>81</v>
      </c>
      <c r="H141" s="186"/>
      <c r="I141" s="187"/>
      <c r="J141" s="187"/>
      <c r="K141" s="187"/>
      <c r="L141" s="188"/>
      <c r="M141" s="188"/>
      <c r="N141" s="188"/>
      <c r="O141" s="188"/>
      <c r="P141" s="187"/>
      <c r="Q141" s="187"/>
      <c r="R141" s="187"/>
      <c r="S141" s="187"/>
    </row>
    <row r="142" spans="1:19">
      <c r="A142" s="293">
        <v>44046</v>
      </c>
      <c r="B142" s="161">
        <v>0.30208333333333331</v>
      </c>
      <c r="C142" s="162">
        <v>51</v>
      </c>
      <c r="D142" s="162">
        <v>83</v>
      </c>
      <c r="E142" s="162">
        <v>92</v>
      </c>
      <c r="F142" s="162">
        <v>9</v>
      </c>
      <c r="G142" s="163">
        <v>0.84560000000000002</v>
      </c>
      <c r="H142" s="63"/>
      <c r="I142" s="191"/>
      <c r="J142" s="190"/>
      <c r="K142" s="190"/>
      <c r="L142" s="190"/>
      <c r="M142" s="190" t="s">
        <v>843</v>
      </c>
      <c r="N142" s="189" t="s">
        <v>841</v>
      </c>
      <c r="O142" s="189"/>
      <c r="P142" s="189"/>
      <c r="Q142" s="189"/>
      <c r="R142" s="189"/>
      <c r="S142" s="189"/>
    </row>
    <row r="143" spans="1:19">
      <c r="A143" s="294"/>
      <c r="B143" s="164">
        <v>0.47291666666666665</v>
      </c>
      <c r="C143" s="165">
        <v>81</v>
      </c>
      <c r="D143" s="165">
        <v>6</v>
      </c>
      <c r="E143" s="165">
        <v>29</v>
      </c>
      <c r="F143" s="165">
        <v>23</v>
      </c>
      <c r="G143" s="166">
        <v>0.84950000000000003</v>
      </c>
      <c r="H143" s="63"/>
      <c r="I143" s="304"/>
      <c r="J143" s="304"/>
      <c r="K143" s="167">
        <v>0.30208333333333331</v>
      </c>
      <c r="L143" s="168">
        <v>0.47291666666666665</v>
      </c>
      <c r="M143" s="168">
        <v>0.63958333333333328</v>
      </c>
      <c r="N143" s="168">
        <v>0.80625000000000002</v>
      </c>
      <c r="O143" s="169">
        <v>0.97291666666666676</v>
      </c>
      <c r="P143" s="169">
        <v>0.14444444444444446</v>
      </c>
      <c r="Q143" s="169">
        <v>0.31111111111111112</v>
      </c>
      <c r="R143" s="161"/>
      <c r="S143" s="161"/>
    </row>
    <row r="144" spans="1:19">
      <c r="A144" s="294"/>
      <c r="B144" s="161">
        <v>0.63958333333333328</v>
      </c>
      <c r="C144" s="162">
        <v>54</v>
      </c>
      <c r="D144" s="162">
        <v>24</v>
      </c>
      <c r="E144" s="162">
        <v>42</v>
      </c>
      <c r="F144" s="162">
        <v>18</v>
      </c>
      <c r="G144" s="163">
        <v>0.84119999999999995</v>
      </c>
      <c r="H144" s="63"/>
      <c r="I144" s="295" t="s">
        <v>782</v>
      </c>
      <c r="J144" s="296"/>
      <c r="K144" s="170">
        <v>9</v>
      </c>
      <c r="L144" s="171">
        <v>12</v>
      </c>
      <c r="M144" s="50">
        <v>6</v>
      </c>
      <c r="N144" s="171">
        <v>8</v>
      </c>
      <c r="O144" s="192">
        <v>6</v>
      </c>
      <c r="P144" s="192">
        <v>4</v>
      </c>
      <c r="Q144" s="200">
        <v>8</v>
      </c>
      <c r="R144" s="162"/>
      <c r="S144" s="162"/>
    </row>
    <row r="145" spans="1:19">
      <c r="A145" s="294"/>
      <c r="B145" s="164">
        <v>0.80625000000000002</v>
      </c>
      <c r="C145" s="165">
        <v>39</v>
      </c>
      <c r="D145" s="165">
        <v>42</v>
      </c>
      <c r="E145" s="165">
        <v>54</v>
      </c>
      <c r="F145" s="165">
        <v>12</v>
      </c>
      <c r="G145" s="166">
        <v>0.83679999999999999</v>
      </c>
      <c r="H145" s="63"/>
      <c r="I145" s="295" t="s">
        <v>783</v>
      </c>
      <c r="J145" s="295"/>
      <c r="K145" s="170">
        <v>0</v>
      </c>
      <c r="L145" s="171">
        <v>0</v>
      </c>
      <c r="M145" s="50">
        <v>0</v>
      </c>
      <c r="N145" s="171">
        <v>0</v>
      </c>
      <c r="O145" s="192">
        <v>0</v>
      </c>
      <c r="P145" s="192">
        <v>2</v>
      </c>
      <c r="Q145" s="200">
        <v>1</v>
      </c>
      <c r="R145" s="162"/>
      <c r="S145" s="162"/>
    </row>
    <row r="146" spans="1:19">
      <c r="A146" s="294"/>
      <c r="B146" s="161">
        <v>0.97291666666666676</v>
      </c>
      <c r="C146" s="162">
        <v>30</v>
      </c>
      <c r="D146" s="162">
        <v>56</v>
      </c>
      <c r="E146" s="162">
        <v>71</v>
      </c>
      <c r="F146" s="162">
        <v>15</v>
      </c>
      <c r="G146" s="163">
        <v>0.83340000000000003</v>
      </c>
      <c r="H146" s="63"/>
      <c r="I146" s="295" t="s">
        <v>784</v>
      </c>
      <c r="J146" s="295"/>
      <c r="K146" s="170">
        <v>1</v>
      </c>
      <c r="L146" s="171">
        <v>1</v>
      </c>
      <c r="M146" s="50">
        <v>1</v>
      </c>
      <c r="N146" s="171">
        <v>2</v>
      </c>
      <c r="O146" s="192">
        <v>1</v>
      </c>
      <c r="P146" s="192">
        <v>1</v>
      </c>
      <c r="Q146" s="200">
        <v>1</v>
      </c>
      <c r="R146" s="162"/>
      <c r="S146" s="162"/>
    </row>
    <row r="147" spans="1:19">
      <c r="A147" s="294"/>
      <c r="B147" s="164">
        <v>0.14444444444444446</v>
      </c>
      <c r="C147" s="165">
        <v>31</v>
      </c>
      <c r="D147" s="165">
        <v>72</v>
      </c>
      <c r="E147" s="165">
        <v>91</v>
      </c>
      <c r="F147" s="165">
        <v>19</v>
      </c>
      <c r="G147" s="166">
        <v>0.82830000000000004</v>
      </c>
      <c r="H147" s="63"/>
      <c r="I147" s="295" t="s">
        <v>785</v>
      </c>
      <c r="J147" s="295"/>
      <c r="K147" s="170">
        <v>11</v>
      </c>
      <c r="L147" s="171">
        <v>11</v>
      </c>
      <c r="M147" s="50">
        <v>16</v>
      </c>
      <c r="N147" s="171">
        <v>14</v>
      </c>
      <c r="O147" s="192">
        <v>12</v>
      </c>
      <c r="P147" s="192">
        <v>12</v>
      </c>
      <c r="Q147" s="200">
        <v>8</v>
      </c>
      <c r="R147" s="162"/>
      <c r="S147" s="162"/>
    </row>
    <row r="148" spans="1:19">
      <c r="A148" s="294"/>
      <c r="B148" s="161">
        <v>0.31111111111111112</v>
      </c>
      <c r="C148" s="162">
        <v>50</v>
      </c>
      <c r="D148" s="162">
        <v>86</v>
      </c>
      <c r="E148" s="162">
        <v>99</v>
      </c>
      <c r="F148" s="162">
        <v>13</v>
      </c>
      <c r="G148" s="163">
        <v>0.83079999999999998</v>
      </c>
      <c r="H148" s="63"/>
      <c r="I148" s="295" t="s">
        <v>786</v>
      </c>
      <c r="J148" s="295"/>
      <c r="K148" s="170">
        <v>0</v>
      </c>
      <c r="L148" s="171">
        <v>1</v>
      </c>
      <c r="M148" s="50">
        <v>1</v>
      </c>
      <c r="N148" s="171">
        <v>0</v>
      </c>
      <c r="O148" s="192">
        <v>1</v>
      </c>
      <c r="P148" s="192">
        <v>0</v>
      </c>
      <c r="Q148" s="200">
        <v>2</v>
      </c>
      <c r="R148" s="162"/>
      <c r="S148" s="162"/>
    </row>
    <row r="149" spans="1:19">
      <c r="A149" s="294"/>
      <c r="B149" s="164"/>
      <c r="C149" s="165"/>
      <c r="D149" s="165"/>
      <c r="E149" s="165"/>
      <c r="F149" s="165"/>
      <c r="G149" s="166"/>
      <c r="H149" s="63"/>
      <c r="I149" s="295" t="s">
        <v>787</v>
      </c>
      <c r="J149" s="295"/>
      <c r="K149" s="170">
        <v>14</v>
      </c>
      <c r="L149" s="171">
        <v>10</v>
      </c>
      <c r="M149" s="50">
        <v>16</v>
      </c>
      <c r="N149" s="171">
        <v>13</v>
      </c>
      <c r="O149" s="192">
        <v>21</v>
      </c>
      <c r="P149" s="192">
        <v>17</v>
      </c>
      <c r="Q149" s="200">
        <v>14</v>
      </c>
      <c r="R149" s="162"/>
      <c r="S149" s="162"/>
    </row>
    <row r="150" spans="1:19">
      <c r="A150" s="294"/>
      <c r="B150" s="161"/>
      <c r="C150" s="162"/>
      <c r="D150" s="162"/>
      <c r="E150" s="162"/>
      <c r="F150" s="162"/>
      <c r="G150" s="163"/>
      <c r="H150" s="63"/>
      <c r="I150" s="295" t="s">
        <v>788</v>
      </c>
      <c r="J150" s="295"/>
      <c r="K150" s="170">
        <v>0</v>
      </c>
      <c r="L150" s="171">
        <v>0</v>
      </c>
      <c r="M150" s="50">
        <v>0</v>
      </c>
      <c r="N150" s="171">
        <v>0</v>
      </c>
      <c r="O150" s="192">
        <v>0</v>
      </c>
      <c r="P150" s="192">
        <v>0</v>
      </c>
      <c r="Q150" s="200">
        <v>0</v>
      </c>
      <c r="R150" s="162"/>
      <c r="S150" s="162"/>
    </row>
    <row r="151" spans="1:19">
      <c r="A151" s="294"/>
      <c r="B151" s="164"/>
      <c r="C151" s="165"/>
      <c r="D151" s="165"/>
      <c r="E151" s="165"/>
      <c r="F151" s="165"/>
      <c r="G151" s="166"/>
      <c r="H151" s="63"/>
      <c r="I151" s="295" t="s">
        <v>789</v>
      </c>
      <c r="J151" s="295"/>
      <c r="K151" s="170">
        <v>14</v>
      </c>
      <c r="L151" s="171">
        <v>17</v>
      </c>
      <c r="M151" s="50">
        <v>16</v>
      </c>
      <c r="N151" s="171">
        <v>19</v>
      </c>
      <c r="O151" s="192">
        <v>20</v>
      </c>
      <c r="P151" s="192">
        <v>23</v>
      </c>
      <c r="Q151" s="200">
        <v>20</v>
      </c>
      <c r="R151" s="162"/>
      <c r="S151" s="162"/>
    </row>
    <row r="152" spans="1:19">
      <c r="A152" s="63"/>
      <c r="B152" s="63"/>
      <c r="C152" s="63"/>
      <c r="D152" s="63"/>
      <c r="E152" s="63"/>
      <c r="F152" s="63"/>
      <c r="G152" s="63"/>
      <c r="H152" s="63"/>
      <c r="I152" s="295" t="s">
        <v>790</v>
      </c>
      <c r="J152" s="295"/>
      <c r="K152" s="170">
        <v>5</v>
      </c>
      <c r="L152" s="171">
        <v>5</v>
      </c>
      <c r="M152" s="50">
        <v>5</v>
      </c>
      <c r="N152" s="171">
        <v>7</v>
      </c>
      <c r="O152" s="192">
        <v>4</v>
      </c>
      <c r="P152" s="192">
        <v>6</v>
      </c>
      <c r="Q152" s="200">
        <v>5</v>
      </c>
      <c r="R152" s="162"/>
      <c r="S152" s="162"/>
    </row>
    <row r="153" spans="1:19">
      <c r="A153" s="63"/>
      <c r="B153" s="63"/>
      <c r="C153" s="63"/>
      <c r="D153" s="63"/>
      <c r="E153" s="63"/>
      <c r="F153" s="63"/>
      <c r="G153" s="63"/>
      <c r="H153" s="63"/>
      <c r="I153" s="295" t="s">
        <v>791</v>
      </c>
      <c r="J153" s="295"/>
      <c r="K153" s="170">
        <v>39</v>
      </c>
      <c r="L153" s="171">
        <v>37</v>
      </c>
      <c r="M153" s="50">
        <v>38</v>
      </c>
      <c r="N153" s="171">
        <v>37</v>
      </c>
      <c r="O153" s="192">
        <v>36</v>
      </c>
      <c r="P153" s="192">
        <v>33</v>
      </c>
      <c r="Q153" s="200">
        <v>33</v>
      </c>
      <c r="R153" s="162"/>
      <c r="S153" s="162"/>
    </row>
    <row r="154" spans="1:19">
      <c r="A154" s="63"/>
      <c r="B154" s="63"/>
      <c r="C154" s="63"/>
      <c r="D154" s="63"/>
      <c r="E154" s="63"/>
      <c r="F154" s="63"/>
      <c r="G154" s="63"/>
      <c r="H154" s="63"/>
      <c r="I154" s="296" t="s">
        <v>792</v>
      </c>
      <c r="J154" s="296"/>
      <c r="K154" s="170">
        <v>3</v>
      </c>
      <c r="L154" s="171">
        <v>2</v>
      </c>
      <c r="M154" s="50">
        <v>4</v>
      </c>
      <c r="N154" s="171">
        <v>2</v>
      </c>
      <c r="O154" s="192">
        <v>2</v>
      </c>
      <c r="P154" s="192">
        <v>9</v>
      </c>
      <c r="Q154" s="200">
        <v>4</v>
      </c>
      <c r="R154" s="162"/>
      <c r="S154" s="162"/>
    </row>
    <row r="155" spans="1:19" ht="17.25" thickBot="1">
      <c r="A155" s="63"/>
      <c r="B155" s="63"/>
      <c r="C155" s="63"/>
      <c r="D155" s="63"/>
      <c r="E155" s="63"/>
      <c r="F155" s="63"/>
      <c r="G155" s="63"/>
      <c r="H155" s="63"/>
      <c r="I155" s="297" t="s">
        <v>793</v>
      </c>
      <c r="J155" s="297"/>
      <c r="K155" s="172">
        <f t="shared" ref="K155:S155" si="7">SUM(K144:K154)</f>
        <v>96</v>
      </c>
      <c r="L155" s="194">
        <f>SUM(L144:L154)</f>
        <v>96</v>
      </c>
      <c r="M155" s="194">
        <f>SUM(M144:M154)</f>
        <v>103</v>
      </c>
      <c r="N155" s="194">
        <f t="shared" si="7"/>
        <v>102</v>
      </c>
      <c r="O155" s="174">
        <f t="shared" si="7"/>
        <v>103</v>
      </c>
      <c r="P155" s="174">
        <f t="shared" si="7"/>
        <v>107</v>
      </c>
      <c r="Q155" s="174">
        <f t="shared" si="7"/>
        <v>96</v>
      </c>
      <c r="R155" s="175">
        <f t="shared" si="7"/>
        <v>0</v>
      </c>
      <c r="S155" s="175">
        <f t="shared" si="7"/>
        <v>0</v>
      </c>
    </row>
    <row r="156" spans="1:19" ht="17.25" thickBot="1">
      <c r="A156" s="63"/>
      <c r="B156" s="63"/>
      <c r="C156" s="63"/>
      <c r="D156" s="63"/>
      <c r="E156" s="63"/>
      <c r="F156" s="63"/>
      <c r="G156" s="63"/>
      <c r="H156" s="63"/>
      <c r="I156" s="298" t="s">
        <v>794</v>
      </c>
      <c r="J156" s="299"/>
      <c r="K156" s="176">
        <f>S135-K155</f>
        <v>-96</v>
      </c>
      <c r="L156" s="177">
        <f>K155-L155</f>
        <v>0</v>
      </c>
      <c r="M156" s="177">
        <f>K155-M155</f>
        <v>-7</v>
      </c>
      <c r="N156" s="177">
        <f>K155-N155</f>
        <v>-6</v>
      </c>
      <c r="O156" s="178">
        <f>K155-O155</f>
        <v>-7</v>
      </c>
      <c r="P156" s="178">
        <f>K155-P155</f>
        <v>-11</v>
      </c>
      <c r="Q156" s="178">
        <f>K155-Q155</f>
        <v>0</v>
      </c>
      <c r="R156" s="179">
        <f>K155-R155</f>
        <v>96</v>
      </c>
      <c r="S156" s="180">
        <f>L155-S155</f>
        <v>96</v>
      </c>
    </row>
    <row r="157" spans="1:19">
      <c r="A157" s="63"/>
      <c r="B157" s="63"/>
      <c r="C157" s="63"/>
      <c r="D157" s="63"/>
      <c r="E157" s="63"/>
      <c r="F157" s="63"/>
      <c r="G157" s="63"/>
      <c r="H157" s="63"/>
      <c r="I157" s="300" t="s">
        <v>795</v>
      </c>
      <c r="J157" s="301"/>
      <c r="K157" s="181">
        <v>192</v>
      </c>
      <c r="L157" s="182">
        <v>217</v>
      </c>
      <c r="M157" s="182">
        <v>200</v>
      </c>
      <c r="N157" s="182">
        <v>177</v>
      </c>
      <c r="O157" s="183">
        <v>189</v>
      </c>
      <c r="P157" s="182">
        <v>183</v>
      </c>
      <c r="Q157" s="182">
        <v>203</v>
      </c>
      <c r="R157" s="182"/>
      <c r="S157" s="182"/>
    </row>
    <row r="158" spans="1:19">
      <c r="A158" s="63"/>
      <c r="B158" s="63"/>
      <c r="C158" s="63"/>
      <c r="D158" s="63"/>
      <c r="E158" s="63"/>
      <c r="F158" s="63"/>
      <c r="G158" s="63"/>
      <c r="H158" s="63"/>
      <c r="I158" s="302" t="s">
        <v>796</v>
      </c>
      <c r="J158" s="302"/>
      <c r="K158" s="184">
        <v>53</v>
      </c>
      <c r="L158" s="193">
        <v>82</v>
      </c>
      <c r="M158" s="193">
        <v>54</v>
      </c>
      <c r="N158" s="193">
        <v>39</v>
      </c>
      <c r="O158" s="193">
        <v>33</v>
      </c>
      <c r="P158" s="193">
        <v>33</v>
      </c>
      <c r="Q158" s="193">
        <v>50</v>
      </c>
      <c r="R158" s="193"/>
      <c r="S158" s="193"/>
    </row>
    <row r="159" spans="1:19">
      <c r="A159" s="63"/>
      <c r="B159" s="63"/>
      <c r="C159" s="63"/>
      <c r="D159" s="63"/>
      <c r="E159" s="63"/>
      <c r="F159" s="63"/>
      <c r="G159" s="63"/>
      <c r="H159" s="63"/>
      <c r="I159" s="302" t="s">
        <v>797</v>
      </c>
      <c r="J159" s="302"/>
      <c r="K159" s="184">
        <v>139</v>
      </c>
      <c r="L159" s="193">
        <v>137</v>
      </c>
      <c r="M159" s="193">
        <v>146</v>
      </c>
      <c r="N159" s="193">
        <v>138</v>
      </c>
      <c r="O159" s="193">
        <v>156</v>
      </c>
      <c r="P159" s="193">
        <v>150</v>
      </c>
      <c r="Q159" s="193">
        <v>153</v>
      </c>
      <c r="R159" s="193"/>
      <c r="S159" s="193"/>
    </row>
    <row r="160" spans="1:19">
      <c r="A160" s="63"/>
      <c r="B160" s="63"/>
      <c r="C160" s="63"/>
      <c r="D160" s="63"/>
      <c r="E160" s="63"/>
      <c r="F160" s="63"/>
      <c r="G160" s="63"/>
      <c r="H160" s="63"/>
      <c r="I160" s="303" t="s">
        <v>798</v>
      </c>
      <c r="J160" s="303"/>
      <c r="K160" s="184"/>
      <c r="L160" s="185"/>
      <c r="M160" s="185"/>
      <c r="N160" s="185"/>
      <c r="O160" s="185"/>
      <c r="P160" s="195"/>
      <c r="Q160" s="195"/>
      <c r="R160" s="195"/>
      <c r="S160" s="195"/>
    </row>
    <row r="161" spans="1:19">
      <c r="A161" s="3" t="s">
        <v>801</v>
      </c>
      <c r="B161" s="201" t="s">
        <v>802</v>
      </c>
      <c r="C161" s="201" t="s">
        <v>803</v>
      </c>
      <c r="D161" s="201" t="s">
        <v>119</v>
      </c>
      <c r="E161" s="201" t="s">
        <v>148</v>
      </c>
      <c r="F161" s="201" t="s">
        <v>806</v>
      </c>
      <c r="G161" s="201" t="s">
        <v>81</v>
      </c>
      <c r="H161" s="186"/>
      <c r="I161" s="187"/>
      <c r="J161" s="187"/>
      <c r="K161" s="187"/>
      <c r="L161" s="188"/>
      <c r="M161" s="188"/>
      <c r="N161" s="188"/>
      <c r="O161" s="188"/>
      <c r="P161" s="187"/>
      <c r="Q161" s="187"/>
      <c r="R161" s="187"/>
      <c r="S161" s="187"/>
    </row>
    <row r="162" spans="1:19">
      <c r="A162" s="293">
        <v>44047</v>
      </c>
      <c r="B162" s="161">
        <v>0.31111111111111112</v>
      </c>
      <c r="C162" s="162">
        <v>50</v>
      </c>
      <c r="D162" s="162">
        <v>86</v>
      </c>
      <c r="E162" s="162">
        <v>99</v>
      </c>
      <c r="F162" s="162">
        <v>13</v>
      </c>
      <c r="G162" s="163">
        <v>0.83079999999999998</v>
      </c>
      <c r="H162" s="63"/>
      <c r="I162" s="191"/>
      <c r="J162" s="190"/>
      <c r="K162" s="190"/>
      <c r="L162" s="190"/>
      <c r="M162" s="190">
        <v>44047</v>
      </c>
      <c r="N162" s="189" t="s">
        <v>842</v>
      </c>
      <c r="O162" s="189"/>
      <c r="P162" s="189"/>
      <c r="Q162" s="189"/>
      <c r="R162" s="189"/>
      <c r="S162" s="189"/>
    </row>
    <row r="163" spans="1:19">
      <c r="A163" s="294"/>
      <c r="B163" s="164">
        <v>0.47847222222222219</v>
      </c>
      <c r="C163" s="165">
        <v>44</v>
      </c>
      <c r="D163" s="165">
        <v>22</v>
      </c>
      <c r="E163" s="165">
        <v>17</v>
      </c>
      <c r="F163" s="165">
        <v>-5</v>
      </c>
      <c r="G163" s="166">
        <v>0.82920000000000005</v>
      </c>
      <c r="H163" s="63"/>
      <c r="I163" s="304"/>
      <c r="J163" s="304"/>
      <c r="K163" s="167">
        <v>0.31111111111111112</v>
      </c>
      <c r="L163" s="168">
        <v>0.47847222222222219</v>
      </c>
      <c r="M163" s="168">
        <v>0.63402777777777775</v>
      </c>
      <c r="N163" s="168">
        <v>0.80069444444444438</v>
      </c>
      <c r="O163" s="169">
        <v>0.96736111111111101</v>
      </c>
      <c r="P163" s="169">
        <v>0.13402777777777777</v>
      </c>
      <c r="Q163" s="169">
        <v>0.30069444444444443</v>
      </c>
      <c r="R163" s="161"/>
      <c r="S163" s="161"/>
    </row>
    <row r="164" spans="1:19">
      <c r="A164" s="294"/>
      <c r="B164" s="161">
        <v>0.63402777777777775</v>
      </c>
      <c r="C164" s="162">
        <v>38</v>
      </c>
      <c r="D164" s="162">
        <v>42</v>
      </c>
      <c r="E164" s="162">
        <v>35</v>
      </c>
      <c r="F164" s="162">
        <v>-7</v>
      </c>
      <c r="G164" s="163">
        <v>0.83460000000000001</v>
      </c>
      <c r="H164" s="63"/>
      <c r="I164" s="295" t="s">
        <v>782</v>
      </c>
      <c r="J164" s="296"/>
      <c r="K164" s="170">
        <v>8</v>
      </c>
      <c r="L164" s="171">
        <v>7</v>
      </c>
      <c r="M164" s="50">
        <v>9</v>
      </c>
      <c r="N164" s="171">
        <v>12</v>
      </c>
      <c r="O164" s="192">
        <v>9</v>
      </c>
      <c r="P164" s="192">
        <v>13</v>
      </c>
      <c r="Q164" s="200">
        <v>16</v>
      </c>
      <c r="R164" s="162"/>
      <c r="S164" s="162"/>
    </row>
    <row r="165" spans="1:19">
      <c r="A165" s="294"/>
      <c r="B165" s="164">
        <v>0.80069444444444438</v>
      </c>
      <c r="C165" s="165">
        <v>50</v>
      </c>
      <c r="D165" s="165">
        <v>54</v>
      </c>
      <c r="E165" s="165">
        <v>59</v>
      </c>
      <c r="F165" s="165">
        <v>5</v>
      </c>
      <c r="G165" s="166">
        <v>0.82320000000000004</v>
      </c>
      <c r="H165" s="63"/>
      <c r="I165" s="295" t="s">
        <v>783</v>
      </c>
      <c r="J165" s="295"/>
      <c r="K165" s="170">
        <v>1</v>
      </c>
      <c r="L165" s="171">
        <v>1</v>
      </c>
      <c r="M165" s="50">
        <v>1</v>
      </c>
      <c r="N165" s="171">
        <v>1</v>
      </c>
      <c r="O165" s="192">
        <v>5</v>
      </c>
      <c r="P165" s="192">
        <v>5</v>
      </c>
      <c r="Q165" s="200">
        <v>3</v>
      </c>
      <c r="R165" s="162"/>
      <c r="S165" s="162"/>
    </row>
    <row r="166" spans="1:19">
      <c r="A166" s="294"/>
      <c r="B166" s="161">
        <v>0.96736111111111101</v>
      </c>
      <c r="C166" s="162">
        <v>71</v>
      </c>
      <c r="D166" s="162">
        <v>67</v>
      </c>
      <c r="E166" s="162">
        <v>82</v>
      </c>
      <c r="F166" s="162">
        <v>15</v>
      </c>
      <c r="G166" s="163">
        <v>0.84209999999999996</v>
      </c>
      <c r="H166" s="63"/>
      <c r="I166" s="295" t="s">
        <v>784</v>
      </c>
      <c r="J166" s="295"/>
      <c r="K166" s="170">
        <v>1</v>
      </c>
      <c r="L166" s="171">
        <v>1</v>
      </c>
      <c r="M166" s="50">
        <v>0</v>
      </c>
      <c r="N166" s="171">
        <v>2</v>
      </c>
      <c r="O166" s="192">
        <v>2</v>
      </c>
      <c r="P166" s="192">
        <v>3</v>
      </c>
      <c r="Q166" s="200">
        <v>3</v>
      </c>
      <c r="R166" s="162"/>
      <c r="S166" s="162"/>
    </row>
    <row r="167" spans="1:19">
      <c r="A167" s="294"/>
      <c r="B167" s="164">
        <v>0.13402777777777777</v>
      </c>
      <c r="C167" s="165">
        <v>94</v>
      </c>
      <c r="D167" s="165">
        <v>90</v>
      </c>
      <c r="E167" s="165">
        <v>118</v>
      </c>
      <c r="F167" s="165">
        <v>28</v>
      </c>
      <c r="G167" s="166">
        <v>0.8266</v>
      </c>
      <c r="H167" s="63"/>
      <c r="I167" s="295" t="s">
        <v>785</v>
      </c>
      <c r="J167" s="295"/>
      <c r="K167" s="170">
        <v>8</v>
      </c>
      <c r="L167" s="171">
        <v>8</v>
      </c>
      <c r="M167" s="50">
        <v>7</v>
      </c>
      <c r="N167" s="171">
        <v>10</v>
      </c>
      <c r="O167" s="192">
        <v>9</v>
      </c>
      <c r="P167" s="192">
        <v>12</v>
      </c>
      <c r="Q167" s="200">
        <v>8</v>
      </c>
      <c r="R167" s="162"/>
      <c r="S167" s="162"/>
    </row>
    <row r="168" spans="1:19">
      <c r="A168" s="294"/>
      <c r="B168" s="161">
        <v>0.30069444444444443</v>
      </c>
      <c r="C168" s="162">
        <v>107</v>
      </c>
      <c r="D168" s="162">
        <v>115</v>
      </c>
      <c r="E168" s="162">
        <v>137</v>
      </c>
      <c r="F168" s="162">
        <v>22</v>
      </c>
      <c r="G168" s="163">
        <v>0.83520000000000005</v>
      </c>
      <c r="H168" s="63"/>
      <c r="I168" s="295" t="s">
        <v>786</v>
      </c>
      <c r="J168" s="295"/>
      <c r="K168" s="170">
        <v>2</v>
      </c>
      <c r="L168" s="171">
        <v>5</v>
      </c>
      <c r="M168" s="50">
        <v>5</v>
      </c>
      <c r="N168" s="171">
        <v>2</v>
      </c>
      <c r="O168" s="192">
        <v>3</v>
      </c>
      <c r="P168" s="192">
        <v>2</v>
      </c>
      <c r="Q168" s="200">
        <v>2</v>
      </c>
      <c r="R168" s="162"/>
      <c r="S168" s="162"/>
    </row>
    <row r="169" spans="1:19">
      <c r="A169" s="294"/>
      <c r="B169" s="164"/>
      <c r="C169" s="165"/>
      <c r="D169" s="165"/>
      <c r="E169" s="165"/>
      <c r="F169" s="165"/>
      <c r="G169" s="166"/>
      <c r="H169" s="63"/>
      <c r="I169" s="295" t="s">
        <v>787</v>
      </c>
      <c r="J169" s="295"/>
      <c r="K169" s="170">
        <v>14</v>
      </c>
      <c r="L169" s="171">
        <v>14</v>
      </c>
      <c r="M169" s="50">
        <v>13</v>
      </c>
      <c r="N169" s="171">
        <v>16</v>
      </c>
      <c r="O169" s="192">
        <v>12</v>
      </c>
      <c r="P169" s="192">
        <v>18</v>
      </c>
      <c r="Q169" s="200">
        <v>12</v>
      </c>
      <c r="R169" s="162"/>
      <c r="S169" s="162"/>
    </row>
    <row r="170" spans="1:19">
      <c r="A170" s="294"/>
      <c r="B170" s="161"/>
      <c r="C170" s="162"/>
      <c r="D170" s="162"/>
      <c r="E170" s="162"/>
      <c r="F170" s="162"/>
      <c r="G170" s="163"/>
      <c r="H170" s="63"/>
      <c r="I170" s="295" t="s">
        <v>788</v>
      </c>
      <c r="J170" s="295"/>
      <c r="K170" s="170">
        <v>0</v>
      </c>
      <c r="L170" s="171">
        <v>0</v>
      </c>
      <c r="M170" s="50">
        <v>1</v>
      </c>
      <c r="N170" s="171">
        <v>0</v>
      </c>
      <c r="O170" s="192">
        <v>0</v>
      </c>
      <c r="P170" s="192">
        <v>0</v>
      </c>
      <c r="Q170" s="200">
        <v>0</v>
      </c>
      <c r="R170" s="162"/>
      <c r="S170" s="162"/>
    </row>
    <row r="171" spans="1:19">
      <c r="A171" s="294"/>
      <c r="B171" s="164"/>
      <c r="C171" s="165"/>
      <c r="D171" s="165"/>
      <c r="E171" s="165"/>
      <c r="F171" s="165"/>
      <c r="G171" s="166"/>
      <c r="H171" s="63"/>
      <c r="I171" s="295" t="s">
        <v>789</v>
      </c>
      <c r="J171" s="295"/>
      <c r="K171" s="170">
        <v>20</v>
      </c>
      <c r="L171" s="171">
        <v>17</v>
      </c>
      <c r="M171" s="50">
        <v>17</v>
      </c>
      <c r="N171" s="171">
        <v>14</v>
      </c>
      <c r="O171" s="192">
        <v>17</v>
      </c>
      <c r="P171" s="192">
        <v>11</v>
      </c>
      <c r="Q171" s="200">
        <v>11</v>
      </c>
      <c r="R171" s="162"/>
      <c r="S171" s="162"/>
    </row>
    <row r="172" spans="1:19">
      <c r="A172" s="63"/>
      <c r="B172" s="63"/>
      <c r="C172" s="63"/>
      <c r="D172" s="63"/>
      <c r="E172" s="63"/>
      <c r="F172" s="63"/>
      <c r="G172" s="63"/>
      <c r="H172" s="63"/>
      <c r="I172" s="295" t="s">
        <v>790</v>
      </c>
      <c r="J172" s="295"/>
      <c r="K172" s="170">
        <v>5</v>
      </c>
      <c r="L172" s="171">
        <v>5</v>
      </c>
      <c r="M172" s="50">
        <v>5</v>
      </c>
      <c r="N172" s="171">
        <v>6</v>
      </c>
      <c r="O172" s="192">
        <v>7</v>
      </c>
      <c r="P172" s="192">
        <v>7</v>
      </c>
      <c r="Q172" s="200">
        <v>7</v>
      </c>
      <c r="R172" s="162"/>
      <c r="S172" s="162"/>
    </row>
    <row r="173" spans="1:19">
      <c r="A173" s="63"/>
      <c r="B173" s="63"/>
      <c r="C173" s="63"/>
      <c r="D173" s="63"/>
      <c r="E173" s="63"/>
      <c r="F173" s="63"/>
      <c r="G173" s="63"/>
      <c r="H173" s="63"/>
      <c r="I173" s="295" t="s">
        <v>791</v>
      </c>
      <c r="J173" s="295"/>
      <c r="K173" s="170">
        <v>33</v>
      </c>
      <c r="L173" s="171">
        <v>35</v>
      </c>
      <c r="M173" s="50">
        <v>34</v>
      </c>
      <c r="N173" s="171">
        <v>35</v>
      </c>
      <c r="O173" s="192">
        <v>24</v>
      </c>
      <c r="P173" s="192">
        <v>28</v>
      </c>
      <c r="Q173" s="200">
        <v>25</v>
      </c>
      <c r="R173" s="162"/>
      <c r="S173" s="162"/>
    </row>
    <row r="174" spans="1:19">
      <c r="A174" s="63"/>
      <c r="B174" s="63"/>
      <c r="C174" s="63"/>
      <c r="D174" s="63"/>
      <c r="E174" s="63"/>
      <c r="F174" s="63"/>
      <c r="G174" s="63"/>
      <c r="H174" s="63"/>
      <c r="I174" s="296" t="s">
        <v>792</v>
      </c>
      <c r="J174" s="296"/>
      <c r="K174" s="170">
        <v>4</v>
      </c>
      <c r="L174" s="171">
        <v>5</v>
      </c>
      <c r="M174" s="50">
        <v>4</v>
      </c>
      <c r="N174" s="171">
        <v>3</v>
      </c>
      <c r="O174" s="192">
        <v>2</v>
      </c>
      <c r="P174" s="192">
        <v>2</v>
      </c>
      <c r="Q174" s="200">
        <v>3</v>
      </c>
      <c r="R174" s="162"/>
      <c r="S174" s="162"/>
    </row>
    <row r="175" spans="1:19" ht="17.25" thickBot="1">
      <c r="A175" s="63"/>
      <c r="B175" s="63"/>
      <c r="C175" s="63"/>
      <c r="D175" s="63"/>
      <c r="E175" s="63"/>
      <c r="F175" s="63"/>
      <c r="G175" s="63"/>
      <c r="H175" s="63"/>
      <c r="I175" s="297" t="s">
        <v>793</v>
      </c>
      <c r="J175" s="297"/>
      <c r="K175" s="172">
        <f>SUM(K164:K174)</f>
        <v>96</v>
      </c>
      <c r="L175" s="194">
        <f>SUM(L164:L174)</f>
        <v>98</v>
      </c>
      <c r="M175" s="194">
        <f t="shared" ref="M175:S175" si="8">SUM(M164:M174)</f>
        <v>96</v>
      </c>
      <c r="N175" s="194">
        <f t="shared" si="8"/>
        <v>101</v>
      </c>
      <c r="O175" s="174">
        <f t="shared" si="8"/>
        <v>90</v>
      </c>
      <c r="P175" s="174">
        <f t="shared" si="8"/>
        <v>101</v>
      </c>
      <c r="Q175" s="174">
        <f t="shared" si="8"/>
        <v>90</v>
      </c>
      <c r="R175" s="175">
        <f t="shared" si="8"/>
        <v>0</v>
      </c>
      <c r="S175" s="175">
        <f t="shared" si="8"/>
        <v>0</v>
      </c>
    </row>
    <row r="176" spans="1:19" ht="17.25" thickBot="1">
      <c r="A176" s="63"/>
      <c r="B176" s="63"/>
      <c r="C176" s="63"/>
      <c r="D176" s="63"/>
      <c r="E176" s="63"/>
      <c r="F176" s="63"/>
      <c r="G176" s="63"/>
      <c r="H176" s="63"/>
      <c r="I176" s="298" t="s">
        <v>794</v>
      </c>
      <c r="J176" s="299"/>
      <c r="K176" s="176">
        <f>S155-K175</f>
        <v>-96</v>
      </c>
      <c r="L176" s="177">
        <f>K175-L175</f>
        <v>-2</v>
      </c>
      <c r="M176" s="177">
        <f>K175-M175</f>
        <v>0</v>
      </c>
      <c r="N176" s="177">
        <f>K175-N175</f>
        <v>-5</v>
      </c>
      <c r="O176" s="178">
        <f>K175-O175</f>
        <v>6</v>
      </c>
      <c r="P176" s="178">
        <f>K175-P175</f>
        <v>-5</v>
      </c>
      <c r="Q176" s="178">
        <f>K175-Q175</f>
        <v>6</v>
      </c>
      <c r="R176" s="179">
        <f>K175-R175</f>
        <v>96</v>
      </c>
      <c r="S176" s="180">
        <f>L175-S175</f>
        <v>98</v>
      </c>
    </row>
    <row r="177" spans="1:19">
      <c r="A177" s="63"/>
      <c r="B177" s="63"/>
      <c r="C177" s="63"/>
      <c r="D177" s="63"/>
      <c r="E177" s="63"/>
      <c r="F177" s="63"/>
      <c r="G177" s="63"/>
      <c r="H177" s="63"/>
      <c r="I177" s="300" t="s">
        <v>795</v>
      </c>
      <c r="J177" s="301"/>
      <c r="K177" s="181">
        <v>203</v>
      </c>
      <c r="L177" s="182">
        <v>205</v>
      </c>
      <c r="M177" s="182">
        <v>186</v>
      </c>
      <c r="N177" s="182">
        <v>203</v>
      </c>
      <c r="O177" s="183">
        <v>233</v>
      </c>
      <c r="P177" s="182">
        <v>248</v>
      </c>
      <c r="Q177" s="182">
        <v>256</v>
      </c>
      <c r="R177" s="182"/>
      <c r="S177" s="182"/>
    </row>
    <row r="178" spans="1:19">
      <c r="A178" s="63"/>
      <c r="B178" s="63"/>
      <c r="C178" s="63"/>
      <c r="D178" s="63"/>
      <c r="E178" s="63"/>
      <c r="F178" s="63"/>
      <c r="G178" s="63"/>
      <c r="H178" s="63"/>
      <c r="I178" s="302" t="s">
        <v>796</v>
      </c>
      <c r="J178" s="302"/>
      <c r="K178" s="184">
        <v>50</v>
      </c>
      <c r="L178" s="193">
        <v>41</v>
      </c>
      <c r="M178" s="193">
        <v>36</v>
      </c>
      <c r="N178" s="193">
        <v>51</v>
      </c>
      <c r="O178" s="193">
        <v>73</v>
      </c>
      <c r="P178" s="193">
        <v>89</v>
      </c>
      <c r="Q178" s="193">
        <v>111</v>
      </c>
      <c r="R178" s="193"/>
      <c r="S178" s="193"/>
    </row>
    <row r="179" spans="1:19">
      <c r="A179" s="63"/>
      <c r="B179" s="63"/>
      <c r="C179" s="63"/>
      <c r="D179" s="63"/>
      <c r="E179" s="63"/>
      <c r="F179" s="63"/>
      <c r="G179" s="63"/>
      <c r="H179" s="63"/>
      <c r="I179" s="302" t="s">
        <v>797</v>
      </c>
      <c r="J179" s="302"/>
      <c r="K179" s="184">
        <v>153</v>
      </c>
      <c r="L179" s="193">
        <v>164</v>
      </c>
      <c r="M179" s="193">
        <v>150</v>
      </c>
      <c r="N179" s="193">
        <v>152</v>
      </c>
      <c r="O179" s="193">
        <v>160</v>
      </c>
      <c r="P179" s="193">
        <v>159</v>
      </c>
      <c r="Q179" s="193">
        <v>145</v>
      </c>
      <c r="R179" s="193"/>
      <c r="S179" s="193"/>
    </row>
    <row r="180" spans="1:19">
      <c r="A180" s="63"/>
      <c r="B180" s="63"/>
      <c r="C180" s="63"/>
      <c r="D180" s="63"/>
      <c r="E180" s="63"/>
      <c r="F180" s="63"/>
      <c r="G180" s="63"/>
      <c r="H180" s="63"/>
      <c r="I180" s="303" t="s">
        <v>798</v>
      </c>
      <c r="J180" s="303"/>
      <c r="K180" s="184"/>
      <c r="L180" s="185"/>
      <c r="M180" s="185"/>
      <c r="N180" s="185"/>
      <c r="O180" s="185"/>
      <c r="P180" s="195"/>
      <c r="Q180" s="195"/>
      <c r="R180" s="195"/>
      <c r="S180" s="195"/>
    </row>
    <row r="181" spans="1:19">
      <c r="A181" s="3" t="s">
        <v>801</v>
      </c>
      <c r="B181" s="201" t="s">
        <v>802</v>
      </c>
      <c r="C181" s="201" t="s">
        <v>803</v>
      </c>
      <c r="D181" s="201" t="s">
        <v>119</v>
      </c>
      <c r="E181" s="201" t="s">
        <v>148</v>
      </c>
      <c r="F181" s="201" t="s">
        <v>806</v>
      </c>
      <c r="G181" s="201" t="s">
        <v>81</v>
      </c>
      <c r="I181" s="187"/>
      <c r="J181" s="187"/>
      <c r="K181" s="187"/>
      <c r="L181" s="188"/>
      <c r="M181" s="188"/>
      <c r="N181" s="188"/>
      <c r="O181" s="188"/>
      <c r="P181" s="187"/>
      <c r="Q181" s="187"/>
      <c r="R181" s="187"/>
      <c r="S181" s="187"/>
    </row>
    <row r="182" spans="1:19">
      <c r="A182" s="293">
        <v>44048</v>
      </c>
      <c r="B182" s="161">
        <v>0.30069444444444443</v>
      </c>
      <c r="C182" s="162">
        <v>107</v>
      </c>
      <c r="D182" s="162">
        <v>115</v>
      </c>
      <c r="E182" s="162">
        <v>137</v>
      </c>
      <c r="F182" s="162">
        <v>22</v>
      </c>
      <c r="G182" s="163">
        <v>0.83520000000000005</v>
      </c>
      <c r="I182" s="191"/>
      <c r="J182" s="190"/>
      <c r="K182" s="190"/>
      <c r="L182" s="190"/>
      <c r="M182" s="190">
        <v>44048</v>
      </c>
      <c r="N182" s="189" t="s">
        <v>864</v>
      </c>
      <c r="O182" s="189"/>
      <c r="P182" s="189"/>
      <c r="Q182" s="189"/>
      <c r="R182" s="189"/>
      <c r="S182" s="189"/>
    </row>
    <row r="183" spans="1:19">
      <c r="A183" s="294"/>
      <c r="B183" s="164">
        <v>0.46736111111111112</v>
      </c>
      <c r="C183" s="165">
        <v>94</v>
      </c>
      <c r="D183" s="165">
        <v>23</v>
      </c>
      <c r="E183" s="165">
        <v>16</v>
      </c>
      <c r="F183" s="165">
        <v>-7</v>
      </c>
      <c r="G183" s="166">
        <v>0.83199999999999996</v>
      </c>
      <c r="I183" s="304"/>
      <c r="J183" s="304"/>
      <c r="K183" s="167">
        <v>0.30069444444444443</v>
      </c>
      <c r="L183" s="168">
        <v>0.46736111111111112</v>
      </c>
      <c r="M183" s="168">
        <v>0.63402777777777775</v>
      </c>
      <c r="N183" s="168">
        <v>0.80069444444444438</v>
      </c>
      <c r="O183" s="169">
        <v>0.96736111111111101</v>
      </c>
      <c r="P183" s="169">
        <v>0.13402777777777777</v>
      </c>
      <c r="Q183" s="169">
        <v>0.30069444444444443</v>
      </c>
      <c r="R183" s="161"/>
      <c r="S183" s="161"/>
    </row>
    <row r="184" spans="1:19">
      <c r="A184" s="294"/>
      <c r="B184" s="161">
        <v>0.63402777777777775</v>
      </c>
      <c r="C184" s="162">
        <v>54</v>
      </c>
      <c r="D184" s="162">
        <v>59</v>
      </c>
      <c r="E184" s="162">
        <v>27</v>
      </c>
      <c r="F184" s="162">
        <v>-32</v>
      </c>
      <c r="G184" s="163">
        <v>0.83630000000000004</v>
      </c>
      <c r="I184" s="295" t="s">
        <v>782</v>
      </c>
      <c r="J184" s="296"/>
      <c r="K184" s="170">
        <v>16</v>
      </c>
      <c r="L184" s="171">
        <v>13</v>
      </c>
      <c r="M184" s="50">
        <v>15</v>
      </c>
      <c r="N184" s="171">
        <v>17</v>
      </c>
      <c r="O184" s="202">
        <v>14</v>
      </c>
      <c r="P184" s="202">
        <v>11</v>
      </c>
      <c r="Q184" s="202">
        <v>16</v>
      </c>
      <c r="R184" s="162"/>
      <c r="S184" s="162"/>
    </row>
    <row r="185" spans="1:19">
      <c r="A185" s="294"/>
      <c r="B185" s="164">
        <v>0.80069444444444438</v>
      </c>
      <c r="C185" s="165">
        <v>48</v>
      </c>
      <c r="D185" s="165">
        <v>82</v>
      </c>
      <c r="E185" s="165">
        <v>49</v>
      </c>
      <c r="F185" s="165">
        <v>-33</v>
      </c>
      <c r="G185" s="166">
        <v>0.8246</v>
      </c>
      <c r="I185" s="295" t="s">
        <v>783</v>
      </c>
      <c r="J185" s="295"/>
      <c r="K185" s="170">
        <v>3</v>
      </c>
      <c r="L185" s="171">
        <v>3</v>
      </c>
      <c r="M185" s="50">
        <v>3</v>
      </c>
      <c r="N185" s="171">
        <v>3</v>
      </c>
      <c r="O185" s="202">
        <v>2</v>
      </c>
      <c r="P185" s="202">
        <v>2</v>
      </c>
      <c r="Q185" s="202">
        <v>1</v>
      </c>
      <c r="R185" s="162"/>
      <c r="S185" s="162"/>
    </row>
    <row r="186" spans="1:19">
      <c r="A186" s="294"/>
      <c r="B186" s="161">
        <v>0.96736111111111101</v>
      </c>
      <c r="C186" s="162">
        <v>50</v>
      </c>
      <c r="D186" s="162">
        <v>107</v>
      </c>
      <c r="E186" s="162">
        <v>76</v>
      </c>
      <c r="F186" s="162">
        <v>-31</v>
      </c>
      <c r="G186" s="163">
        <v>0.84009999999999996</v>
      </c>
      <c r="I186" s="295" t="s">
        <v>784</v>
      </c>
      <c r="J186" s="295"/>
      <c r="K186" s="170">
        <v>3</v>
      </c>
      <c r="L186" s="171">
        <v>3</v>
      </c>
      <c r="M186" s="50">
        <v>4</v>
      </c>
      <c r="N186" s="171">
        <v>4</v>
      </c>
      <c r="O186" s="202">
        <v>6</v>
      </c>
      <c r="P186" s="202">
        <v>3</v>
      </c>
      <c r="Q186" s="202">
        <v>4</v>
      </c>
      <c r="R186" s="162"/>
      <c r="S186" s="162"/>
    </row>
    <row r="187" spans="1:19">
      <c r="A187" s="294"/>
      <c r="B187" s="164">
        <v>0.13402777777777777</v>
      </c>
      <c r="C187" s="165">
        <v>48</v>
      </c>
      <c r="D187" s="165">
        <v>133</v>
      </c>
      <c r="E187" s="165">
        <v>96</v>
      </c>
      <c r="F187" s="165">
        <v>-37</v>
      </c>
      <c r="G187" s="166">
        <v>0.8377</v>
      </c>
      <c r="I187" s="295" t="s">
        <v>785</v>
      </c>
      <c r="J187" s="295"/>
      <c r="K187" s="170">
        <v>8</v>
      </c>
      <c r="L187" s="171">
        <v>7</v>
      </c>
      <c r="M187" s="50">
        <v>8</v>
      </c>
      <c r="N187" s="171">
        <v>10</v>
      </c>
      <c r="O187" s="202">
        <v>4</v>
      </c>
      <c r="P187" s="202">
        <v>4</v>
      </c>
      <c r="Q187" s="202">
        <v>7</v>
      </c>
      <c r="R187" s="162"/>
      <c r="S187" s="162"/>
    </row>
    <row r="188" spans="1:19">
      <c r="A188" s="294"/>
      <c r="B188" s="161">
        <v>0.30069444444444443</v>
      </c>
      <c r="C188" s="162">
        <v>45</v>
      </c>
      <c r="D188" s="162">
        <v>156</v>
      </c>
      <c r="E188" s="162">
        <v>107</v>
      </c>
      <c r="F188" s="162">
        <v>-49</v>
      </c>
      <c r="G188" s="163">
        <v>0.82650000000000001</v>
      </c>
      <c r="I188" s="295" t="s">
        <v>786</v>
      </c>
      <c r="J188" s="295"/>
      <c r="K188" s="170">
        <v>2</v>
      </c>
      <c r="L188" s="171">
        <v>3</v>
      </c>
      <c r="M188" s="50">
        <v>3</v>
      </c>
      <c r="N188" s="171">
        <v>3</v>
      </c>
      <c r="O188" s="202">
        <v>1</v>
      </c>
      <c r="P188" s="202">
        <v>3</v>
      </c>
      <c r="Q188" s="202">
        <v>2</v>
      </c>
      <c r="R188" s="162"/>
      <c r="S188" s="162"/>
    </row>
    <row r="189" spans="1:19">
      <c r="A189" s="294"/>
      <c r="B189" s="164"/>
      <c r="C189" s="165"/>
      <c r="D189" s="165"/>
      <c r="E189" s="165"/>
      <c r="F189" s="165"/>
      <c r="G189" s="166"/>
      <c r="I189" s="295" t="s">
        <v>787</v>
      </c>
      <c r="J189" s="295"/>
      <c r="K189" s="170">
        <v>12</v>
      </c>
      <c r="L189" s="171">
        <v>16</v>
      </c>
      <c r="M189" s="50">
        <v>16</v>
      </c>
      <c r="N189" s="171">
        <v>17</v>
      </c>
      <c r="O189" s="202">
        <v>16</v>
      </c>
      <c r="P189" s="202">
        <v>14</v>
      </c>
      <c r="Q189" s="202">
        <v>16</v>
      </c>
      <c r="R189" s="162"/>
      <c r="S189" s="162"/>
    </row>
    <row r="190" spans="1:19">
      <c r="A190" s="294"/>
      <c r="B190" s="161"/>
      <c r="C190" s="162"/>
      <c r="D190" s="162"/>
      <c r="E190" s="162"/>
      <c r="F190" s="162"/>
      <c r="G190" s="163"/>
      <c r="I190" s="295" t="s">
        <v>788</v>
      </c>
      <c r="J190" s="295"/>
      <c r="K190" s="170">
        <v>0</v>
      </c>
      <c r="L190" s="171">
        <v>0</v>
      </c>
      <c r="M190" s="50">
        <v>0</v>
      </c>
      <c r="N190" s="171">
        <v>0</v>
      </c>
      <c r="O190" s="202">
        <v>0</v>
      </c>
      <c r="P190" s="202">
        <v>0</v>
      </c>
      <c r="Q190" s="202">
        <v>0</v>
      </c>
      <c r="R190" s="162"/>
      <c r="S190" s="162"/>
    </row>
    <row r="191" spans="1:19">
      <c r="A191" s="294"/>
      <c r="B191" s="164"/>
      <c r="C191" s="165"/>
      <c r="D191" s="165"/>
      <c r="E191" s="165"/>
      <c r="F191" s="165"/>
      <c r="G191" s="166"/>
      <c r="I191" s="295" t="s">
        <v>789</v>
      </c>
      <c r="J191" s="295"/>
      <c r="K191" s="170">
        <v>11</v>
      </c>
      <c r="L191" s="171">
        <v>12</v>
      </c>
      <c r="M191" s="50">
        <v>11</v>
      </c>
      <c r="N191" s="171">
        <v>13</v>
      </c>
      <c r="O191" s="202">
        <v>12</v>
      </c>
      <c r="P191" s="202">
        <v>10</v>
      </c>
      <c r="Q191" s="202">
        <v>11</v>
      </c>
      <c r="R191" s="162"/>
      <c r="S191" s="162"/>
    </row>
    <row r="192" spans="1:19">
      <c r="A192" s="63"/>
      <c r="B192" s="63"/>
      <c r="C192" s="63"/>
      <c r="D192" s="63"/>
      <c r="E192" s="63"/>
      <c r="F192" s="63"/>
      <c r="G192" s="63"/>
      <c r="I192" s="295" t="s">
        <v>790</v>
      </c>
      <c r="J192" s="295"/>
      <c r="K192" s="170">
        <v>7</v>
      </c>
      <c r="L192" s="171">
        <v>8</v>
      </c>
      <c r="M192" s="50">
        <v>6</v>
      </c>
      <c r="N192" s="171">
        <v>6</v>
      </c>
      <c r="O192" s="202">
        <v>7</v>
      </c>
      <c r="P192" s="202">
        <v>5</v>
      </c>
      <c r="Q192" s="202">
        <v>4</v>
      </c>
      <c r="R192" s="162"/>
      <c r="S192" s="162"/>
    </row>
    <row r="193" spans="1:19">
      <c r="A193" s="63"/>
      <c r="B193" s="63"/>
      <c r="C193" s="63"/>
      <c r="D193" s="63"/>
      <c r="E193" s="63"/>
      <c r="F193" s="63"/>
      <c r="G193" s="63"/>
      <c r="I193" s="295" t="s">
        <v>791</v>
      </c>
      <c r="J193" s="295"/>
      <c r="K193" s="170">
        <v>25</v>
      </c>
      <c r="L193" s="171">
        <v>29</v>
      </c>
      <c r="M193" s="50">
        <v>28</v>
      </c>
      <c r="N193" s="171">
        <v>33</v>
      </c>
      <c r="O193" s="202">
        <v>31</v>
      </c>
      <c r="P193" s="202">
        <v>32</v>
      </c>
      <c r="Q193" s="202">
        <v>31</v>
      </c>
      <c r="R193" s="162"/>
      <c r="S193" s="162"/>
    </row>
    <row r="194" spans="1:19">
      <c r="A194" s="63"/>
      <c r="B194" s="63"/>
      <c r="C194" s="63"/>
      <c r="D194" s="63"/>
      <c r="E194" s="63"/>
      <c r="F194" s="63"/>
      <c r="G194" s="63"/>
      <c r="I194" s="296" t="s">
        <v>792</v>
      </c>
      <c r="J194" s="296"/>
      <c r="K194" s="170">
        <v>3</v>
      </c>
      <c r="L194" s="171">
        <v>3</v>
      </c>
      <c r="M194" s="50">
        <v>2</v>
      </c>
      <c r="N194" s="171">
        <v>3</v>
      </c>
      <c r="O194" s="202">
        <v>4</v>
      </c>
      <c r="P194" s="202">
        <v>9</v>
      </c>
      <c r="Q194" s="202">
        <v>9</v>
      </c>
      <c r="R194" s="162"/>
      <c r="S194" s="162"/>
    </row>
    <row r="195" spans="1:19" ht="17.25" thickBot="1">
      <c r="A195" s="63"/>
      <c r="B195" s="63"/>
      <c r="C195" s="63"/>
      <c r="D195" s="63"/>
      <c r="E195" s="63"/>
      <c r="F195" s="63"/>
      <c r="G195" s="63"/>
      <c r="I195" s="297" t="s">
        <v>793</v>
      </c>
      <c r="J195" s="297"/>
      <c r="K195" s="172">
        <f t="shared" ref="K195:S195" si="9">SUM(K184:K194)</f>
        <v>90</v>
      </c>
      <c r="L195" s="205">
        <f t="shared" si="9"/>
        <v>97</v>
      </c>
      <c r="M195" s="205">
        <f t="shared" si="9"/>
        <v>96</v>
      </c>
      <c r="N195" s="205">
        <f t="shared" si="9"/>
        <v>109</v>
      </c>
      <c r="O195" s="174">
        <f t="shared" si="9"/>
        <v>97</v>
      </c>
      <c r="P195" s="174">
        <f t="shared" si="9"/>
        <v>93</v>
      </c>
      <c r="Q195" s="174">
        <f t="shared" si="9"/>
        <v>101</v>
      </c>
      <c r="R195" s="175">
        <f t="shared" si="9"/>
        <v>0</v>
      </c>
      <c r="S195" s="175">
        <f t="shared" si="9"/>
        <v>0</v>
      </c>
    </row>
    <row r="196" spans="1:19" ht="17.25" thickBot="1">
      <c r="A196" s="63"/>
      <c r="B196" s="63"/>
      <c r="C196" s="63"/>
      <c r="D196" s="63"/>
      <c r="E196" s="63"/>
      <c r="F196" s="63"/>
      <c r="G196" s="63"/>
      <c r="I196" s="298" t="s">
        <v>794</v>
      </c>
      <c r="J196" s="299"/>
      <c r="K196" s="176">
        <f t="shared" ref="K196" si="10">S175-K195</f>
        <v>-90</v>
      </c>
      <c r="L196" s="177">
        <f t="shared" ref="L196" si="11">K195-L195</f>
        <v>-7</v>
      </c>
      <c r="M196" s="177">
        <f t="shared" ref="M196" si="12">K195-M195</f>
        <v>-6</v>
      </c>
      <c r="N196" s="177">
        <f t="shared" ref="N196" si="13">K195-N195</f>
        <v>-19</v>
      </c>
      <c r="O196" s="178">
        <f t="shared" ref="O196" si="14">K195-O195</f>
        <v>-7</v>
      </c>
      <c r="P196" s="178">
        <f t="shared" ref="P196" si="15">K195-P195</f>
        <v>-3</v>
      </c>
      <c r="Q196" s="178">
        <f t="shared" ref="Q196" si="16">K195-Q195</f>
        <v>-11</v>
      </c>
      <c r="R196" s="179">
        <f t="shared" ref="R196" si="17">K195-R195</f>
        <v>90</v>
      </c>
      <c r="S196" s="180">
        <f t="shared" ref="S196" si="18">L195-S195</f>
        <v>97</v>
      </c>
    </row>
    <row r="197" spans="1:19">
      <c r="A197" s="63"/>
      <c r="B197" s="63"/>
      <c r="C197" s="63"/>
      <c r="D197" s="63"/>
      <c r="E197" s="63"/>
      <c r="F197" s="63"/>
      <c r="G197" s="63"/>
      <c r="I197" s="300" t="s">
        <v>795</v>
      </c>
      <c r="J197" s="301"/>
      <c r="K197" s="181">
        <v>256</v>
      </c>
      <c r="L197" s="182">
        <v>227</v>
      </c>
      <c r="M197" s="182">
        <v>209</v>
      </c>
      <c r="N197" s="182">
        <v>206</v>
      </c>
      <c r="O197" s="183">
        <v>204</v>
      </c>
      <c r="P197" s="182">
        <v>187</v>
      </c>
      <c r="Q197" s="182">
        <v>198</v>
      </c>
      <c r="R197" s="182"/>
      <c r="S197" s="182"/>
    </row>
    <row r="198" spans="1:19">
      <c r="A198" s="63"/>
      <c r="B198" s="63"/>
      <c r="C198" s="63"/>
      <c r="D198" s="63"/>
      <c r="E198" s="63"/>
      <c r="F198" s="63"/>
      <c r="G198" s="63"/>
      <c r="I198" s="302" t="s">
        <v>796</v>
      </c>
      <c r="J198" s="302"/>
      <c r="K198" s="184">
        <v>111</v>
      </c>
      <c r="L198" s="203">
        <v>92</v>
      </c>
      <c r="M198" s="203">
        <v>56</v>
      </c>
      <c r="N198" s="203">
        <v>52</v>
      </c>
      <c r="O198" s="203">
        <v>51</v>
      </c>
      <c r="P198" s="203">
        <v>48</v>
      </c>
      <c r="Q198" s="203">
        <v>45</v>
      </c>
      <c r="R198" s="203"/>
      <c r="S198" s="203"/>
    </row>
    <row r="199" spans="1:19">
      <c r="A199" s="63"/>
      <c r="B199" s="63"/>
      <c r="C199" s="63"/>
      <c r="D199" s="63"/>
      <c r="E199" s="63"/>
      <c r="F199" s="63"/>
      <c r="G199" s="63"/>
      <c r="I199" s="302" t="s">
        <v>797</v>
      </c>
      <c r="J199" s="302"/>
      <c r="K199" s="184">
        <v>145</v>
      </c>
      <c r="L199" s="203">
        <v>135</v>
      </c>
      <c r="M199" s="203">
        <v>153</v>
      </c>
      <c r="N199" s="203">
        <v>154</v>
      </c>
      <c r="O199" s="203">
        <v>153</v>
      </c>
      <c r="P199" s="203">
        <v>139</v>
      </c>
      <c r="Q199" s="203">
        <v>153</v>
      </c>
      <c r="R199" s="203"/>
      <c r="S199" s="203"/>
    </row>
    <row r="200" spans="1:19">
      <c r="A200" s="63"/>
      <c r="B200" s="63"/>
      <c r="C200" s="63"/>
      <c r="D200" s="63"/>
      <c r="E200" s="63"/>
      <c r="F200" s="63"/>
      <c r="G200" s="63"/>
      <c r="I200" s="303" t="s">
        <v>798</v>
      </c>
      <c r="J200" s="303"/>
      <c r="K200" s="184"/>
      <c r="L200" s="185"/>
      <c r="M200" s="185"/>
      <c r="N200" s="185"/>
      <c r="O200" s="185"/>
      <c r="P200" s="204"/>
      <c r="Q200" s="204"/>
      <c r="R200" s="204"/>
      <c r="S200" s="204"/>
    </row>
    <row r="201" spans="1:19">
      <c r="A201" s="3" t="s">
        <v>801</v>
      </c>
      <c r="B201" s="201" t="s">
        <v>802</v>
      </c>
      <c r="C201" s="201" t="s">
        <v>803</v>
      </c>
      <c r="D201" s="201" t="s">
        <v>119</v>
      </c>
      <c r="E201" s="201" t="s">
        <v>148</v>
      </c>
      <c r="F201" s="201" t="s">
        <v>806</v>
      </c>
      <c r="G201" s="201" t="s">
        <v>81</v>
      </c>
      <c r="I201" s="187"/>
      <c r="J201" s="187"/>
      <c r="K201" s="187"/>
      <c r="L201" s="188"/>
      <c r="M201" s="188"/>
      <c r="N201" s="188"/>
      <c r="O201" s="188"/>
      <c r="P201" s="187"/>
      <c r="Q201" s="187"/>
      <c r="R201" s="187"/>
      <c r="S201" s="187"/>
    </row>
    <row r="202" spans="1:19">
      <c r="A202" s="293">
        <v>44049</v>
      </c>
      <c r="B202" s="161">
        <v>0.30069444444444443</v>
      </c>
      <c r="C202" s="162">
        <v>45</v>
      </c>
      <c r="D202" s="162">
        <v>156</v>
      </c>
      <c r="E202" s="162">
        <v>107</v>
      </c>
      <c r="F202" s="162">
        <v>-49</v>
      </c>
      <c r="G202" s="163">
        <v>0.82650000000000001</v>
      </c>
      <c r="I202" s="191"/>
      <c r="J202" s="190"/>
      <c r="K202" s="190"/>
      <c r="L202" s="190"/>
      <c r="M202" s="190">
        <v>44049</v>
      </c>
      <c r="N202" s="189" t="s">
        <v>864</v>
      </c>
      <c r="O202" s="189"/>
      <c r="P202" s="189"/>
      <c r="Q202" s="189"/>
      <c r="R202" s="189"/>
      <c r="S202" s="189"/>
    </row>
    <row r="203" spans="1:19">
      <c r="A203" s="294"/>
      <c r="B203" s="164">
        <v>0.46736111111111112</v>
      </c>
      <c r="C203" s="165">
        <v>43</v>
      </c>
      <c r="D203" s="165">
        <v>19</v>
      </c>
      <c r="E203" s="165">
        <v>22</v>
      </c>
      <c r="F203" s="165">
        <v>3</v>
      </c>
      <c r="G203" s="166">
        <v>0.84230000000000005</v>
      </c>
      <c r="I203" s="304"/>
      <c r="J203" s="304"/>
      <c r="K203" s="167">
        <v>0.30069444444444443</v>
      </c>
      <c r="L203" s="168">
        <v>0.46736111111111112</v>
      </c>
      <c r="M203" s="168">
        <v>0.63888888888888895</v>
      </c>
      <c r="N203" s="168">
        <v>0.80555555555555547</v>
      </c>
      <c r="O203" s="169">
        <v>0.9784722222222223</v>
      </c>
      <c r="P203" s="169">
        <v>0.1451388888888889</v>
      </c>
      <c r="Q203" s="169"/>
      <c r="R203" s="161"/>
      <c r="S203" s="161"/>
    </row>
    <row r="204" spans="1:19">
      <c r="A204" s="294"/>
      <c r="B204" s="161">
        <v>0.63888888888888895</v>
      </c>
      <c r="C204" s="162">
        <v>49</v>
      </c>
      <c r="D204" s="162">
        <v>48</v>
      </c>
      <c r="E204" s="162">
        <v>35</v>
      </c>
      <c r="F204" s="162">
        <v>-13</v>
      </c>
      <c r="G204" s="163">
        <v>0.85840000000000005</v>
      </c>
      <c r="I204" s="295" t="s">
        <v>782</v>
      </c>
      <c r="J204" s="296"/>
      <c r="K204" s="170">
        <v>16</v>
      </c>
      <c r="L204" s="171">
        <v>7</v>
      </c>
      <c r="M204" s="50">
        <v>5</v>
      </c>
      <c r="N204" s="171">
        <v>9</v>
      </c>
      <c r="O204" s="202">
        <v>14</v>
      </c>
      <c r="P204" s="202">
        <v>16</v>
      </c>
      <c r="Q204" s="202"/>
      <c r="R204" s="162"/>
      <c r="S204" s="162"/>
    </row>
    <row r="205" spans="1:19">
      <c r="A205" s="294"/>
      <c r="B205" s="164">
        <v>0.80555555555555547</v>
      </c>
      <c r="C205" s="165">
        <v>37</v>
      </c>
      <c r="D205" s="165">
        <v>70</v>
      </c>
      <c r="E205" s="165">
        <v>55</v>
      </c>
      <c r="F205" s="165">
        <v>-15</v>
      </c>
      <c r="G205" s="166">
        <v>0.86280000000000001</v>
      </c>
      <c r="I205" s="295" t="s">
        <v>783</v>
      </c>
      <c r="J205" s="295"/>
      <c r="K205" s="170">
        <v>1</v>
      </c>
      <c r="L205" s="171">
        <v>1</v>
      </c>
      <c r="M205" s="50">
        <v>4</v>
      </c>
      <c r="N205" s="171">
        <v>2</v>
      </c>
      <c r="O205" s="202">
        <v>0</v>
      </c>
      <c r="P205" s="202">
        <v>0</v>
      </c>
      <c r="Q205" s="202"/>
      <c r="R205" s="162"/>
      <c r="S205" s="162"/>
    </row>
    <row r="206" spans="1:19">
      <c r="A206" s="294"/>
      <c r="B206" s="161">
        <v>0.9784722222222223</v>
      </c>
      <c r="C206" s="162">
        <v>29</v>
      </c>
      <c r="D206" s="162">
        <v>87</v>
      </c>
      <c r="E206" s="162">
        <v>73</v>
      </c>
      <c r="F206" s="162">
        <v>-14</v>
      </c>
      <c r="G206" s="163">
        <v>0.86560000000000004</v>
      </c>
      <c r="I206" s="295" t="s">
        <v>784</v>
      </c>
      <c r="J206" s="295"/>
      <c r="K206" s="170">
        <v>4</v>
      </c>
      <c r="L206" s="171">
        <v>5</v>
      </c>
      <c r="M206" s="50">
        <v>4</v>
      </c>
      <c r="N206" s="171">
        <v>5</v>
      </c>
      <c r="O206" s="202">
        <v>4</v>
      </c>
      <c r="P206" s="202">
        <v>3</v>
      </c>
      <c r="Q206" s="202"/>
      <c r="R206" s="162"/>
      <c r="S206" s="162"/>
    </row>
    <row r="207" spans="1:19">
      <c r="A207" s="294"/>
      <c r="B207" s="164">
        <v>0.1451388888888889</v>
      </c>
      <c r="C207" s="165">
        <v>37</v>
      </c>
      <c r="D207" s="165">
        <v>98</v>
      </c>
      <c r="E207" s="165">
        <v>89</v>
      </c>
      <c r="F207" s="165">
        <v>-9</v>
      </c>
      <c r="G207" s="166">
        <v>0.85189999999999999</v>
      </c>
      <c r="I207" s="295" t="s">
        <v>785</v>
      </c>
      <c r="J207" s="295"/>
      <c r="K207" s="170">
        <v>7</v>
      </c>
      <c r="L207" s="171">
        <v>4</v>
      </c>
      <c r="M207" s="50">
        <v>4</v>
      </c>
      <c r="N207" s="171">
        <v>4</v>
      </c>
      <c r="O207" s="202">
        <v>1</v>
      </c>
      <c r="P207" s="202">
        <v>2</v>
      </c>
      <c r="Q207" s="202"/>
      <c r="R207" s="162"/>
      <c r="S207" s="162"/>
    </row>
    <row r="208" spans="1:19">
      <c r="A208" s="294"/>
      <c r="B208" s="161"/>
      <c r="C208" s="162"/>
      <c r="D208" s="162"/>
      <c r="E208" s="162"/>
      <c r="F208" s="162"/>
      <c r="G208" s="163"/>
      <c r="I208" s="295" t="s">
        <v>786</v>
      </c>
      <c r="J208" s="295"/>
      <c r="K208" s="170">
        <v>2</v>
      </c>
      <c r="L208" s="171">
        <v>1</v>
      </c>
      <c r="M208" s="50">
        <v>3</v>
      </c>
      <c r="N208" s="171">
        <v>2</v>
      </c>
      <c r="O208" s="202">
        <v>0</v>
      </c>
      <c r="P208" s="202">
        <v>2</v>
      </c>
      <c r="Q208" s="202"/>
      <c r="R208" s="162"/>
      <c r="S208" s="162"/>
    </row>
    <row r="209" spans="1:19">
      <c r="A209" s="294"/>
      <c r="B209" s="164"/>
      <c r="C209" s="165"/>
      <c r="D209" s="165"/>
      <c r="E209" s="165"/>
      <c r="F209" s="165"/>
      <c r="G209" s="166"/>
      <c r="I209" s="295" t="s">
        <v>787</v>
      </c>
      <c r="J209" s="295"/>
      <c r="K209" s="170">
        <v>16</v>
      </c>
      <c r="L209" s="171">
        <v>18</v>
      </c>
      <c r="M209" s="50">
        <v>16</v>
      </c>
      <c r="N209" s="171">
        <v>11</v>
      </c>
      <c r="O209" s="202">
        <v>12</v>
      </c>
      <c r="P209" s="202">
        <v>19</v>
      </c>
      <c r="Q209" s="202"/>
      <c r="R209" s="162"/>
      <c r="S209" s="162"/>
    </row>
    <row r="210" spans="1:19">
      <c r="A210" s="294"/>
      <c r="B210" s="161"/>
      <c r="C210" s="162"/>
      <c r="D210" s="162"/>
      <c r="E210" s="162"/>
      <c r="F210" s="162"/>
      <c r="G210" s="163"/>
      <c r="I210" s="295" t="s">
        <v>788</v>
      </c>
      <c r="J210" s="295"/>
      <c r="K210" s="170">
        <v>0</v>
      </c>
      <c r="L210" s="171">
        <v>0</v>
      </c>
      <c r="M210" s="50">
        <v>0</v>
      </c>
      <c r="N210" s="171">
        <v>0</v>
      </c>
      <c r="O210" s="202">
        <v>0</v>
      </c>
      <c r="P210" s="202">
        <v>0</v>
      </c>
      <c r="Q210" s="202"/>
      <c r="R210" s="162"/>
      <c r="S210" s="162"/>
    </row>
    <row r="211" spans="1:19">
      <c r="A211" s="294"/>
      <c r="B211" s="164"/>
      <c r="C211" s="165"/>
      <c r="D211" s="165"/>
      <c r="E211" s="165"/>
      <c r="F211" s="165"/>
      <c r="G211" s="166"/>
      <c r="I211" s="295" t="s">
        <v>789</v>
      </c>
      <c r="J211" s="295"/>
      <c r="K211" s="170">
        <v>11</v>
      </c>
      <c r="L211" s="171">
        <v>8</v>
      </c>
      <c r="M211" s="50">
        <v>8</v>
      </c>
      <c r="N211" s="171">
        <v>4</v>
      </c>
      <c r="O211" s="202">
        <v>5</v>
      </c>
      <c r="P211" s="202">
        <v>6</v>
      </c>
      <c r="Q211" s="202"/>
      <c r="R211" s="162"/>
      <c r="S211" s="162"/>
    </row>
    <row r="212" spans="1:19">
      <c r="A212" s="63"/>
      <c r="B212" s="63"/>
      <c r="C212" s="63"/>
      <c r="D212" s="63"/>
      <c r="E212" s="63"/>
      <c r="F212" s="63"/>
      <c r="G212" s="63"/>
      <c r="I212" s="295" t="s">
        <v>790</v>
      </c>
      <c r="J212" s="295"/>
      <c r="K212" s="170">
        <v>4</v>
      </c>
      <c r="L212" s="171">
        <v>7</v>
      </c>
      <c r="M212" s="50">
        <v>7</v>
      </c>
      <c r="N212" s="171">
        <v>8</v>
      </c>
      <c r="O212" s="202">
        <v>5</v>
      </c>
      <c r="P212" s="202">
        <v>9</v>
      </c>
      <c r="Q212" s="202"/>
      <c r="R212" s="162"/>
      <c r="S212" s="162"/>
    </row>
    <row r="213" spans="1:19">
      <c r="A213" s="63"/>
      <c r="B213" s="63"/>
      <c r="C213" s="63"/>
      <c r="D213" s="63"/>
      <c r="E213" s="63"/>
      <c r="F213" s="63"/>
      <c r="G213" s="63"/>
      <c r="I213" s="295" t="s">
        <v>791</v>
      </c>
      <c r="J213" s="295"/>
      <c r="K213" s="170">
        <v>31</v>
      </c>
      <c r="L213" s="171">
        <v>31</v>
      </c>
      <c r="M213" s="50">
        <v>22</v>
      </c>
      <c r="N213" s="171">
        <v>27</v>
      </c>
      <c r="O213" s="202">
        <v>27</v>
      </c>
      <c r="P213" s="202">
        <v>24</v>
      </c>
      <c r="Q213" s="202"/>
      <c r="R213" s="162"/>
      <c r="S213" s="162"/>
    </row>
    <row r="214" spans="1:19">
      <c r="A214" s="63"/>
      <c r="B214" s="63"/>
      <c r="C214" s="63"/>
      <c r="D214" s="63"/>
      <c r="E214" s="63"/>
      <c r="F214" s="63"/>
      <c r="G214" s="63"/>
      <c r="I214" s="296" t="s">
        <v>792</v>
      </c>
      <c r="J214" s="296"/>
      <c r="K214" s="170">
        <v>9</v>
      </c>
      <c r="L214" s="171">
        <v>2</v>
      </c>
      <c r="M214" s="50">
        <v>4</v>
      </c>
      <c r="N214" s="171">
        <v>2</v>
      </c>
      <c r="O214" s="202">
        <v>3</v>
      </c>
      <c r="P214" s="202">
        <v>2</v>
      </c>
      <c r="Q214" s="202"/>
      <c r="R214" s="162"/>
      <c r="S214" s="162"/>
    </row>
    <row r="215" spans="1:19" ht="17.25" thickBot="1">
      <c r="A215" s="63"/>
      <c r="B215" s="63"/>
      <c r="C215" s="63"/>
      <c r="D215" s="63"/>
      <c r="E215" s="63"/>
      <c r="F215" s="63"/>
      <c r="G215" s="63"/>
      <c r="I215" s="297" t="s">
        <v>793</v>
      </c>
      <c r="J215" s="297"/>
      <c r="K215" s="172">
        <f t="shared" ref="K215:S215" si="19">SUM(K204:K214)</f>
        <v>101</v>
      </c>
      <c r="L215" s="205">
        <f t="shared" si="19"/>
        <v>84</v>
      </c>
      <c r="M215" s="205">
        <f t="shared" si="19"/>
        <v>77</v>
      </c>
      <c r="N215" s="205">
        <f t="shared" si="19"/>
        <v>74</v>
      </c>
      <c r="O215" s="174">
        <f t="shared" si="19"/>
        <v>71</v>
      </c>
      <c r="P215" s="174">
        <f t="shared" si="19"/>
        <v>83</v>
      </c>
      <c r="Q215" s="174">
        <f t="shared" si="19"/>
        <v>0</v>
      </c>
      <c r="R215" s="175">
        <f t="shared" si="19"/>
        <v>0</v>
      </c>
      <c r="S215" s="175">
        <f t="shared" si="19"/>
        <v>0</v>
      </c>
    </row>
    <row r="216" spans="1:19" ht="17.25" thickBot="1">
      <c r="A216" s="63"/>
      <c r="B216" s="63"/>
      <c r="C216" s="63"/>
      <c r="D216" s="63"/>
      <c r="E216" s="63"/>
      <c r="F216" s="63"/>
      <c r="G216" s="63"/>
      <c r="I216" s="298" t="s">
        <v>794</v>
      </c>
      <c r="J216" s="299"/>
      <c r="K216" s="176">
        <f t="shared" ref="K216" si="20">S195-K215</f>
        <v>-101</v>
      </c>
      <c r="L216" s="177">
        <f t="shared" ref="L216" si="21">K215-L215</f>
        <v>17</v>
      </c>
      <c r="M216" s="177">
        <f t="shared" ref="M216" si="22">K215-M215</f>
        <v>24</v>
      </c>
      <c r="N216" s="177">
        <f t="shared" ref="N216" si="23">K215-N215</f>
        <v>27</v>
      </c>
      <c r="O216" s="178">
        <f t="shared" ref="O216" si="24">K215-O215</f>
        <v>30</v>
      </c>
      <c r="P216" s="178">
        <f t="shared" ref="P216" si="25">K215-P215</f>
        <v>18</v>
      </c>
      <c r="Q216" s="178">
        <f t="shared" ref="Q216" si="26">K215-Q215</f>
        <v>101</v>
      </c>
      <c r="R216" s="179">
        <f t="shared" ref="R216" si="27">K215-R215</f>
        <v>101</v>
      </c>
      <c r="S216" s="180">
        <f t="shared" ref="S216" si="28">L215-S215</f>
        <v>84</v>
      </c>
    </row>
    <row r="217" spans="1:19">
      <c r="A217" s="63"/>
      <c r="B217" s="63"/>
      <c r="C217" s="63"/>
      <c r="D217" s="63"/>
      <c r="E217" s="63"/>
      <c r="F217" s="63"/>
      <c r="G217" s="63"/>
      <c r="I217" s="300" t="s">
        <v>795</v>
      </c>
      <c r="J217" s="301"/>
      <c r="K217" s="181">
        <v>198</v>
      </c>
      <c r="L217" s="182">
        <v>199</v>
      </c>
      <c r="M217" s="182">
        <v>203</v>
      </c>
      <c r="N217" s="182">
        <v>182</v>
      </c>
      <c r="O217" s="183">
        <v>185</v>
      </c>
      <c r="P217" s="182">
        <v>188</v>
      </c>
      <c r="Q217" s="182"/>
      <c r="R217" s="182"/>
      <c r="S217" s="182"/>
    </row>
    <row r="218" spans="1:19">
      <c r="A218" s="63"/>
      <c r="B218" s="63"/>
      <c r="C218" s="63"/>
      <c r="D218" s="63"/>
      <c r="E218" s="63"/>
      <c r="F218" s="63"/>
      <c r="G218" s="63"/>
      <c r="I218" s="302" t="s">
        <v>796</v>
      </c>
      <c r="J218" s="302"/>
      <c r="K218" s="184">
        <v>45</v>
      </c>
      <c r="L218" s="203">
        <v>45</v>
      </c>
      <c r="M218" s="203">
        <v>45</v>
      </c>
      <c r="N218" s="203">
        <v>37</v>
      </c>
      <c r="O218" s="203">
        <v>28</v>
      </c>
      <c r="P218" s="203">
        <v>36</v>
      </c>
      <c r="Q218" s="203"/>
      <c r="R218" s="203"/>
      <c r="S218" s="203"/>
    </row>
    <row r="219" spans="1:19">
      <c r="A219" s="63"/>
      <c r="B219" s="63"/>
      <c r="C219" s="63"/>
      <c r="D219" s="63"/>
      <c r="E219" s="63"/>
      <c r="F219" s="63"/>
      <c r="G219" s="63"/>
      <c r="I219" s="302" t="s">
        <v>797</v>
      </c>
      <c r="J219" s="302"/>
      <c r="K219" s="184">
        <v>153</v>
      </c>
      <c r="L219" s="203">
        <v>154</v>
      </c>
      <c r="M219" s="203">
        <v>158</v>
      </c>
      <c r="N219" s="203">
        <v>145</v>
      </c>
      <c r="O219" s="203">
        <v>157</v>
      </c>
      <c r="P219" s="203">
        <v>152</v>
      </c>
      <c r="Q219" s="203"/>
      <c r="R219" s="203"/>
      <c r="S219" s="203"/>
    </row>
    <row r="220" spans="1:19">
      <c r="A220" s="63"/>
      <c r="B220" s="63"/>
      <c r="C220" s="63"/>
      <c r="D220" s="63"/>
      <c r="E220" s="63"/>
      <c r="F220" s="63"/>
      <c r="G220" s="63"/>
      <c r="I220" s="303" t="s">
        <v>798</v>
      </c>
      <c r="J220" s="303"/>
      <c r="K220" s="184"/>
      <c r="L220" s="185"/>
      <c r="M220" s="185"/>
      <c r="N220" s="185"/>
      <c r="O220" s="185"/>
      <c r="P220" s="204"/>
      <c r="Q220" s="204"/>
      <c r="R220" s="204"/>
      <c r="S220" s="204"/>
    </row>
    <row r="221" spans="1:19">
      <c r="A221" s="3" t="s">
        <v>801</v>
      </c>
      <c r="B221" s="201" t="s">
        <v>802</v>
      </c>
      <c r="C221" s="201" t="s">
        <v>803</v>
      </c>
      <c r="D221" s="201" t="s">
        <v>119</v>
      </c>
      <c r="E221" s="201" t="s">
        <v>148</v>
      </c>
      <c r="F221" s="201" t="s">
        <v>806</v>
      </c>
      <c r="G221" s="201" t="s">
        <v>81</v>
      </c>
      <c r="I221" s="187"/>
      <c r="J221" s="187"/>
      <c r="K221" s="187"/>
      <c r="L221" s="188"/>
      <c r="M221" s="188"/>
      <c r="N221" s="188"/>
      <c r="O221" s="188"/>
      <c r="P221" s="187"/>
      <c r="Q221" s="187"/>
      <c r="R221" s="187"/>
      <c r="S221" s="187"/>
    </row>
    <row r="222" spans="1:19">
      <c r="A222" s="293">
        <v>44050</v>
      </c>
      <c r="B222" s="161">
        <v>0.36458333333333331</v>
      </c>
      <c r="C222" s="162">
        <v>32</v>
      </c>
      <c r="D222" s="162">
        <v>4</v>
      </c>
      <c r="E222" s="162">
        <v>6</v>
      </c>
      <c r="F222" s="162">
        <v>2</v>
      </c>
      <c r="G222" s="163">
        <v>0.84470000000000001</v>
      </c>
      <c r="I222" s="191"/>
      <c r="J222" s="190"/>
      <c r="K222" s="190"/>
      <c r="L222" s="190"/>
      <c r="M222" s="190">
        <v>44050</v>
      </c>
      <c r="N222" s="189" t="s">
        <v>864</v>
      </c>
      <c r="O222" s="189"/>
      <c r="P222" s="189"/>
      <c r="Q222" s="189"/>
      <c r="R222" s="189"/>
      <c r="S222" s="189"/>
    </row>
    <row r="223" spans="1:19">
      <c r="A223" s="294"/>
      <c r="B223" s="164">
        <v>0.4694444444444445</v>
      </c>
      <c r="C223" s="165">
        <v>36</v>
      </c>
      <c r="D223" s="165">
        <v>13</v>
      </c>
      <c r="E223" s="165">
        <v>21</v>
      </c>
      <c r="F223" s="165">
        <v>8</v>
      </c>
      <c r="G223" s="166">
        <v>0.84819999999999995</v>
      </c>
      <c r="I223" s="304"/>
      <c r="J223" s="304"/>
      <c r="K223" s="167">
        <v>0.36458333333333331</v>
      </c>
      <c r="L223" s="168">
        <v>0.4694444444444445</v>
      </c>
      <c r="M223" s="168">
        <v>0.63611111111111118</v>
      </c>
      <c r="N223" s="168">
        <v>0.8027777777777777</v>
      </c>
      <c r="O223" s="169">
        <v>0.96944444444444444</v>
      </c>
      <c r="P223" s="169">
        <v>0.1361111111111111</v>
      </c>
      <c r="Q223" s="169">
        <v>0.30277777777777776</v>
      </c>
      <c r="R223" s="161"/>
      <c r="S223" s="161"/>
    </row>
    <row r="224" spans="1:19">
      <c r="A224" s="294"/>
      <c r="B224" s="161">
        <v>0.63611111111111118</v>
      </c>
      <c r="C224" s="162">
        <v>51</v>
      </c>
      <c r="D224" s="162">
        <v>17</v>
      </c>
      <c r="E224" s="162">
        <v>39</v>
      </c>
      <c r="F224" s="162">
        <v>22</v>
      </c>
      <c r="G224" s="163">
        <v>0.84409999999999996</v>
      </c>
      <c r="I224" s="295" t="s">
        <v>782</v>
      </c>
      <c r="J224" s="296"/>
      <c r="K224" s="170">
        <v>19</v>
      </c>
      <c r="L224" s="171">
        <v>19</v>
      </c>
      <c r="M224" s="50">
        <v>16</v>
      </c>
      <c r="N224" s="171">
        <v>18</v>
      </c>
      <c r="O224" s="202">
        <v>15</v>
      </c>
      <c r="P224" s="202">
        <v>8</v>
      </c>
      <c r="Q224" s="202">
        <v>12</v>
      </c>
      <c r="R224" s="162"/>
      <c r="S224" s="162"/>
    </row>
    <row r="225" spans="1:19">
      <c r="A225" s="294"/>
      <c r="B225" s="164">
        <v>0.8027777777777777</v>
      </c>
      <c r="C225" s="165">
        <v>53</v>
      </c>
      <c r="D225" s="165">
        <v>28</v>
      </c>
      <c r="E225" s="165">
        <v>55</v>
      </c>
      <c r="F225" s="165">
        <v>27</v>
      </c>
      <c r="G225" s="166">
        <v>0.82640000000000002</v>
      </c>
      <c r="I225" s="295" t="s">
        <v>783</v>
      </c>
      <c r="J225" s="295"/>
      <c r="K225" s="170">
        <v>1</v>
      </c>
      <c r="L225" s="171">
        <v>0</v>
      </c>
      <c r="M225" s="50">
        <v>0</v>
      </c>
      <c r="N225" s="171">
        <v>0</v>
      </c>
      <c r="O225" s="202">
        <v>1</v>
      </c>
      <c r="P225" s="202">
        <v>0</v>
      </c>
      <c r="Q225" s="202">
        <v>1</v>
      </c>
      <c r="R225" s="162"/>
      <c r="S225" s="162"/>
    </row>
    <row r="226" spans="1:19">
      <c r="A226" s="294"/>
      <c r="B226" s="161">
        <v>0.96944444444444444</v>
      </c>
      <c r="C226" s="162">
        <v>52</v>
      </c>
      <c r="D226" s="162">
        <v>45</v>
      </c>
      <c r="E226" s="162">
        <v>69</v>
      </c>
      <c r="F226" s="162">
        <v>24</v>
      </c>
      <c r="G226" s="163">
        <v>0.82920000000000005</v>
      </c>
      <c r="I226" s="295" t="s">
        <v>784</v>
      </c>
      <c r="J226" s="295"/>
      <c r="K226" s="170">
        <v>2</v>
      </c>
      <c r="L226" s="171">
        <v>3</v>
      </c>
      <c r="M226" s="50">
        <v>1</v>
      </c>
      <c r="N226" s="171">
        <v>2</v>
      </c>
      <c r="O226" s="202">
        <v>2</v>
      </c>
      <c r="P226" s="202">
        <v>1</v>
      </c>
      <c r="Q226" s="202">
        <v>1</v>
      </c>
      <c r="R226" s="162"/>
      <c r="S226" s="162"/>
    </row>
    <row r="227" spans="1:19">
      <c r="A227" s="294"/>
      <c r="B227" s="164">
        <v>0.1361111111111111</v>
      </c>
      <c r="C227" s="165">
        <v>64</v>
      </c>
      <c r="D227" s="165">
        <v>57</v>
      </c>
      <c r="E227" s="165">
        <v>92</v>
      </c>
      <c r="F227" s="165">
        <v>35</v>
      </c>
      <c r="G227" s="166">
        <v>0.84540000000000004</v>
      </c>
      <c r="I227" s="295" t="s">
        <v>785</v>
      </c>
      <c r="J227" s="295"/>
      <c r="K227" s="170">
        <v>4</v>
      </c>
      <c r="L227" s="171">
        <v>2</v>
      </c>
      <c r="M227" s="50">
        <v>5</v>
      </c>
      <c r="N227" s="171">
        <v>10</v>
      </c>
      <c r="O227" s="202">
        <v>9</v>
      </c>
      <c r="P227" s="202">
        <v>4</v>
      </c>
      <c r="Q227" s="202">
        <v>3</v>
      </c>
      <c r="R227" s="162"/>
      <c r="S227" s="162"/>
    </row>
    <row r="228" spans="1:19">
      <c r="A228" s="294"/>
      <c r="B228" s="161">
        <v>0.30277777777777776</v>
      </c>
      <c r="C228" s="162">
        <v>62</v>
      </c>
      <c r="D228" s="162">
        <v>71</v>
      </c>
      <c r="E228" s="162">
        <v>105</v>
      </c>
      <c r="F228" s="162">
        <v>34</v>
      </c>
      <c r="G228" s="163">
        <v>0.83899999999999997</v>
      </c>
      <c r="I228" s="295" t="s">
        <v>786</v>
      </c>
      <c r="J228" s="295"/>
      <c r="K228" s="170">
        <v>4</v>
      </c>
      <c r="L228" s="171">
        <v>2</v>
      </c>
      <c r="M228" s="50">
        <v>3</v>
      </c>
      <c r="N228" s="171">
        <v>2</v>
      </c>
      <c r="O228" s="202">
        <v>2</v>
      </c>
      <c r="P228" s="202">
        <v>1</v>
      </c>
      <c r="Q228" s="202">
        <v>2</v>
      </c>
      <c r="R228" s="162"/>
      <c r="S228" s="162"/>
    </row>
    <row r="229" spans="1:19">
      <c r="A229" s="294"/>
      <c r="B229" s="164"/>
      <c r="C229" s="165"/>
      <c r="D229" s="165"/>
      <c r="E229" s="165"/>
      <c r="F229" s="165"/>
      <c r="G229" s="166"/>
      <c r="I229" s="295" t="s">
        <v>787</v>
      </c>
      <c r="J229" s="295"/>
      <c r="K229" s="170">
        <v>20</v>
      </c>
      <c r="L229" s="171">
        <v>18</v>
      </c>
      <c r="M229" s="50">
        <v>16</v>
      </c>
      <c r="N229" s="171">
        <v>21</v>
      </c>
      <c r="O229" s="202">
        <v>22</v>
      </c>
      <c r="P229" s="202">
        <v>20</v>
      </c>
      <c r="Q229" s="202">
        <v>28</v>
      </c>
      <c r="R229" s="162"/>
      <c r="S229" s="162"/>
    </row>
    <row r="230" spans="1:19">
      <c r="A230" s="294"/>
      <c r="B230" s="161"/>
      <c r="C230" s="162"/>
      <c r="D230" s="162"/>
      <c r="E230" s="162"/>
      <c r="F230" s="162"/>
      <c r="G230" s="163"/>
      <c r="I230" s="295" t="s">
        <v>788</v>
      </c>
      <c r="J230" s="295"/>
      <c r="K230" s="170">
        <v>0</v>
      </c>
      <c r="L230" s="171">
        <v>0</v>
      </c>
      <c r="M230" s="50">
        <v>0</v>
      </c>
      <c r="N230" s="171">
        <v>0</v>
      </c>
      <c r="O230" s="202">
        <v>0</v>
      </c>
      <c r="P230" s="202">
        <v>0</v>
      </c>
      <c r="Q230" s="202">
        <v>0</v>
      </c>
      <c r="R230" s="162"/>
      <c r="S230" s="162"/>
    </row>
    <row r="231" spans="1:19">
      <c r="A231" s="294"/>
      <c r="B231" s="164"/>
      <c r="C231" s="165"/>
      <c r="D231" s="165"/>
      <c r="E231" s="165"/>
      <c r="F231" s="165"/>
      <c r="G231" s="166"/>
      <c r="I231" s="295" t="s">
        <v>789</v>
      </c>
      <c r="J231" s="295"/>
      <c r="K231" s="170">
        <v>9</v>
      </c>
      <c r="L231" s="171">
        <v>9</v>
      </c>
      <c r="M231" s="50">
        <v>8</v>
      </c>
      <c r="N231" s="171">
        <v>7</v>
      </c>
      <c r="O231" s="202">
        <v>8</v>
      </c>
      <c r="P231" s="202">
        <v>9</v>
      </c>
      <c r="Q231" s="202">
        <v>5</v>
      </c>
      <c r="R231" s="162"/>
      <c r="S231" s="162"/>
    </row>
    <row r="232" spans="1:19">
      <c r="A232" s="63"/>
      <c r="B232" s="63"/>
      <c r="C232" s="63"/>
      <c r="D232" s="63"/>
      <c r="E232" s="63"/>
      <c r="F232" s="63"/>
      <c r="G232" s="63"/>
      <c r="I232" s="295" t="s">
        <v>790</v>
      </c>
      <c r="J232" s="295"/>
      <c r="K232" s="170">
        <v>9</v>
      </c>
      <c r="L232" s="171">
        <v>11</v>
      </c>
      <c r="M232" s="50">
        <v>10</v>
      </c>
      <c r="N232" s="171">
        <v>11</v>
      </c>
      <c r="O232" s="202">
        <v>11</v>
      </c>
      <c r="P232" s="202">
        <v>12</v>
      </c>
      <c r="Q232" s="202">
        <v>9</v>
      </c>
      <c r="R232" s="162"/>
      <c r="S232" s="162"/>
    </row>
    <row r="233" spans="1:19">
      <c r="A233" s="63"/>
      <c r="B233" s="63"/>
      <c r="C233" s="63"/>
      <c r="D233" s="63"/>
      <c r="E233" s="63"/>
      <c r="F233" s="63"/>
      <c r="G233" s="63"/>
      <c r="I233" s="295" t="s">
        <v>791</v>
      </c>
      <c r="J233" s="295"/>
      <c r="K233" s="170">
        <v>25</v>
      </c>
      <c r="L233" s="171">
        <v>25</v>
      </c>
      <c r="M233" s="50">
        <v>29</v>
      </c>
      <c r="N233" s="171">
        <v>27</v>
      </c>
      <c r="O233" s="202">
        <v>26</v>
      </c>
      <c r="P233" s="202">
        <v>27</v>
      </c>
      <c r="Q233" s="202">
        <v>27</v>
      </c>
      <c r="R233" s="162"/>
      <c r="S233" s="162"/>
    </row>
    <row r="234" spans="1:19">
      <c r="A234" s="63"/>
      <c r="B234" s="63"/>
      <c r="C234" s="63"/>
      <c r="D234" s="63"/>
      <c r="E234" s="63"/>
      <c r="F234" s="63"/>
      <c r="G234" s="63"/>
      <c r="I234" s="296" t="s">
        <v>792</v>
      </c>
      <c r="J234" s="296"/>
      <c r="K234" s="170">
        <v>4</v>
      </c>
      <c r="L234" s="171">
        <v>3</v>
      </c>
      <c r="M234" s="50">
        <v>4</v>
      </c>
      <c r="N234" s="171">
        <v>3</v>
      </c>
      <c r="O234" s="202">
        <v>6</v>
      </c>
      <c r="P234" s="202">
        <v>4</v>
      </c>
      <c r="Q234" s="202">
        <v>1</v>
      </c>
      <c r="R234" s="162"/>
      <c r="S234" s="162"/>
    </row>
    <row r="235" spans="1:19" ht="17.25" thickBot="1">
      <c r="A235" s="63"/>
      <c r="B235" s="63"/>
      <c r="C235" s="63"/>
      <c r="D235" s="63"/>
      <c r="E235" s="63"/>
      <c r="F235" s="63"/>
      <c r="G235" s="63"/>
      <c r="I235" s="297" t="s">
        <v>793</v>
      </c>
      <c r="J235" s="297"/>
      <c r="K235" s="172">
        <f t="shared" ref="K235:S235" si="29">SUM(K224:K234)</f>
        <v>97</v>
      </c>
      <c r="L235" s="205">
        <f t="shared" si="29"/>
        <v>92</v>
      </c>
      <c r="M235" s="205">
        <f t="shared" si="29"/>
        <v>92</v>
      </c>
      <c r="N235" s="205">
        <f t="shared" si="29"/>
        <v>101</v>
      </c>
      <c r="O235" s="174">
        <f t="shared" si="29"/>
        <v>102</v>
      </c>
      <c r="P235" s="174">
        <f t="shared" si="29"/>
        <v>86</v>
      </c>
      <c r="Q235" s="174">
        <f t="shared" si="29"/>
        <v>89</v>
      </c>
      <c r="R235" s="175">
        <f t="shared" si="29"/>
        <v>0</v>
      </c>
      <c r="S235" s="175">
        <f t="shared" si="29"/>
        <v>0</v>
      </c>
    </row>
    <row r="236" spans="1:19" ht="17.25" thickBot="1">
      <c r="A236" s="63"/>
      <c r="B236" s="63"/>
      <c r="C236" s="63"/>
      <c r="D236" s="63"/>
      <c r="E236" s="63"/>
      <c r="F236" s="63"/>
      <c r="G236" s="63"/>
      <c r="I236" s="298" t="s">
        <v>794</v>
      </c>
      <c r="J236" s="299"/>
      <c r="K236" s="176">
        <f t="shared" ref="K236" si="30">S215-K235</f>
        <v>-97</v>
      </c>
      <c r="L236" s="177">
        <f t="shared" ref="L236" si="31">K235-L235</f>
        <v>5</v>
      </c>
      <c r="M236" s="177">
        <f t="shared" ref="M236" si="32">K235-M235</f>
        <v>5</v>
      </c>
      <c r="N236" s="177">
        <f t="shared" ref="N236" si="33">K235-N235</f>
        <v>-4</v>
      </c>
      <c r="O236" s="178">
        <f t="shared" ref="O236" si="34">K235-O235</f>
        <v>-5</v>
      </c>
      <c r="P236" s="178">
        <f t="shared" ref="P236" si="35">K235-P235</f>
        <v>11</v>
      </c>
      <c r="Q236" s="178">
        <f t="shared" ref="Q236" si="36">K235-Q235</f>
        <v>8</v>
      </c>
      <c r="R236" s="179">
        <f t="shared" ref="R236" si="37">K235-R235</f>
        <v>97</v>
      </c>
      <c r="S236" s="180">
        <f t="shared" ref="S236" si="38">L235-S235</f>
        <v>92</v>
      </c>
    </row>
    <row r="237" spans="1:19">
      <c r="A237" s="63"/>
      <c r="B237" s="63"/>
      <c r="C237" s="63"/>
      <c r="D237" s="63"/>
      <c r="E237" s="63"/>
      <c r="F237" s="63"/>
      <c r="G237" s="63"/>
      <c r="I237" s="300" t="s">
        <v>795</v>
      </c>
      <c r="J237" s="301"/>
      <c r="K237" s="181">
        <v>184</v>
      </c>
      <c r="L237" s="182">
        <v>191</v>
      </c>
      <c r="M237" s="182">
        <v>219</v>
      </c>
      <c r="N237" s="182">
        <v>217</v>
      </c>
      <c r="O237" s="183">
        <v>217</v>
      </c>
      <c r="P237" s="182">
        <v>235</v>
      </c>
      <c r="Q237" s="182">
        <v>223</v>
      </c>
      <c r="R237" s="182"/>
      <c r="S237" s="182"/>
    </row>
    <row r="238" spans="1:19">
      <c r="A238" s="63"/>
      <c r="B238" s="63"/>
      <c r="C238" s="63"/>
      <c r="D238" s="63"/>
      <c r="E238" s="63"/>
      <c r="F238" s="63"/>
      <c r="G238" s="63"/>
      <c r="I238" s="302" t="s">
        <v>796</v>
      </c>
      <c r="J238" s="302"/>
      <c r="K238" s="184">
        <v>32</v>
      </c>
      <c r="L238" s="203">
        <v>37</v>
      </c>
      <c r="M238" s="203">
        <v>52</v>
      </c>
      <c r="N238" s="203">
        <v>50</v>
      </c>
      <c r="O238" s="203">
        <v>49</v>
      </c>
      <c r="P238" s="203">
        <v>68</v>
      </c>
      <c r="Q238" s="203">
        <v>62</v>
      </c>
      <c r="R238" s="203"/>
      <c r="S238" s="203"/>
    </row>
    <row r="239" spans="1:19">
      <c r="A239" s="63"/>
      <c r="B239" s="63"/>
      <c r="C239" s="63"/>
      <c r="D239" s="63"/>
      <c r="E239" s="63"/>
      <c r="F239" s="63"/>
      <c r="G239" s="63"/>
      <c r="I239" s="302" t="s">
        <v>797</v>
      </c>
      <c r="J239" s="302"/>
      <c r="K239" s="184">
        <v>152</v>
      </c>
      <c r="L239" s="203">
        <v>154</v>
      </c>
      <c r="M239" s="203">
        <v>167</v>
      </c>
      <c r="N239" s="203">
        <v>167</v>
      </c>
      <c r="O239" s="203">
        <v>168</v>
      </c>
      <c r="P239" s="203">
        <v>167</v>
      </c>
      <c r="Q239" s="203">
        <v>161</v>
      </c>
      <c r="R239" s="203"/>
      <c r="S239" s="203"/>
    </row>
    <row r="240" spans="1:19">
      <c r="A240" s="63"/>
      <c r="B240" s="63"/>
      <c r="C240" s="63"/>
      <c r="D240" s="63"/>
      <c r="E240" s="63"/>
      <c r="F240" s="63"/>
      <c r="G240" s="63"/>
      <c r="I240" s="303" t="s">
        <v>798</v>
      </c>
      <c r="J240" s="303"/>
      <c r="K240" s="184"/>
      <c r="L240" s="185"/>
      <c r="M240" s="185"/>
      <c r="N240" s="185"/>
      <c r="O240" s="185"/>
      <c r="P240" s="204"/>
      <c r="Q240" s="204"/>
      <c r="R240" s="204"/>
      <c r="S240" s="204"/>
    </row>
    <row r="241" spans="1:19">
      <c r="A241" s="3" t="s">
        <v>801</v>
      </c>
      <c r="B241" s="201" t="s">
        <v>802</v>
      </c>
      <c r="C241" s="201" t="s">
        <v>803</v>
      </c>
      <c r="D241" s="201" t="s">
        <v>119</v>
      </c>
      <c r="E241" s="201" t="s">
        <v>148</v>
      </c>
      <c r="F241" s="201" t="s">
        <v>806</v>
      </c>
      <c r="G241" s="201" t="s">
        <v>81</v>
      </c>
      <c r="I241" s="187"/>
      <c r="J241" s="187"/>
      <c r="K241" s="187"/>
      <c r="L241" s="188"/>
      <c r="M241" s="188"/>
      <c r="N241" s="188"/>
      <c r="O241" s="188"/>
      <c r="P241" s="187"/>
      <c r="Q241" s="187"/>
      <c r="R241" s="187"/>
      <c r="S241" s="187"/>
    </row>
    <row r="242" spans="1:19">
      <c r="A242" s="293">
        <v>44051</v>
      </c>
      <c r="B242" s="161">
        <v>0.30277777777777776</v>
      </c>
      <c r="C242" s="162">
        <v>62</v>
      </c>
      <c r="D242" s="162">
        <v>71</v>
      </c>
      <c r="E242" s="162">
        <v>105</v>
      </c>
      <c r="F242" s="162">
        <v>34</v>
      </c>
      <c r="G242" s="163">
        <v>0.83899999999999997</v>
      </c>
      <c r="I242" s="191"/>
      <c r="J242" s="190"/>
      <c r="K242" s="190"/>
      <c r="L242" s="190"/>
      <c r="M242" s="190">
        <v>44051</v>
      </c>
      <c r="N242" s="189" t="s">
        <v>864</v>
      </c>
      <c r="O242" s="189"/>
      <c r="P242" s="189"/>
      <c r="Q242" s="189"/>
      <c r="R242" s="189"/>
      <c r="S242" s="189"/>
    </row>
    <row r="243" spans="1:19">
      <c r="A243" s="294"/>
      <c r="B243" s="164">
        <v>0.4694444444444445</v>
      </c>
      <c r="C243" s="165">
        <v>67</v>
      </c>
      <c r="D243" s="165">
        <v>14</v>
      </c>
      <c r="E243" s="165">
        <v>18</v>
      </c>
      <c r="F243" s="165">
        <v>4</v>
      </c>
      <c r="G243" s="166">
        <v>0.84499999999999997</v>
      </c>
      <c r="I243" s="304"/>
      <c r="J243" s="304"/>
      <c r="K243" s="167">
        <v>0.30277777777777776</v>
      </c>
      <c r="L243" s="168">
        <v>0.4694444444444445</v>
      </c>
      <c r="M243" s="168">
        <v>0.63611111111111118</v>
      </c>
      <c r="N243" s="168">
        <v>0.8027777777777777</v>
      </c>
      <c r="O243" s="169">
        <v>0.96944444444444444</v>
      </c>
      <c r="P243" s="169">
        <v>0.13680555555555554</v>
      </c>
      <c r="Q243" s="169">
        <v>0.3034722222222222</v>
      </c>
      <c r="R243" s="161"/>
      <c r="S243" s="161"/>
    </row>
    <row r="244" spans="1:19">
      <c r="A244" s="294"/>
      <c r="B244" s="161">
        <v>0.63611111111111118</v>
      </c>
      <c r="C244" s="162">
        <v>52</v>
      </c>
      <c r="D244" s="162">
        <v>29</v>
      </c>
      <c r="E244" s="162">
        <v>32</v>
      </c>
      <c r="F244" s="162">
        <v>3</v>
      </c>
      <c r="G244" s="163">
        <v>0.83220000000000005</v>
      </c>
      <c r="I244" s="295" t="s">
        <v>782</v>
      </c>
      <c r="J244" s="296"/>
      <c r="K244" s="170">
        <v>12</v>
      </c>
      <c r="L244" s="171">
        <v>9</v>
      </c>
      <c r="M244" s="50">
        <v>15</v>
      </c>
      <c r="N244" s="171">
        <v>13</v>
      </c>
      <c r="O244" s="202">
        <v>12</v>
      </c>
      <c r="P244" s="202">
        <v>9</v>
      </c>
      <c r="Q244" s="202">
        <v>8</v>
      </c>
      <c r="R244" s="162"/>
      <c r="S244" s="162"/>
    </row>
    <row r="245" spans="1:19">
      <c r="A245" s="294"/>
      <c r="B245" s="164">
        <v>0.8027777777777777</v>
      </c>
      <c r="C245" s="165">
        <v>56</v>
      </c>
      <c r="D245" s="165">
        <v>53</v>
      </c>
      <c r="E245" s="165">
        <v>40</v>
      </c>
      <c r="F245" s="165">
        <v>-13</v>
      </c>
      <c r="G245" s="166">
        <v>0.83660000000000001</v>
      </c>
      <c r="I245" s="295" t="s">
        <v>783</v>
      </c>
      <c r="J245" s="295"/>
      <c r="K245" s="170">
        <v>1</v>
      </c>
      <c r="L245" s="171">
        <v>1</v>
      </c>
      <c r="M245" s="50">
        <v>1</v>
      </c>
      <c r="N245" s="171">
        <v>1</v>
      </c>
      <c r="O245" s="202">
        <v>2</v>
      </c>
      <c r="P245" s="202">
        <v>3</v>
      </c>
      <c r="Q245" s="202">
        <v>1</v>
      </c>
      <c r="R245" s="162"/>
      <c r="S245" s="162"/>
    </row>
    <row r="246" spans="1:19">
      <c r="A246" s="294"/>
      <c r="B246" s="161">
        <v>0.96944444444444444</v>
      </c>
      <c r="C246" s="162">
        <v>50</v>
      </c>
      <c r="D246" s="162">
        <v>78</v>
      </c>
      <c r="E246" s="162">
        <v>61</v>
      </c>
      <c r="F246" s="162">
        <v>-17</v>
      </c>
      <c r="G246" s="163">
        <v>0.84509999999999996</v>
      </c>
      <c r="I246" s="295" t="s">
        <v>784</v>
      </c>
      <c r="J246" s="295"/>
      <c r="K246" s="170">
        <v>1</v>
      </c>
      <c r="L246" s="171">
        <v>1</v>
      </c>
      <c r="M246" s="50">
        <v>1</v>
      </c>
      <c r="N246" s="171">
        <v>0</v>
      </c>
      <c r="O246" s="202">
        <v>1</v>
      </c>
      <c r="P246" s="202">
        <v>0</v>
      </c>
      <c r="Q246" s="202">
        <v>0</v>
      </c>
      <c r="R246" s="162"/>
      <c r="S246" s="162"/>
    </row>
    <row r="247" spans="1:19">
      <c r="A247" s="294"/>
      <c r="B247" s="164">
        <v>0.13680555555555554</v>
      </c>
      <c r="C247" s="165">
        <v>65</v>
      </c>
      <c r="D247" s="165">
        <v>92</v>
      </c>
      <c r="E247" s="165">
        <v>72</v>
      </c>
      <c r="F247" s="165">
        <v>-20</v>
      </c>
      <c r="G247" s="166">
        <v>0.84930000000000005</v>
      </c>
      <c r="I247" s="295" t="s">
        <v>785</v>
      </c>
      <c r="J247" s="295"/>
      <c r="K247" s="170">
        <v>3</v>
      </c>
      <c r="L247" s="171">
        <v>7</v>
      </c>
      <c r="M247" s="50">
        <v>22</v>
      </c>
      <c r="N247" s="171">
        <v>11</v>
      </c>
      <c r="O247" s="202">
        <v>9</v>
      </c>
      <c r="P247" s="202">
        <v>7</v>
      </c>
      <c r="Q247" s="202">
        <v>6</v>
      </c>
      <c r="R247" s="162"/>
      <c r="S247" s="162"/>
    </row>
    <row r="248" spans="1:19">
      <c r="A248" s="294"/>
      <c r="B248" s="161">
        <v>0.3034722222222222</v>
      </c>
      <c r="C248" s="162">
        <v>71</v>
      </c>
      <c r="D248" s="162">
        <v>109</v>
      </c>
      <c r="E248" s="162">
        <v>93</v>
      </c>
      <c r="F248" s="162">
        <v>-16</v>
      </c>
      <c r="G248" s="163">
        <v>0.84670000000000001</v>
      </c>
      <c r="I248" s="295" t="s">
        <v>786</v>
      </c>
      <c r="J248" s="295"/>
      <c r="K248" s="170">
        <v>2</v>
      </c>
      <c r="L248" s="171">
        <v>1</v>
      </c>
      <c r="M248" s="50">
        <v>3</v>
      </c>
      <c r="N248" s="171">
        <v>1</v>
      </c>
      <c r="O248" s="202">
        <v>3</v>
      </c>
      <c r="P248" s="202">
        <v>2</v>
      </c>
      <c r="Q248" s="202">
        <v>2</v>
      </c>
      <c r="R248" s="162"/>
      <c r="S248" s="162"/>
    </row>
    <row r="249" spans="1:19">
      <c r="A249" s="294"/>
      <c r="B249" s="164"/>
      <c r="C249" s="165"/>
      <c r="D249" s="165"/>
      <c r="E249" s="165"/>
      <c r="F249" s="165"/>
      <c r="G249" s="166"/>
      <c r="I249" s="295" t="s">
        <v>787</v>
      </c>
      <c r="J249" s="295"/>
      <c r="K249" s="170">
        <v>28</v>
      </c>
      <c r="L249" s="171">
        <v>17</v>
      </c>
      <c r="M249" s="50">
        <v>15</v>
      </c>
      <c r="N249" s="171">
        <v>15</v>
      </c>
      <c r="O249" s="202">
        <v>18</v>
      </c>
      <c r="P249" s="202">
        <v>19</v>
      </c>
      <c r="Q249" s="202">
        <v>16</v>
      </c>
      <c r="R249" s="162"/>
      <c r="S249" s="162"/>
    </row>
    <row r="250" spans="1:19">
      <c r="A250" s="294"/>
      <c r="B250" s="161"/>
      <c r="C250" s="162"/>
      <c r="D250" s="162"/>
      <c r="E250" s="162"/>
      <c r="F250" s="162"/>
      <c r="G250" s="163"/>
      <c r="I250" s="295" t="s">
        <v>788</v>
      </c>
      <c r="J250" s="295"/>
      <c r="K250" s="170">
        <v>0</v>
      </c>
      <c r="L250" s="171">
        <v>0</v>
      </c>
      <c r="M250" s="50">
        <v>0</v>
      </c>
      <c r="N250" s="171">
        <v>0</v>
      </c>
      <c r="O250" s="202">
        <v>0</v>
      </c>
      <c r="P250" s="202">
        <v>0</v>
      </c>
      <c r="Q250" s="202">
        <v>0</v>
      </c>
      <c r="R250" s="162"/>
      <c r="S250" s="162"/>
    </row>
    <row r="251" spans="1:19">
      <c r="A251" s="294"/>
      <c r="B251" s="164"/>
      <c r="C251" s="165"/>
      <c r="D251" s="165"/>
      <c r="E251" s="165"/>
      <c r="F251" s="165"/>
      <c r="G251" s="166"/>
      <c r="I251" s="295" t="s">
        <v>789</v>
      </c>
      <c r="J251" s="295"/>
      <c r="K251" s="170">
        <v>5</v>
      </c>
      <c r="L251" s="171">
        <v>7</v>
      </c>
      <c r="M251" s="50">
        <v>5</v>
      </c>
      <c r="N251" s="171">
        <v>9</v>
      </c>
      <c r="O251" s="202">
        <v>6</v>
      </c>
      <c r="P251" s="202">
        <v>5</v>
      </c>
      <c r="Q251" s="202">
        <v>6</v>
      </c>
      <c r="R251" s="162"/>
      <c r="S251" s="162"/>
    </row>
    <row r="252" spans="1:19">
      <c r="A252" s="63"/>
      <c r="B252" s="63"/>
      <c r="C252" s="63"/>
      <c r="D252" s="63"/>
      <c r="E252" s="63"/>
      <c r="F252" s="63"/>
      <c r="G252" s="63"/>
      <c r="I252" s="295" t="s">
        <v>790</v>
      </c>
      <c r="J252" s="295"/>
      <c r="K252" s="170">
        <v>9</v>
      </c>
      <c r="L252" s="171">
        <v>10</v>
      </c>
      <c r="M252" s="50">
        <v>9</v>
      </c>
      <c r="N252" s="171">
        <v>12</v>
      </c>
      <c r="O252" s="202">
        <v>9</v>
      </c>
      <c r="P252" s="202">
        <v>7</v>
      </c>
      <c r="Q252" s="202">
        <v>6</v>
      </c>
      <c r="R252" s="162"/>
      <c r="S252" s="162"/>
    </row>
    <row r="253" spans="1:19">
      <c r="A253" s="63"/>
      <c r="B253" s="63"/>
      <c r="C253" s="63"/>
      <c r="D253" s="63"/>
      <c r="E253" s="63"/>
      <c r="F253" s="63"/>
      <c r="G253" s="63"/>
      <c r="I253" s="295" t="s">
        <v>791</v>
      </c>
      <c r="J253" s="295"/>
      <c r="K253" s="170">
        <v>27</v>
      </c>
      <c r="L253" s="171">
        <v>28</v>
      </c>
      <c r="M253" s="50">
        <v>26</v>
      </c>
      <c r="N253" s="171">
        <v>27</v>
      </c>
      <c r="O253" s="202">
        <v>18</v>
      </c>
      <c r="P253" s="202">
        <v>22</v>
      </c>
      <c r="Q253" s="202">
        <v>24</v>
      </c>
      <c r="R253" s="162"/>
      <c r="S253" s="162"/>
    </row>
    <row r="254" spans="1:19">
      <c r="A254" s="63"/>
      <c r="B254" s="63"/>
      <c r="C254" s="63"/>
      <c r="D254" s="63"/>
      <c r="E254" s="63"/>
      <c r="F254" s="63"/>
      <c r="G254" s="63"/>
      <c r="I254" s="296" t="s">
        <v>792</v>
      </c>
      <c r="J254" s="296"/>
      <c r="K254" s="170">
        <v>1</v>
      </c>
      <c r="L254" s="171">
        <v>2</v>
      </c>
      <c r="M254" s="50">
        <v>2</v>
      </c>
      <c r="N254" s="171">
        <v>3</v>
      </c>
      <c r="O254" s="202">
        <v>5</v>
      </c>
      <c r="P254" s="202">
        <v>4</v>
      </c>
      <c r="Q254" s="202">
        <v>5</v>
      </c>
      <c r="R254" s="162"/>
      <c r="S254" s="162"/>
    </row>
    <row r="255" spans="1:19" ht="17.25" thickBot="1">
      <c r="A255" s="63"/>
      <c r="B255" s="63"/>
      <c r="C255" s="63"/>
      <c r="D255" s="63"/>
      <c r="E255" s="63"/>
      <c r="F255" s="63"/>
      <c r="G255" s="63"/>
      <c r="I255" s="297" t="s">
        <v>793</v>
      </c>
      <c r="J255" s="297"/>
      <c r="K255" s="172">
        <f t="shared" ref="K255:S255" si="39">SUM(K244:K254)</f>
        <v>89</v>
      </c>
      <c r="L255" s="205">
        <f t="shared" si="39"/>
        <v>83</v>
      </c>
      <c r="M255" s="205">
        <f t="shared" si="39"/>
        <v>99</v>
      </c>
      <c r="N255" s="205">
        <f t="shared" si="39"/>
        <v>92</v>
      </c>
      <c r="O255" s="174">
        <f t="shared" si="39"/>
        <v>83</v>
      </c>
      <c r="P255" s="174">
        <f t="shared" si="39"/>
        <v>78</v>
      </c>
      <c r="Q255" s="174">
        <f t="shared" si="39"/>
        <v>74</v>
      </c>
      <c r="R255" s="175">
        <f t="shared" si="39"/>
        <v>0</v>
      </c>
      <c r="S255" s="175">
        <f t="shared" si="39"/>
        <v>0</v>
      </c>
    </row>
    <row r="256" spans="1:19" ht="17.25" thickBot="1">
      <c r="A256" s="63"/>
      <c r="B256" s="63"/>
      <c r="C256" s="63"/>
      <c r="D256" s="63"/>
      <c r="E256" s="63"/>
      <c r="F256" s="63"/>
      <c r="G256" s="63"/>
      <c r="I256" s="298" t="s">
        <v>794</v>
      </c>
      <c r="J256" s="299"/>
      <c r="K256" s="176">
        <f t="shared" ref="K256" si="40">S235-K255</f>
        <v>-89</v>
      </c>
      <c r="L256" s="177">
        <f t="shared" ref="L256" si="41">K255-L255</f>
        <v>6</v>
      </c>
      <c r="M256" s="177">
        <f t="shared" ref="M256" si="42">K255-M255</f>
        <v>-10</v>
      </c>
      <c r="N256" s="177">
        <f t="shared" ref="N256" si="43">K255-N255</f>
        <v>-3</v>
      </c>
      <c r="O256" s="178">
        <f t="shared" ref="O256" si="44">K255-O255</f>
        <v>6</v>
      </c>
      <c r="P256" s="178">
        <f t="shared" ref="P256" si="45">K255-P255</f>
        <v>11</v>
      </c>
      <c r="Q256" s="178">
        <f t="shared" ref="Q256" si="46">K255-Q255</f>
        <v>15</v>
      </c>
      <c r="R256" s="179">
        <f t="shared" ref="R256" si="47">K255-R255</f>
        <v>89</v>
      </c>
      <c r="S256" s="180">
        <f t="shared" ref="S256" si="48">L255-S255</f>
        <v>83</v>
      </c>
    </row>
    <row r="257" spans="1:19">
      <c r="A257" s="63"/>
      <c r="B257" s="63"/>
      <c r="C257" s="63"/>
      <c r="D257" s="63"/>
      <c r="E257" s="63"/>
      <c r="F257" s="63"/>
      <c r="G257" s="63"/>
      <c r="I257" s="300" t="s">
        <v>795</v>
      </c>
      <c r="J257" s="301"/>
      <c r="K257" s="181">
        <v>223</v>
      </c>
      <c r="L257" s="182">
        <v>226</v>
      </c>
      <c r="M257" s="182">
        <v>212</v>
      </c>
      <c r="N257" s="182">
        <v>209</v>
      </c>
      <c r="O257" s="183">
        <v>206</v>
      </c>
      <c r="P257" s="182">
        <v>215</v>
      </c>
      <c r="Q257" s="182">
        <v>205</v>
      </c>
      <c r="R257" s="182"/>
      <c r="S257" s="182"/>
    </row>
    <row r="258" spans="1:19">
      <c r="A258" s="63"/>
      <c r="B258" s="63"/>
      <c r="C258" s="63"/>
      <c r="D258" s="63"/>
      <c r="E258" s="63"/>
      <c r="F258" s="63"/>
      <c r="G258" s="63"/>
      <c r="I258" s="302" t="s">
        <v>796</v>
      </c>
      <c r="J258" s="302"/>
      <c r="K258" s="184">
        <v>62</v>
      </c>
      <c r="L258" s="203">
        <v>61</v>
      </c>
      <c r="M258" s="203">
        <v>52</v>
      </c>
      <c r="N258" s="203">
        <v>52</v>
      </c>
      <c r="O258" s="203">
        <v>48</v>
      </c>
      <c r="P258" s="203">
        <v>66</v>
      </c>
      <c r="Q258" s="203">
        <v>69</v>
      </c>
      <c r="R258" s="203"/>
      <c r="S258" s="203"/>
    </row>
    <row r="259" spans="1:19">
      <c r="A259" s="63"/>
      <c r="B259" s="63"/>
      <c r="C259" s="63"/>
      <c r="D259" s="63"/>
      <c r="E259" s="63"/>
      <c r="F259" s="63"/>
      <c r="G259" s="63"/>
      <c r="I259" s="302" t="s">
        <v>797</v>
      </c>
      <c r="J259" s="302"/>
      <c r="K259" s="184">
        <v>161</v>
      </c>
      <c r="L259" s="203">
        <v>165</v>
      </c>
      <c r="M259" s="203">
        <v>160</v>
      </c>
      <c r="N259" s="203">
        <v>157</v>
      </c>
      <c r="O259" s="203">
        <v>158</v>
      </c>
      <c r="P259" s="203">
        <v>149</v>
      </c>
      <c r="Q259" s="203">
        <v>136</v>
      </c>
      <c r="R259" s="203"/>
      <c r="S259" s="203"/>
    </row>
    <row r="260" spans="1:19">
      <c r="A260" s="63"/>
      <c r="B260" s="63"/>
      <c r="C260" s="63"/>
      <c r="D260" s="63"/>
      <c r="E260" s="63"/>
      <c r="F260" s="63"/>
      <c r="G260" s="63"/>
      <c r="I260" s="303" t="s">
        <v>798</v>
      </c>
      <c r="J260" s="303"/>
      <c r="K260" s="184"/>
      <c r="L260" s="185"/>
      <c r="M260" s="185"/>
      <c r="N260" s="185"/>
      <c r="O260" s="185"/>
      <c r="P260" s="204"/>
      <c r="Q260" s="204"/>
      <c r="R260" s="204"/>
      <c r="S260" s="204"/>
    </row>
    <row r="261" spans="1:19">
      <c r="A261" s="3" t="s">
        <v>801</v>
      </c>
      <c r="B261" s="201" t="s">
        <v>802</v>
      </c>
      <c r="C261" s="201" t="s">
        <v>803</v>
      </c>
      <c r="D261" s="201" t="s">
        <v>119</v>
      </c>
      <c r="E261" s="201" t="s">
        <v>148</v>
      </c>
      <c r="F261" s="201" t="s">
        <v>806</v>
      </c>
      <c r="G261" s="201" t="s">
        <v>81</v>
      </c>
      <c r="I261" s="187"/>
      <c r="J261" s="187"/>
      <c r="K261" s="187"/>
      <c r="L261" s="188"/>
      <c r="M261" s="188"/>
      <c r="N261" s="188"/>
      <c r="O261" s="188"/>
      <c r="P261" s="187"/>
      <c r="Q261" s="187"/>
      <c r="R261" s="187"/>
      <c r="S261" s="187"/>
    </row>
    <row r="262" spans="1:19">
      <c r="A262" s="293">
        <v>44052</v>
      </c>
      <c r="B262" s="161">
        <v>0.3034722222222222</v>
      </c>
      <c r="C262" s="162">
        <v>71</v>
      </c>
      <c r="D262" s="162">
        <v>109</v>
      </c>
      <c r="E262" s="162">
        <v>93</v>
      </c>
      <c r="F262" s="162">
        <v>-16</v>
      </c>
      <c r="G262" s="163">
        <v>0.84670000000000001</v>
      </c>
      <c r="I262" s="191"/>
      <c r="J262" s="190"/>
      <c r="K262" s="190"/>
      <c r="L262" s="190"/>
      <c r="M262" s="190">
        <v>44052</v>
      </c>
      <c r="N262" s="189" t="s">
        <v>864</v>
      </c>
      <c r="O262" s="189"/>
      <c r="P262" s="189"/>
      <c r="Q262" s="189"/>
      <c r="R262" s="189"/>
      <c r="S262" s="189"/>
    </row>
    <row r="263" spans="1:19">
      <c r="A263" s="294"/>
      <c r="B263" s="164">
        <v>0.47013888888888888</v>
      </c>
      <c r="C263" s="165">
        <v>55</v>
      </c>
      <c r="D263" s="165">
        <v>17</v>
      </c>
      <c r="E263" s="165">
        <v>18</v>
      </c>
      <c r="F263" s="165">
        <v>1</v>
      </c>
      <c r="G263" s="166">
        <v>0.84299999999999997</v>
      </c>
      <c r="I263" s="304"/>
      <c r="J263" s="304"/>
      <c r="K263" s="167">
        <v>0.3034722222222222</v>
      </c>
      <c r="L263" s="168">
        <v>0.47013888888888888</v>
      </c>
      <c r="M263" s="168">
        <v>0.63611111111111118</v>
      </c>
      <c r="N263" s="168">
        <v>0.8027777777777777</v>
      </c>
      <c r="O263" s="169">
        <v>0.97013888888888899</v>
      </c>
      <c r="P263" s="169">
        <v>0.13680555555555554</v>
      </c>
      <c r="Q263" s="169">
        <v>0.3034722222222222</v>
      </c>
      <c r="R263" s="161"/>
      <c r="S263" s="161"/>
    </row>
    <row r="264" spans="1:19">
      <c r="A264" s="294"/>
      <c r="B264" s="161">
        <v>0.63611111111111118</v>
      </c>
      <c r="C264" s="162">
        <v>70</v>
      </c>
      <c r="D264" s="162">
        <v>24</v>
      </c>
      <c r="E264" s="162">
        <v>50</v>
      </c>
      <c r="F264" s="162">
        <v>26</v>
      </c>
      <c r="G264" s="163">
        <v>0.83989999999999998</v>
      </c>
      <c r="I264" s="295" t="s">
        <v>782</v>
      </c>
      <c r="J264" s="296"/>
      <c r="K264" s="170">
        <v>8</v>
      </c>
      <c r="L264" s="171">
        <v>9</v>
      </c>
      <c r="M264" s="50">
        <v>6</v>
      </c>
      <c r="N264" s="171">
        <v>7</v>
      </c>
      <c r="O264" s="202">
        <v>10</v>
      </c>
      <c r="P264" s="202">
        <v>8</v>
      </c>
      <c r="Q264" s="202">
        <v>6</v>
      </c>
      <c r="R264" s="162"/>
      <c r="S264" s="162"/>
    </row>
    <row r="265" spans="1:19">
      <c r="A265" s="294"/>
      <c r="B265" s="164">
        <v>0.8027777777777777</v>
      </c>
      <c r="C265" s="165">
        <v>68</v>
      </c>
      <c r="D265" s="165">
        <v>59</v>
      </c>
      <c r="E265" s="165">
        <v>74</v>
      </c>
      <c r="F265" s="165">
        <v>15</v>
      </c>
      <c r="G265" s="166">
        <v>0.83850000000000002</v>
      </c>
      <c r="I265" s="295" t="s">
        <v>783</v>
      </c>
      <c r="J265" s="295"/>
      <c r="K265" s="170">
        <v>1</v>
      </c>
      <c r="L265" s="171">
        <v>2</v>
      </c>
      <c r="M265" s="50">
        <v>1</v>
      </c>
      <c r="N265" s="171">
        <v>0</v>
      </c>
      <c r="O265" s="202">
        <v>0</v>
      </c>
      <c r="P265" s="202">
        <v>0</v>
      </c>
      <c r="Q265" s="202">
        <v>0</v>
      </c>
      <c r="R265" s="162"/>
      <c r="S265" s="162"/>
    </row>
    <row r="266" spans="1:19">
      <c r="A266" s="294"/>
      <c r="B266" s="161">
        <v>0.97013888888888899</v>
      </c>
      <c r="C266" s="162">
        <v>52</v>
      </c>
      <c r="D266" s="162">
        <v>74</v>
      </c>
      <c r="E266" s="162">
        <v>88</v>
      </c>
      <c r="F266" s="162">
        <v>14</v>
      </c>
      <c r="G266" s="163">
        <v>0.83809999999999996</v>
      </c>
      <c r="I266" s="295" t="s">
        <v>784</v>
      </c>
      <c r="J266" s="295"/>
      <c r="K266" s="170">
        <v>0</v>
      </c>
      <c r="L266" s="171">
        <v>1</v>
      </c>
      <c r="M266" s="50">
        <v>1</v>
      </c>
      <c r="N266" s="171">
        <v>1</v>
      </c>
      <c r="O266" s="202">
        <v>1</v>
      </c>
      <c r="P266" s="202">
        <v>1</v>
      </c>
      <c r="Q266" s="202">
        <v>1</v>
      </c>
      <c r="R266" s="162"/>
      <c r="S266" s="162"/>
    </row>
    <row r="267" spans="1:19">
      <c r="A267" s="294"/>
      <c r="B267" s="164">
        <v>0.13680555555555554</v>
      </c>
      <c r="C267" s="165">
        <v>51</v>
      </c>
      <c r="D267" s="165">
        <v>93</v>
      </c>
      <c r="E267" s="165">
        <v>106</v>
      </c>
      <c r="F267" s="165">
        <v>13</v>
      </c>
      <c r="G267" s="166">
        <v>0.84089999999999998</v>
      </c>
      <c r="I267" s="295" t="s">
        <v>785</v>
      </c>
      <c r="J267" s="295"/>
      <c r="K267" s="170">
        <v>6</v>
      </c>
      <c r="L267" s="171">
        <v>10</v>
      </c>
      <c r="M267" s="50">
        <v>18</v>
      </c>
      <c r="N267" s="171">
        <v>14</v>
      </c>
      <c r="O267" s="202">
        <v>11</v>
      </c>
      <c r="P267" s="202">
        <v>9</v>
      </c>
      <c r="Q267" s="202">
        <v>9</v>
      </c>
      <c r="R267" s="162"/>
      <c r="S267" s="162"/>
    </row>
    <row r="268" spans="1:19">
      <c r="A268" s="294"/>
      <c r="B268" s="161">
        <v>0.3034722222222222</v>
      </c>
      <c r="C268" s="162">
        <v>56</v>
      </c>
      <c r="D268" s="162">
        <v>108</v>
      </c>
      <c r="E268" s="162">
        <v>123</v>
      </c>
      <c r="F268" s="162">
        <v>15</v>
      </c>
      <c r="G268" s="163">
        <v>0.8458</v>
      </c>
      <c r="I268" s="295" t="s">
        <v>786</v>
      </c>
      <c r="J268" s="295"/>
      <c r="K268" s="170">
        <v>2</v>
      </c>
      <c r="L268" s="171">
        <v>0</v>
      </c>
      <c r="M268" s="50">
        <v>1</v>
      </c>
      <c r="N268" s="171">
        <v>2</v>
      </c>
      <c r="O268" s="202">
        <v>0</v>
      </c>
      <c r="P268" s="202">
        <v>1</v>
      </c>
      <c r="Q268" s="202">
        <v>2</v>
      </c>
      <c r="R268" s="162"/>
      <c r="S268" s="162"/>
    </row>
    <row r="269" spans="1:19">
      <c r="A269" s="294"/>
      <c r="B269" s="164"/>
      <c r="C269" s="165"/>
      <c r="D269" s="165"/>
      <c r="E269" s="165"/>
      <c r="F269" s="165"/>
      <c r="G269" s="166"/>
      <c r="I269" s="295" t="s">
        <v>787</v>
      </c>
      <c r="J269" s="295"/>
      <c r="K269" s="170">
        <v>16</v>
      </c>
      <c r="L269" s="171">
        <v>16</v>
      </c>
      <c r="M269" s="50">
        <v>22</v>
      </c>
      <c r="N269" s="171">
        <v>13</v>
      </c>
      <c r="O269" s="202">
        <v>15</v>
      </c>
      <c r="P269" s="202">
        <v>19</v>
      </c>
      <c r="Q269" s="202">
        <v>18</v>
      </c>
      <c r="R269" s="162"/>
      <c r="S269" s="162"/>
    </row>
    <row r="270" spans="1:19">
      <c r="A270" s="294"/>
      <c r="B270" s="161"/>
      <c r="C270" s="162"/>
      <c r="D270" s="162"/>
      <c r="E270" s="162"/>
      <c r="F270" s="162"/>
      <c r="G270" s="163"/>
      <c r="I270" s="295" t="s">
        <v>788</v>
      </c>
      <c r="J270" s="295"/>
      <c r="K270" s="170">
        <v>0</v>
      </c>
      <c r="L270" s="171">
        <v>0</v>
      </c>
      <c r="M270" s="50">
        <v>0</v>
      </c>
      <c r="N270" s="171">
        <v>0</v>
      </c>
      <c r="O270" s="202">
        <v>0</v>
      </c>
      <c r="P270" s="202">
        <v>0</v>
      </c>
      <c r="Q270" s="202">
        <v>0</v>
      </c>
      <c r="R270" s="162"/>
      <c r="S270" s="162"/>
    </row>
    <row r="271" spans="1:19">
      <c r="A271" s="294"/>
      <c r="B271" s="164"/>
      <c r="C271" s="165"/>
      <c r="D271" s="165"/>
      <c r="E271" s="165"/>
      <c r="F271" s="165"/>
      <c r="G271" s="166"/>
      <c r="I271" s="295" t="s">
        <v>789</v>
      </c>
      <c r="J271" s="295"/>
      <c r="K271" s="170">
        <v>6</v>
      </c>
      <c r="L271" s="171">
        <v>6</v>
      </c>
      <c r="M271" s="50">
        <v>5</v>
      </c>
      <c r="N271" s="171">
        <v>4</v>
      </c>
      <c r="O271" s="202">
        <v>5</v>
      </c>
      <c r="P271" s="202">
        <v>5</v>
      </c>
      <c r="Q271" s="202">
        <v>9</v>
      </c>
      <c r="R271" s="162"/>
      <c r="S271" s="162"/>
    </row>
    <row r="272" spans="1:19">
      <c r="A272" s="63"/>
      <c r="B272" s="63"/>
      <c r="C272" s="63"/>
      <c r="D272" s="63"/>
      <c r="E272" s="63"/>
      <c r="F272" s="63"/>
      <c r="G272" s="63"/>
      <c r="I272" s="295" t="s">
        <v>790</v>
      </c>
      <c r="J272" s="295"/>
      <c r="K272" s="170">
        <v>6</v>
      </c>
      <c r="L272" s="171">
        <v>8</v>
      </c>
      <c r="M272" s="50">
        <v>8</v>
      </c>
      <c r="N272" s="171">
        <v>8</v>
      </c>
      <c r="O272" s="202">
        <v>9</v>
      </c>
      <c r="P272" s="202">
        <v>9</v>
      </c>
      <c r="Q272" s="202">
        <v>8</v>
      </c>
      <c r="R272" s="162"/>
      <c r="S272" s="162"/>
    </row>
    <row r="273" spans="1:19">
      <c r="A273" s="63"/>
      <c r="B273" s="63"/>
      <c r="C273" s="63"/>
      <c r="D273" s="63"/>
      <c r="E273" s="63"/>
      <c r="F273" s="63"/>
      <c r="G273" s="63"/>
      <c r="I273" s="295" t="s">
        <v>791</v>
      </c>
      <c r="J273" s="295"/>
      <c r="K273" s="170">
        <v>24</v>
      </c>
      <c r="L273" s="171">
        <v>26</v>
      </c>
      <c r="M273" s="50">
        <v>23</v>
      </c>
      <c r="N273" s="171">
        <v>26</v>
      </c>
      <c r="O273" s="202">
        <v>30</v>
      </c>
      <c r="P273" s="202">
        <v>29</v>
      </c>
      <c r="Q273" s="202">
        <v>28</v>
      </c>
      <c r="R273" s="162"/>
      <c r="S273" s="162"/>
    </row>
    <row r="274" spans="1:19">
      <c r="A274" s="63"/>
      <c r="B274" s="63"/>
      <c r="C274" s="63"/>
      <c r="D274" s="63"/>
      <c r="E274" s="63"/>
      <c r="F274" s="63"/>
      <c r="G274" s="63"/>
      <c r="I274" s="296" t="s">
        <v>792</v>
      </c>
      <c r="J274" s="296"/>
      <c r="K274" s="170">
        <v>5</v>
      </c>
      <c r="L274" s="171">
        <v>5</v>
      </c>
      <c r="M274" s="50">
        <v>3</v>
      </c>
      <c r="N274" s="171">
        <v>6</v>
      </c>
      <c r="O274" s="202">
        <v>4</v>
      </c>
      <c r="P274" s="202">
        <v>2</v>
      </c>
      <c r="Q274" s="202">
        <v>3</v>
      </c>
      <c r="R274" s="162"/>
      <c r="S274" s="162"/>
    </row>
    <row r="275" spans="1:19" ht="17.25" thickBot="1">
      <c r="A275" s="63"/>
      <c r="B275" s="63"/>
      <c r="C275" s="63"/>
      <c r="D275" s="63"/>
      <c r="E275" s="63"/>
      <c r="F275" s="63"/>
      <c r="G275" s="63"/>
      <c r="I275" s="297" t="s">
        <v>793</v>
      </c>
      <c r="J275" s="297"/>
      <c r="K275" s="172">
        <f t="shared" ref="K275:S275" si="49">SUM(K264:K274)</f>
        <v>74</v>
      </c>
      <c r="L275" s="205">
        <f t="shared" si="49"/>
        <v>83</v>
      </c>
      <c r="M275" s="205">
        <f t="shared" si="49"/>
        <v>88</v>
      </c>
      <c r="N275" s="205">
        <f t="shared" si="49"/>
        <v>81</v>
      </c>
      <c r="O275" s="174">
        <f t="shared" si="49"/>
        <v>85</v>
      </c>
      <c r="P275" s="174">
        <f t="shared" si="49"/>
        <v>83</v>
      </c>
      <c r="Q275" s="174">
        <f t="shared" si="49"/>
        <v>84</v>
      </c>
      <c r="R275" s="175">
        <f t="shared" si="49"/>
        <v>0</v>
      </c>
      <c r="S275" s="175">
        <f t="shared" si="49"/>
        <v>0</v>
      </c>
    </row>
    <row r="276" spans="1:19" ht="17.25" thickBot="1">
      <c r="A276" s="63"/>
      <c r="B276" s="63"/>
      <c r="C276" s="63"/>
      <c r="D276" s="63"/>
      <c r="E276" s="63"/>
      <c r="F276" s="63"/>
      <c r="G276" s="63"/>
      <c r="I276" s="298" t="s">
        <v>794</v>
      </c>
      <c r="J276" s="299"/>
      <c r="K276" s="176">
        <f t="shared" ref="K276" si="50">S255-K275</f>
        <v>-74</v>
      </c>
      <c r="L276" s="177">
        <f t="shared" ref="L276" si="51">K275-L275</f>
        <v>-9</v>
      </c>
      <c r="M276" s="177">
        <f t="shared" ref="M276" si="52">K275-M275</f>
        <v>-14</v>
      </c>
      <c r="N276" s="177">
        <f t="shared" ref="N276" si="53">K275-N275</f>
        <v>-7</v>
      </c>
      <c r="O276" s="178">
        <f t="shared" ref="O276" si="54">K275-O275</f>
        <v>-11</v>
      </c>
      <c r="P276" s="178">
        <f t="shared" ref="P276" si="55">K275-P275</f>
        <v>-9</v>
      </c>
      <c r="Q276" s="178">
        <f t="shared" ref="Q276" si="56">K275-Q275</f>
        <v>-10</v>
      </c>
      <c r="R276" s="179">
        <f t="shared" ref="R276" si="57">K275-R275</f>
        <v>74</v>
      </c>
      <c r="S276" s="180">
        <f t="shared" ref="S276" si="58">L275-S275</f>
        <v>83</v>
      </c>
    </row>
    <row r="277" spans="1:19">
      <c r="A277" s="63"/>
      <c r="B277" s="63"/>
      <c r="C277" s="63"/>
      <c r="D277" s="63"/>
      <c r="E277" s="63"/>
      <c r="F277" s="63"/>
      <c r="G277" s="63"/>
      <c r="I277" s="300" t="s">
        <v>795</v>
      </c>
      <c r="J277" s="301"/>
      <c r="K277" s="181">
        <v>205</v>
      </c>
      <c r="L277" s="182">
        <v>204</v>
      </c>
      <c r="M277" s="182">
        <v>234</v>
      </c>
      <c r="N277" s="182">
        <v>205</v>
      </c>
      <c r="O277" s="183">
        <v>205</v>
      </c>
      <c r="P277" s="182">
        <v>196</v>
      </c>
      <c r="Q277" s="182">
        <v>195</v>
      </c>
      <c r="R277" s="182"/>
      <c r="S277" s="182"/>
    </row>
    <row r="278" spans="1:19">
      <c r="A278" s="63"/>
      <c r="B278" s="63"/>
      <c r="C278" s="63"/>
      <c r="D278" s="63"/>
      <c r="E278" s="63"/>
      <c r="F278" s="63"/>
      <c r="G278" s="63"/>
      <c r="I278" s="302" t="s">
        <v>796</v>
      </c>
      <c r="J278" s="302"/>
      <c r="K278" s="184">
        <v>69</v>
      </c>
      <c r="L278" s="203">
        <v>57</v>
      </c>
      <c r="M278" s="203">
        <v>70</v>
      </c>
      <c r="N278" s="203">
        <v>67</v>
      </c>
      <c r="O278" s="203">
        <v>49</v>
      </c>
      <c r="P278" s="203">
        <v>48</v>
      </c>
      <c r="Q278" s="203">
        <v>57</v>
      </c>
      <c r="R278" s="203"/>
      <c r="S278" s="203"/>
    </row>
    <row r="279" spans="1:19">
      <c r="A279" s="63"/>
      <c r="B279" s="63"/>
      <c r="C279" s="63"/>
      <c r="D279" s="63"/>
      <c r="E279" s="63"/>
      <c r="F279" s="63"/>
      <c r="G279" s="63"/>
      <c r="I279" s="302" t="s">
        <v>797</v>
      </c>
      <c r="J279" s="302"/>
      <c r="K279" s="184">
        <v>136</v>
      </c>
      <c r="L279" s="203">
        <v>147</v>
      </c>
      <c r="M279" s="203">
        <v>164</v>
      </c>
      <c r="N279" s="203">
        <v>138</v>
      </c>
      <c r="O279" s="203">
        <v>156</v>
      </c>
      <c r="P279" s="203">
        <v>148</v>
      </c>
      <c r="Q279" s="203">
        <v>138</v>
      </c>
      <c r="R279" s="203"/>
      <c r="S279" s="203"/>
    </row>
    <row r="280" spans="1:19">
      <c r="A280" s="63"/>
      <c r="B280" s="63"/>
      <c r="C280" s="63"/>
      <c r="D280" s="63"/>
      <c r="E280" s="63"/>
      <c r="F280" s="63"/>
      <c r="G280" s="63"/>
      <c r="I280" s="303" t="s">
        <v>798</v>
      </c>
      <c r="J280" s="303"/>
      <c r="K280" s="184"/>
      <c r="L280" s="185"/>
      <c r="M280" s="185"/>
      <c r="N280" s="185"/>
      <c r="O280" s="185"/>
      <c r="P280" s="204"/>
      <c r="Q280" s="204"/>
      <c r="R280" s="204"/>
      <c r="S280" s="204"/>
    </row>
    <row r="281" spans="1:19">
      <c r="A281" s="3" t="s">
        <v>801</v>
      </c>
      <c r="B281" s="201" t="s">
        <v>802</v>
      </c>
      <c r="C281" s="201" t="s">
        <v>803</v>
      </c>
      <c r="D281" s="201" t="s">
        <v>119</v>
      </c>
      <c r="E281" s="201" t="s">
        <v>148</v>
      </c>
      <c r="F281" s="201" t="s">
        <v>806</v>
      </c>
      <c r="G281" s="201" t="s">
        <v>81</v>
      </c>
      <c r="I281" s="187"/>
      <c r="J281" s="187"/>
      <c r="K281" s="187"/>
      <c r="L281" s="188"/>
      <c r="M281" s="188"/>
      <c r="N281" s="188"/>
      <c r="O281" s="188"/>
      <c r="P281" s="187"/>
      <c r="Q281" s="187"/>
      <c r="R281" s="187"/>
      <c r="S281" s="187"/>
    </row>
    <row r="282" spans="1:19">
      <c r="A282" s="293">
        <v>44053</v>
      </c>
      <c r="B282" s="161">
        <v>0.3034722222222222</v>
      </c>
      <c r="C282" s="162">
        <v>56</v>
      </c>
      <c r="D282" s="162">
        <v>108</v>
      </c>
      <c r="E282" s="162">
        <v>123</v>
      </c>
      <c r="F282" s="162">
        <v>15</v>
      </c>
      <c r="G282" s="163">
        <v>0.8458</v>
      </c>
      <c r="I282" s="191"/>
      <c r="J282" s="190"/>
      <c r="K282" s="190"/>
      <c r="L282" s="190"/>
      <c r="M282" s="190">
        <v>44053</v>
      </c>
      <c r="N282" s="189" t="s">
        <v>864</v>
      </c>
      <c r="O282" s="189"/>
      <c r="P282" s="189"/>
      <c r="Q282" s="189"/>
      <c r="R282" s="189"/>
      <c r="S282" s="189"/>
    </row>
    <row r="283" spans="1:19">
      <c r="A283" s="294"/>
      <c r="B283" s="164">
        <v>0.47013888888888888</v>
      </c>
      <c r="C283" s="165">
        <v>62</v>
      </c>
      <c r="D283" s="165">
        <v>20</v>
      </c>
      <c r="E283" s="165">
        <v>26</v>
      </c>
      <c r="F283" s="165">
        <v>6</v>
      </c>
      <c r="G283" s="166">
        <v>0.83699999999999997</v>
      </c>
      <c r="I283" s="304"/>
      <c r="J283" s="304"/>
      <c r="K283" s="167">
        <v>0.3034722222222222</v>
      </c>
      <c r="L283" s="168">
        <v>0.47013888888888888</v>
      </c>
      <c r="M283" s="168">
        <v>0.6381944444444444</v>
      </c>
      <c r="N283" s="168">
        <v>0.80347222222222225</v>
      </c>
      <c r="O283" s="169"/>
      <c r="P283" s="169"/>
      <c r="Q283" s="169"/>
      <c r="R283" s="161"/>
      <c r="S283" s="161"/>
    </row>
    <row r="284" spans="1:19">
      <c r="A284" s="294"/>
      <c r="B284" s="161">
        <v>0.6381944444444444</v>
      </c>
      <c r="C284" s="162">
        <v>68</v>
      </c>
      <c r="D284" s="162">
        <v>31</v>
      </c>
      <c r="E284" s="162">
        <v>49</v>
      </c>
      <c r="F284" s="162">
        <v>18</v>
      </c>
      <c r="G284" s="163">
        <v>0.83240000000000003</v>
      </c>
      <c r="I284" s="295" t="s">
        <v>782</v>
      </c>
      <c r="J284" s="296"/>
      <c r="K284" s="170">
        <v>6</v>
      </c>
      <c r="L284" s="171">
        <v>13</v>
      </c>
      <c r="M284" s="50">
        <v>16</v>
      </c>
      <c r="N284" s="171">
        <v>16</v>
      </c>
      <c r="O284" s="202"/>
      <c r="P284" s="202"/>
      <c r="Q284" s="202"/>
      <c r="R284" s="162"/>
      <c r="S284" s="162"/>
    </row>
    <row r="285" spans="1:19">
      <c r="A285" s="294"/>
      <c r="B285" s="164">
        <v>0.80347222222222225</v>
      </c>
      <c r="C285" s="165">
        <v>65</v>
      </c>
      <c r="D285" s="165">
        <v>36</v>
      </c>
      <c r="E285" s="165">
        <v>59</v>
      </c>
      <c r="F285" s="165">
        <v>23</v>
      </c>
      <c r="G285" s="166">
        <v>0.83199999999999996</v>
      </c>
      <c r="I285" s="295" t="s">
        <v>783</v>
      </c>
      <c r="J285" s="295"/>
      <c r="K285" s="170">
        <v>0</v>
      </c>
      <c r="L285" s="171">
        <v>2</v>
      </c>
      <c r="M285" s="50">
        <v>1</v>
      </c>
      <c r="N285" s="171">
        <v>0</v>
      </c>
      <c r="O285" s="202"/>
      <c r="P285" s="202"/>
      <c r="Q285" s="202"/>
      <c r="R285" s="162"/>
      <c r="S285" s="162"/>
    </row>
    <row r="286" spans="1:19">
      <c r="A286" s="294"/>
      <c r="B286" s="161"/>
      <c r="C286" s="162"/>
      <c r="D286" s="162"/>
      <c r="E286" s="162"/>
      <c r="F286" s="162"/>
      <c r="G286" s="163"/>
      <c r="I286" s="295" t="s">
        <v>784</v>
      </c>
      <c r="J286" s="295"/>
      <c r="K286" s="170">
        <v>1</v>
      </c>
      <c r="L286" s="171">
        <v>1</v>
      </c>
      <c r="M286" s="50">
        <v>1</v>
      </c>
      <c r="N286" s="171">
        <v>1</v>
      </c>
      <c r="O286" s="202"/>
      <c r="P286" s="202"/>
      <c r="Q286" s="202"/>
      <c r="R286" s="162"/>
      <c r="S286" s="162"/>
    </row>
    <row r="287" spans="1:19">
      <c r="A287" s="294"/>
      <c r="B287" s="164"/>
      <c r="C287" s="165"/>
      <c r="D287" s="165"/>
      <c r="E287" s="165"/>
      <c r="F287" s="165"/>
      <c r="G287" s="166"/>
      <c r="I287" s="295" t="s">
        <v>785</v>
      </c>
      <c r="J287" s="295"/>
      <c r="K287" s="170">
        <v>9</v>
      </c>
      <c r="L287" s="171">
        <v>8</v>
      </c>
      <c r="M287" s="50">
        <v>5</v>
      </c>
      <c r="N287" s="171">
        <v>4</v>
      </c>
      <c r="O287" s="202"/>
      <c r="P287" s="202"/>
      <c r="Q287" s="202"/>
      <c r="R287" s="162"/>
      <c r="S287" s="162"/>
    </row>
    <row r="288" spans="1:19">
      <c r="A288" s="294"/>
      <c r="B288" s="161"/>
      <c r="C288" s="162"/>
      <c r="D288" s="162"/>
      <c r="E288" s="162"/>
      <c r="F288" s="162"/>
      <c r="G288" s="163"/>
      <c r="I288" s="295" t="s">
        <v>786</v>
      </c>
      <c r="J288" s="295"/>
      <c r="K288" s="170">
        <v>2</v>
      </c>
      <c r="L288" s="171">
        <v>0</v>
      </c>
      <c r="M288" s="50">
        <v>0</v>
      </c>
      <c r="N288" s="171">
        <v>1</v>
      </c>
      <c r="O288" s="202"/>
      <c r="P288" s="202"/>
      <c r="Q288" s="202"/>
      <c r="R288" s="162"/>
      <c r="S288" s="162"/>
    </row>
    <row r="289" spans="1:19">
      <c r="A289" s="294"/>
      <c r="B289" s="164"/>
      <c r="C289" s="165"/>
      <c r="D289" s="165"/>
      <c r="E289" s="165"/>
      <c r="F289" s="165"/>
      <c r="G289" s="166"/>
      <c r="I289" s="295" t="s">
        <v>787</v>
      </c>
      <c r="J289" s="295"/>
      <c r="K289" s="170">
        <v>18</v>
      </c>
      <c r="L289" s="171">
        <v>17</v>
      </c>
      <c r="M289" s="50">
        <v>15</v>
      </c>
      <c r="N289" s="171">
        <v>13</v>
      </c>
      <c r="O289" s="202"/>
      <c r="P289" s="202"/>
      <c r="Q289" s="202"/>
      <c r="R289" s="162"/>
      <c r="S289" s="162"/>
    </row>
    <row r="290" spans="1:19">
      <c r="A290" s="294"/>
      <c r="B290" s="161"/>
      <c r="C290" s="162"/>
      <c r="D290" s="162"/>
      <c r="E290" s="162"/>
      <c r="F290" s="162"/>
      <c r="G290" s="163"/>
      <c r="I290" s="295" t="s">
        <v>788</v>
      </c>
      <c r="J290" s="295"/>
      <c r="K290" s="170">
        <v>0</v>
      </c>
      <c r="L290" s="171">
        <v>0</v>
      </c>
      <c r="M290" s="50">
        <v>0</v>
      </c>
      <c r="N290" s="171">
        <v>0</v>
      </c>
      <c r="O290" s="202"/>
      <c r="P290" s="202"/>
      <c r="Q290" s="202"/>
      <c r="R290" s="162"/>
      <c r="S290" s="162"/>
    </row>
    <row r="291" spans="1:19">
      <c r="A291" s="294"/>
      <c r="B291" s="164"/>
      <c r="C291" s="165"/>
      <c r="D291" s="165"/>
      <c r="E291" s="165"/>
      <c r="F291" s="165"/>
      <c r="G291" s="166"/>
      <c r="I291" s="295" t="s">
        <v>789</v>
      </c>
      <c r="J291" s="295"/>
      <c r="K291" s="170">
        <v>9</v>
      </c>
      <c r="L291" s="171">
        <v>12</v>
      </c>
      <c r="M291" s="50">
        <v>9</v>
      </c>
      <c r="N291" s="171">
        <v>11</v>
      </c>
      <c r="O291" s="202"/>
      <c r="P291" s="202"/>
      <c r="Q291" s="202"/>
      <c r="R291" s="162"/>
      <c r="S291" s="162"/>
    </row>
    <row r="292" spans="1:19">
      <c r="A292" s="63"/>
      <c r="B292" s="63"/>
      <c r="C292" s="63"/>
      <c r="D292" s="63"/>
      <c r="E292" s="63"/>
      <c r="F292" s="63"/>
      <c r="G292" s="63"/>
      <c r="I292" s="295" t="s">
        <v>790</v>
      </c>
      <c r="J292" s="295"/>
      <c r="K292" s="170">
        <v>8</v>
      </c>
      <c r="L292" s="171">
        <v>10</v>
      </c>
      <c r="M292" s="50">
        <v>10</v>
      </c>
      <c r="N292" s="171">
        <v>7</v>
      </c>
      <c r="O292" s="202"/>
      <c r="P292" s="202"/>
      <c r="Q292" s="202"/>
      <c r="R292" s="162"/>
      <c r="S292" s="162"/>
    </row>
    <row r="293" spans="1:19">
      <c r="A293" s="63"/>
      <c r="B293" s="63"/>
      <c r="C293" s="63"/>
      <c r="D293" s="63"/>
      <c r="E293" s="63"/>
      <c r="F293" s="63"/>
      <c r="G293" s="63"/>
      <c r="I293" s="295" t="s">
        <v>791</v>
      </c>
      <c r="J293" s="295"/>
      <c r="K293" s="170">
        <v>28</v>
      </c>
      <c r="L293" s="171">
        <v>26</v>
      </c>
      <c r="M293" s="50">
        <v>30</v>
      </c>
      <c r="N293" s="171">
        <v>33</v>
      </c>
      <c r="O293" s="202"/>
      <c r="P293" s="202"/>
      <c r="Q293" s="202"/>
      <c r="R293" s="162"/>
      <c r="S293" s="162"/>
    </row>
    <row r="294" spans="1:19">
      <c r="A294" s="63"/>
      <c r="B294" s="63"/>
      <c r="C294" s="63"/>
      <c r="D294" s="63"/>
      <c r="E294" s="63"/>
      <c r="F294" s="63"/>
      <c r="G294" s="63"/>
      <c r="I294" s="296" t="s">
        <v>792</v>
      </c>
      <c r="J294" s="296"/>
      <c r="K294" s="170">
        <v>3</v>
      </c>
      <c r="L294" s="171">
        <v>6</v>
      </c>
      <c r="M294" s="50">
        <v>5</v>
      </c>
      <c r="N294" s="171">
        <v>6</v>
      </c>
      <c r="O294" s="202"/>
      <c r="P294" s="202"/>
      <c r="Q294" s="202"/>
      <c r="R294" s="162"/>
      <c r="S294" s="162"/>
    </row>
    <row r="295" spans="1:19" ht="17.25" thickBot="1">
      <c r="A295" s="63"/>
      <c r="B295" s="63"/>
      <c r="C295" s="63"/>
      <c r="D295" s="63"/>
      <c r="E295" s="63"/>
      <c r="F295" s="63"/>
      <c r="G295" s="63"/>
      <c r="I295" s="297" t="s">
        <v>793</v>
      </c>
      <c r="J295" s="297"/>
      <c r="K295" s="172">
        <f t="shared" ref="K295:S295" si="59">SUM(K284:K294)</f>
        <v>84</v>
      </c>
      <c r="L295" s="205">
        <f t="shared" si="59"/>
        <v>95</v>
      </c>
      <c r="M295" s="205">
        <f t="shared" si="59"/>
        <v>92</v>
      </c>
      <c r="N295" s="205">
        <f t="shared" si="59"/>
        <v>92</v>
      </c>
      <c r="O295" s="174">
        <f t="shared" si="59"/>
        <v>0</v>
      </c>
      <c r="P295" s="174">
        <f t="shared" si="59"/>
        <v>0</v>
      </c>
      <c r="Q295" s="174">
        <f t="shared" si="59"/>
        <v>0</v>
      </c>
      <c r="R295" s="175">
        <f t="shared" si="59"/>
        <v>0</v>
      </c>
      <c r="S295" s="175">
        <f t="shared" si="59"/>
        <v>0</v>
      </c>
    </row>
    <row r="296" spans="1:19" ht="17.25" thickBot="1">
      <c r="A296" s="63"/>
      <c r="B296" s="63"/>
      <c r="C296" s="63"/>
      <c r="D296" s="63"/>
      <c r="E296" s="63"/>
      <c r="F296" s="63"/>
      <c r="G296" s="63"/>
      <c r="I296" s="298" t="s">
        <v>794</v>
      </c>
      <c r="J296" s="299"/>
      <c r="K296" s="176">
        <f t="shared" ref="K296" si="60">S275-K295</f>
        <v>-84</v>
      </c>
      <c r="L296" s="177">
        <f t="shared" ref="L296" si="61">K295-L295</f>
        <v>-11</v>
      </c>
      <c r="M296" s="177">
        <f t="shared" ref="M296" si="62">K295-M295</f>
        <v>-8</v>
      </c>
      <c r="N296" s="177">
        <f t="shared" ref="N296" si="63">K295-N295</f>
        <v>-8</v>
      </c>
      <c r="O296" s="178">
        <f t="shared" ref="O296" si="64">K295-O295</f>
        <v>84</v>
      </c>
      <c r="P296" s="178">
        <f t="shared" ref="P296" si="65">K295-P295</f>
        <v>84</v>
      </c>
      <c r="Q296" s="178">
        <f t="shared" ref="Q296" si="66">K295-Q295</f>
        <v>84</v>
      </c>
      <c r="R296" s="179">
        <f t="shared" ref="R296" si="67">K295-R295</f>
        <v>84</v>
      </c>
      <c r="S296" s="180">
        <f t="shared" ref="S296" si="68">L295-S295</f>
        <v>95</v>
      </c>
    </row>
    <row r="297" spans="1:19">
      <c r="A297" s="63"/>
      <c r="B297" s="63"/>
      <c r="C297" s="63"/>
      <c r="D297" s="63"/>
      <c r="E297" s="63"/>
      <c r="F297" s="63"/>
      <c r="G297" s="63"/>
      <c r="I297" s="300" t="s">
        <v>795</v>
      </c>
      <c r="J297" s="301"/>
      <c r="K297" s="181">
        <v>195</v>
      </c>
      <c r="L297" s="182">
        <v>207</v>
      </c>
      <c r="M297" s="182">
        <v>213</v>
      </c>
      <c r="N297" s="182">
        <v>210</v>
      </c>
      <c r="O297" s="183"/>
      <c r="P297" s="182"/>
      <c r="Q297" s="182"/>
      <c r="R297" s="182"/>
      <c r="S297" s="182"/>
    </row>
    <row r="298" spans="1:19">
      <c r="A298" s="63"/>
      <c r="B298" s="63"/>
      <c r="C298" s="63"/>
      <c r="D298" s="63"/>
      <c r="E298" s="63"/>
      <c r="F298" s="63"/>
      <c r="G298" s="63"/>
      <c r="I298" s="302" t="s">
        <v>796</v>
      </c>
      <c r="J298" s="302"/>
      <c r="K298" s="184">
        <v>57</v>
      </c>
      <c r="L298" s="203">
        <v>63</v>
      </c>
      <c r="M298" s="203">
        <v>69</v>
      </c>
      <c r="N298" s="203">
        <v>63</v>
      </c>
      <c r="O298" s="203"/>
      <c r="P298" s="203"/>
      <c r="Q298" s="203"/>
      <c r="R298" s="203"/>
      <c r="S298" s="203"/>
    </row>
    <row r="299" spans="1:19">
      <c r="A299" s="63"/>
      <c r="B299" s="63"/>
      <c r="C299" s="63"/>
      <c r="D299" s="63"/>
      <c r="E299" s="63"/>
      <c r="F299" s="63"/>
      <c r="G299" s="63"/>
      <c r="I299" s="302" t="s">
        <v>797</v>
      </c>
      <c r="J299" s="302"/>
      <c r="K299" s="184">
        <v>138</v>
      </c>
      <c r="L299" s="203">
        <v>144</v>
      </c>
      <c r="M299" s="203">
        <v>144</v>
      </c>
      <c r="N299" s="203">
        <v>147</v>
      </c>
      <c r="O299" s="203"/>
      <c r="P299" s="203"/>
      <c r="Q299" s="203"/>
      <c r="R299" s="203"/>
      <c r="S299" s="203"/>
    </row>
    <row r="300" spans="1:19">
      <c r="A300" s="63"/>
      <c r="B300" s="63"/>
      <c r="C300" s="63"/>
      <c r="D300" s="63"/>
      <c r="E300" s="63"/>
      <c r="F300" s="63"/>
      <c r="G300" s="63"/>
      <c r="I300" s="303" t="s">
        <v>798</v>
      </c>
      <c r="J300" s="303"/>
      <c r="K300" s="184"/>
      <c r="L300" s="185"/>
      <c r="M300" s="185"/>
      <c r="N300" s="185"/>
      <c r="O300" s="185"/>
      <c r="P300" s="204"/>
      <c r="Q300" s="204"/>
      <c r="R300" s="204"/>
      <c r="S300" s="204"/>
    </row>
    <row r="301" spans="1:19">
      <c r="A301" s="3" t="s">
        <v>801</v>
      </c>
      <c r="B301" s="201" t="s">
        <v>802</v>
      </c>
      <c r="C301" s="201" t="s">
        <v>803</v>
      </c>
      <c r="D301" s="201" t="s">
        <v>119</v>
      </c>
      <c r="E301" s="201" t="s">
        <v>148</v>
      </c>
      <c r="F301" s="201" t="s">
        <v>806</v>
      </c>
      <c r="G301" s="201" t="s">
        <v>81</v>
      </c>
      <c r="I301" s="187"/>
      <c r="J301" s="187"/>
      <c r="K301" s="187"/>
      <c r="L301" s="188"/>
      <c r="M301" s="188"/>
      <c r="N301" s="188"/>
      <c r="O301" s="188"/>
      <c r="P301" s="187"/>
      <c r="Q301" s="187"/>
      <c r="R301" s="187"/>
      <c r="S301" s="187"/>
    </row>
    <row r="302" spans="1:19">
      <c r="A302" s="293">
        <v>44054</v>
      </c>
      <c r="B302" s="161">
        <v>0.30208333333333331</v>
      </c>
      <c r="C302" s="162">
        <v>93</v>
      </c>
      <c r="D302" s="162">
        <v>91</v>
      </c>
      <c r="E302" s="162">
        <v>125</v>
      </c>
      <c r="F302" s="162">
        <v>34</v>
      </c>
      <c r="G302" s="163">
        <v>0.85540000000000005</v>
      </c>
      <c r="I302" s="191"/>
      <c r="J302" s="190"/>
      <c r="K302" s="190"/>
      <c r="L302" s="190"/>
      <c r="M302" s="190">
        <v>44054</v>
      </c>
      <c r="N302" s="189" t="s">
        <v>864</v>
      </c>
      <c r="O302" s="189"/>
      <c r="P302" s="189"/>
      <c r="Q302" s="189"/>
      <c r="R302" s="189"/>
      <c r="S302" s="189"/>
    </row>
    <row r="303" spans="1:19">
      <c r="A303" s="294"/>
      <c r="B303" s="164">
        <v>0.47569444444444442</v>
      </c>
      <c r="C303" s="165">
        <v>115</v>
      </c>
      <c r="D303" s="165">
        <v>13</v>
      </c>
      <c r="E303" s="165">
        <v>34</v>
      </c>
      <c r="F303" s="165">
        <v>21</v>
      </c>
      <c r="G303" s="166">
        <v>0.8458</v>
      </c>
      <c r="I303" s="304"/>
      <c r="J303" s="304"/>
      <c r="K303" s="167">
        <v>0.30208333333333331</v>
      </c>
      <c r="L303" s="168">
        <v>0.47569444444444442</v>
      </c>
      <c r="M303" s="168">
        <v>0.63263888888888886</v>
      </c>
      <c r="N303" s="168">
        <v>0.7993055555555556</v>
      </c>
      <c r="O303" s="169">
        <v>0.96597222222222223</v>
      </c>
      <c r="P303" s="169">
        <v>0.13263888888888889</v>
      </c>
      <c r="Q303" s="169">
        <v>0.29930555555555555</v>
      </c>
      <c r="R303" s="161"/>
      <c r="S303" s="161"/>
    </row>
    <row r="304" spans="1:19">
      <c r="A304" s="294"/>
      <c r="B304" s="161">
        <v>0.63263888888888886</v>
      </c>
      <c r="C304" s="162">
        <v>120</v>
      </c>
      <c r="D304" s="162">
        <v>29</v>
      </c>
      <c r="E304" s="162">
        <v>54</v>
      </c>
      <c r="F304" s="162">
        <v>25</v>
      </c>
      <c r="G304" s="163">
        <v>0.84840000000000004</v>
      </c>
      <c r="I304" s="295" t="s">
        <v>782</v>
      </c>
      <c r="J304" s="296"/>
      <c r="K304" s="170">
        <v>13</v>
      </c>
      <c r="L304" s="171">
        <v>8</v>
      </c>
      <c r="M304" s="50">
        <v>5</v>
      </c>
      <c r="N304" s="171">
        <v>5</v>
      </c>
      <c r="O304" s="202">
        <v>7</v>
      </c>
      <c r="P304" s="202">
        <v>6</v>
      </c>
      <c r="Q304" s="202">
        <v>7</v>
      </c>
      <c r="R304" s="162"/>
      <c r="S304" s="162"/>
    </row>
    <row r="305" spans="1:19">
      <c r="A305" s="294"/>
      <c r="B305" s="164">
        <v>0.7993055555555556</v>
      </c>
      <c r="C305" s="165">
        <v>119</v>
      </c>
      <c r="D305" s="165">
        <v>50</v>
      </c>
      <c r="E305" s="165">
        <v>67</v>
      </c>
      <c r="F305" s="165">
        <v>17</v>
      </c>
      <c r="G305" s="166">
        <v>0.8468</v>
      </c>
      <c r="I305" s="295" t="s">
        <v>783</v>
      </c>
      <c r="J305" s="295"/>
      <c r="K305" s="170">
        <v>0</v>
      </c>
      <c r="L305" s="171">
        <v>0</v>
      </c>
      <c r="M305" s="50">
        <v>0</v>
      </c>
      <c r="N305" s="171">
        <v>1</v>
      </c>
      <c r="O305" s="202">
        <v>0</v>
      </c>
      <c r="P305" s="202">
        <v>1</v>
      </c>
      <c r="Q305" s="202">
        <v>1</v>
      </c>
      <c r="R305" s="162"/>
      <c r="S305" s="162"/>
    </row>
    <row r="306" spans="1:19">
      <c r="A306" s="294"/>
      <c r="B306" s="161">
        <v>0.96597222222222223</v>
      </c>
      <c r="C306" s="162">
        <v>137</v>
      </c>
      <c r="D306" s="162">
        <v>73</v>
      </c>
      <c r="E306" s="162">
        <v>89</v>
      </c>
      <c r="F306" s="162">
        <v>16</v>
      </c>
      <c r="G306" s="163">
        <v>0.85880000000000001</v>
      </c>
      <c r="I306" s="295" t="s">
        <v>784</v>
      </c>
      <c r="J306" s="295"/>
      <c r="K306" s="170">
        <v>1</v>
      </c>
      <c r="L306" s="171">
        <v>1</v>
      </c>
      <c r="M306" s="50">
        <v>2</v>
      </c>
      <c r="N306" s="171">
        <v>3</v>
      </c>
      <c r="O306" s="202">
        <v>3</v>
      </c>
      <c r="P306" s="202">
        <v>5</v>
      </c>
      <c r="Q306" s="202">
        <v>3</v>
      </c>
      <c r="R306" s="162"/>
      <c r="S306" s="162"/>
    </row>
    <row r="307" spans="1:19">
      <c r="A307" s="294"/>
      <c r="B307" s="164">
        <v>0.13263888888888889</v>
      </c>
      <c r="C307" s="165">
        <v>135</v>
      </c>
      <c r="D307" s="165">
        <v>87</v>
      </c>
      <c r="E307" s="165">
        <v>112</v>
      </c>
      <c r="F307" s="165">
        <v>25</v>
      </c>
      <c r="G307" s="166">
        <v>0.85529999999999995</v>
      </c>
      <c r="I307" s="295" t="s">
        <v>785</v>
      </c>
      <c r="J307" s="295"/>
      <c r="K307" s="170">
        <v>11</v>
      </c>
      <c r="L307" s="171">
        <v>11</v>
      </c>
      <c r="M307" s="50">
        <v>11</v>
      </c>
      <c r="N307" s="171">
        <v>10</v>
      </c>
      <c r="O307" s="202">
        <v>7</v>
      </c>
      <c r="P307" s="202">
        <v>7</v>
      </c>
      <c r="Q307" s="202">
        <v>6</v>
      </c>
      <c r="R307" s="162"/>
      <c r="S307" s="162"/>
    </row>
    <row r="308" spans="1:19">
      <c r="A308" s="294"/>
      <c r="B308" s="161">
        <v>0.29930555555555555</v>
      </c>
      <c r="C308" s="162">
        <v>111</v>
      </c>
      <c r="D308" s="162">
        <v>105</v>
      </c>
      <c r="E308" s="162">
        <v>119</v>
      </c>
      <c r="F308" s="162">
        <v>14</v>
      </c>
      <c r="G308" s="163">
        <v>0.85099999999999998</v>
      </c>
      <c r="I308" s="295" t="s">
        <v>786</v>
      </c>
      <c r="J308" s="295"/>
      <c r="K308" s="170">
        <v>0</v>
      </c>
      <c r="L308" s="171">
        <v>4</v>
      </c>
      <c r="M308" s="50">
        <v>4</v>
      </c>
      <c r="N308" s="171">
        <v>4</v>
      </c>
      <c r="O308" s="202">
        <v>6</v>
      </c>
      <c r="P308" s="202">
        <v>5</v>
      </c>
      <c r="Q308" s="202">
        <v>6</v>
      </c>
      <c r="R308" s="162"/>
      <c r="S308" s="162"/>
    </row>
    <row r="309" spans="1:19">
      <c r="A309" s="294"/>
      <c r="B309" s="164"/>
      <c r="C309" s="165"/>
      <c r="D309" s="165"/>
      <c r="E309" s="165"/>
      <c r="F309" s="165"/>
      <c r="G309" s="166"/>
      <c r="I309" s="295" t="s">
        <v>787</v>
      </c>
      <c r="J309" s="295"/>
      <c r="K309" s="170">
        <v>12</v>
      </c>
      <c r="L309" s="171">
        <v>17</v>
      </c>
      <c r="M309" s="50">
        <v>14</v>
      </c>
      <c r="N309" s="171">
        <v>15</v>
      </c>
      <c r="O309" s="202">
        <v>11</v>
      </c>
      <c r="P309" s="202">
        <v>15</v>
      </c>
      <c r="Q309" s="202">
        <v>12</v>
      </c>
      <c r="R309" s="162"/>
      <c r="S309" s="162"/>
    </row>
    <row r="310" spans="1:19">
      <c r="A310" s="294"/>
      <c r="B310" s="161"/>
      <c r="C310" s="162"/>
      <c r="D310" s="162"/>
      <c r="E310" s="162"/>
      <c r="F310" s="162"/>
      <c r="G310" s="163"/>
      <c r="I310" s="295" t="s">
        <v>788</v>
      </c>
      <c r="J310" s="295"/>
      <c r="K310" s="170">
        <v>0</v>
      </c>
      <c r="L310" s="171">
        <v>0</v>
      </c>
      <c r="M310" s="50">
        <v>0</v>
      </c>
      <c r="N310" s="171">
        <v>0</v>
      </c>
      <c r="O310" s="202">
        <v>0</v>
      </c>
      <c r="P310" s="202">
        <v>0</v>
      </c>
      <c r="Q310" s="202">
        <v>0</v>
      </c>
      <c r="R310" s="162"/>
      <c r="S310" s="162"/>
    </row>
    <row r="311" spans="1:19">
      <c r="A311" s="294"/>
      <c r="B311" s="164"/>
      <c r="C311" s="165"/>
      <c r="D311" s="165"/>
      <c r="E311" s="165"/>
      <c r="F311" s="165"/>
      <c r="G311" s="166"/>
      <c r="I311" s="295" t="s">
        <v>789</v>
      </c>
      <c r="J311" s="295"/>
      <c r="K311" s="170">
        <v>5</v>
      </c>
      <c r="L311" s="171">
        <v>6</v>
      </c>
      <c r="M311" s="50">
        <v>4</v>
      </c>
      <c r="N311" s="171">
        <v>4</v>
      </c>
      <c r="O311" s="202">
        <v>2</v>
      </c>
      <c r="P311" s="202">
        <v>1</v>
      </c>
      <c r="Q311" s="202">
        <v>1</v>
      </c>
      <c r="R311" s="162"/>
      <c r="S311" s="162"/>
    </row>
    <row r="312" spans="1:19">
      <c r="A312" s="63"/>
      <c r="B312" s="63"/>
      <c r="C312" s="63"/>
      <c r="D312" s="63"/>
      <c r="E312" s="63"/>
      <c r="F312" s="63"/>
      <c r="G312" s="63"/>
      <c r="I312" s="295" t="s">
        <v>790</v>
      </c>
      <c r="J312" s="295"/>
      <c r="K312" s="170">
        <v>0</v>
      </c>
      <c r="L312" s="171">
        <v>2</v>
      </c>
      <c r="M312" s="50">
        <v>2</v>
      </c>
      <c r="N312" s="171">
        <v>1</v>
      </c>
      <c r="O312" s="202">
        <v>1</v>
      </c>
      <c r="P312" s="202">
        <v>2</v>
      </c>
      <c r="Q312" s="202">
        <v>3</v>
      </c>
      <c r="R312" s="162"/>
      <c r="S312" s="162"/>
    </row>
    <row r="313" spans="1:19">
      <c r="A313" s="63"/>
      <c r="B313" s="63"/>
      <c r="C313" s="63"/>
      <c r="D313" s="63"/>
      <c r="E313" s="63"/>
      <c r="F313" s="63"/>
      <c r="G313" s="63"/>
      <c r="I313" s="295" t="s">
        <v>791</v>
      </c>
      <c r="J313" s="295"/>
      <c r="K313" s="170">
        <v>23</v>
      </c>
      <c r="L313" s="171">
        <v>26</v>
      </c>
      <c r="M313" s="50">
        <v>27</v>
      </c>
      <c r="N313" s="171">
        <v>27</v>
      </c>
      <c r="O313" s="202">
        <v>26</v>
      </c>
      <c r="P313" s="202">
        <v>27</v>
      </c>
      <c r="Q313" s="202">
        <v>30</v>
      </c>
      <c r="R313" s="162"/>
      <c r="S313" s="162"/>
    </row>
    <row r="314" spans="1:19">
      <c r="A314" s="63"/>
      <c r="B314" s="63"/>
      <c r="C314" s="63"/>
      <c r="D314" s="63"/>
      <c r="E314" s="63"/>
      <c r="F314" s="63"/>
      <c r="G314" s="63"/>
      <c r="I314" s="296" t="s">
        <v>792</v>
      </c>
      <c r="J314" s="296"/>
      <c r="K314" s="170">
        <v>7</v>
      </c>
      <c r="L314" s="171">
        <v>4</v>
      </c>
      <c r="M314" s="50">
        <v>0</v>
      </c>
      <c r="N314" s="171">
        <v>0</v>
      </c>
      <c r="O314" s="202">
        <v>0</v>
      </c>
      <c r="P314" s="202">
        <v>1</v>
      </c>
      <c r="Q314" s="202">
        <v>2</v>
      </c>
      <c r="R314" s="162"/>
      <c r="S314" s="162"/>
    </row>
    <row r="315" spans="1:19" ht="17.25" thickBot="1">
      <c r="A315" s="63"/>
      <c r="B315" s="63"/>
      <c r="C315" s="63"/>
      <c r="D315" s="63"/>
      <c r="E315" s="63"/>
      <c r="F315" s="63"/>
      <c r="G315" s="63"/>
      <c r="I315" s="297" t="s">
        <v>793</v>
      </c>
      <c r="J315" s="297"/>
      <c r="K315" s="172">
        <f t="shared" ref="K315:S315" si="69">SUM(K304:K314)</f>
        <v>72</v>
      </c>
      <c r="L315" s="205">
        <f t="shared" si="69"/>
        <v>79</v>
      </c>
      <c r="M315" s="205">
        <f t="shared" si="69"/>
        <v>69</v>
      </c>
      <c r="N315" s="205">
        <f t="shared" si="69"/>
        <v>70</v>
      </c>
      <c r="O315" s="174">
        <f t="shared" si="69"/>
        <v>63</v>
      </c>
      <c r="P315" s="174">
        <f t="shared" si="69"/>
        <v>70</v>
      </c>
      <c r="Q315" s="174">
        <f t="shared" si="69"/>
        <v>71</v>
      </c>
      <c r="R315" s="175">
        <f t="shared" si="69"/>
        <v>0</v>
      </c>
      <c r="S315" s="175">
        <f t="shared" si="69"/>
        <v>0</v>
      </c>
    </row>
    <row r="316" spans="1:19" ht="17.25" thickBot="1">
      <c r="A316" s="63"/>
      <c r="B316" s="63"/>
      <c r="C316" s="63"/>
      <c r="D316" s="63"/>
      <c r="E316" s="63"/>
      <c r="F316" s="63"/>
      <c r="G316" s="63"/>
      <c r="I316" s="298" t="s">
        <v>794</v>
      </c>
      <c r="J316" s="299"/>
      <c r="K316" s="176">
        <f t="shared" ref="K316" si="70">S295-K315</f>
        <v>-72</v>
      </c>
      <c r="L316" s="177">
        <f t="shared" ref="L316" si="71">K315-L315</f>
        <v>-7</v>
      </c>
      <c r="M316" s="177">
        <f t="shared" ref="M316" si="72">K315-M315</f>
        <v>3</v>
      </c>
      <c r="N316" s="177">
        <f t="shared" ref="N316" si="73">K315-N315</f>
        <v>2</v>
      </c>
      <c r="O316" s="178">
        <f t="shared" ref="O316" si="74">K315-O315</f>
        <v>9</v>
      </c>
      <c r="P316" s="178">
        <f t="shared" ref="P316" si="75">K315-P315</f>
        <v>2</v>
      </c>
      <c r="Q316" s="178">
        <f t="shared" ref="Q316" si="76">K315-Q315</f>
        <v>1</v>
      </c>
      <c r="R316" s="179">
        <f t="shared" ref="R316" si="77">K315-R315</f>
        <v>72</v>
      </c>
      <c r="S316" s="180">
        <f t="shared" ref="S316" si="78">L315-S315</f>
        <v>79</v>
      </c>
    </row>
    <row r="317" spans="1:19">
      <c r="A317" s="63"/>
      <c r="B317" s="63"/>
      <c r="C317" s="63"/>
      <c r="D317" s="63"/>
      <c r="E317" s="63"/>
      <c r="F317" s="63"/>
      <c r="G317" s="63"/>
      <c r="I317" s="300" t="s">
        <v>795</v>
      </c>
      <c r="J317" s="301"/>
      <c r="K317" s="181">
        <v>248</v>
      </c>
      <c r="L317" s="182">
        <v>270</v>
      </c>
      <c r="M317" s="182">
        <v>283</v>
      </c>
      <c r="N317" s="182">
        <v>258</v>
      </c>
      <c r="O317" s="183">
        <v>293</v>
      </c>
      <c r="P317" s="182">
        <v>272</v>
      </c>
      <c r="Q317" s="182">
        <v>258</v>
      </c>
      <c r="R317" s="182"/>
      <c r="S317" s="182"/>
    </row>
    <row r="318" spans="1:19">
      <c r="A318" s="63"/>
      <c r="B318" s="63"/>
      <c r="C318" s="63"/>
      <c r="D318" s="63"/>
      <c r="E318" s="63"/>
      <c r="F318" s="63"/>
      <c r="G318" s="63"/>
      <c r="I318" s="302" t="s">
        <v>796</v>
      </c>
      <c r="J318" s="302"/>
      <c r="K318" s="184">
        <v>97</v>
      </c>
      <c r="L318" s="203">
        <v>115</v>
      </c>
      <c r="M318" s="203">
        <v>120</v>
      </c>
      <c r="N318" s="203">
        <v>117</v>
      </c>
      <c r="O318" s="203">
        <v>135</v>
      </c>
      <c r="P318" s="203">
        <v>138</v>
      </c>
      <c r="Q318" s="203">
        <v>114</v>
      </c>
      <c r="R318" s="203"/>
      <c r="S318" s="203"/>
    </row>
    <row r="319" spans="1:19">
      <c r="A319" s="63"/>
      <c r="B319" s="63"/>
      <c r="C319" s="63"/>
      <c r="D319" s="63"/>
      <c r="E319" s="63"/>
      <c r="F319" s="63"/>
      <c r="G319" s="63"/>
      <c r="I319" s="302" t="s">
        <v>797</v>
      </c>
      <c r="J319" s="302"/>
      <c r="K319" s="184">
        <v>151</v>
      </c>
      <c r="L319" s="203">
        <v>155</v>
      </c>
      <c r="M319" s="203">
        <v>163</v>
      </c>
      <c r="N319" s="203">
        <v>141</v>
      </c>
      <c r="O319" s="203">
        <v>158</v>
      </c>
      <c r="P319" s="203">
        <v>134</v>
      </c>
      <c r="Q319" s="203">
        <v>144</v>
      </c>
      <c r="R319" s="203"/>
      <c r="S319" s="203"/>
    </row>
    <row r="320" spans="1:19">
      <c r="A320" s="63"/>
      <c r="B320" s="63"/>
      <c r="C320" s="63"/>
      <c r="D320" s="63"/>
      <c r="E320" s="63"/>
      <c r="F320" s="63"/>
      <c r="G320" s="63"/>
      <c r="I320" s="303" t="s">
        <v>798</v>
      </c>
      <c r="J320" s="303"/>
      <c r="K320" s="184"/>
      <c r="L320" s="185"/>
      <c r="M320" s="185"/>
      <c r="N320" s="185"/>
      <c r="O320" s="185"/>
      <c r="P320" s="204"/>
      <c r="Q320" s="204"/>
      <c r="R320" s="204"/>
      <c r="S320" s="204"/>
    </row>
    <row r="321" spans="1:19">
      <c r="A321" s="3" t="s">
        <v>801</v>
      </c>
      <c r="B321" s="201" t="s">
        <v>802</v>
      </c>
      <c r="C321" s="201" t="s">
        <v>803</v>
      </c>
      <c r="D321" s="201" t="s">
        <v>119</v>
      </c>
      <c r="E321" s="201" t="s">
        <v>148</v>
      </c>
      <c r="F321" s="201" t="s">
        <v>806</v>
      </c>
      <c r="G321" s="201" t="s">
        <v>81</v>
      </c>
      <c r="I321" s="187"/>
      <c r="J321" s="187"/>
      <c r="K321" s="187"/>
      <c r="L321" s="188"/>
      <c r="M321" s="188"/>
      <c r="N321" s="188"/>
      <c r="O321" s="188"/>
      <c r="P321" s="187"/>
      <c r="Q321" s="187"/>
      <c r="R321" s="187"/>
      <c r="S321" s="187"/>
    </row>
    <row r="322" spans="1:19">
      <c r="A322" s="293">
        <v>44055</v>
      </c>
      <c r="B322" s="161">
        <v>0.29930555555555555</v>
      </c>
      <c r="C322" s="162">
        <v>111</v>
      </c>
      <c r="D322" s="162">
        <v>105</v>
      </c>
      <c r="E322" s="162">
        <v>119</v>
      </c>
      <c r="F322" s="162">
        <v>14</v>
      </c>
      <c r="G322" s="163">
        <v>0.85099999999999998</v>
      </c>
      <c r="I322" s="191"/>
      <c r="J322" s="190"/>
      <c r="K322" s="190"/>
      <c r="L322" s="190"/>
      <c r="M322" s="190">
        <v>44055</v>
      </c>
      <c r="N322" s="189" t="s">
        <v>864</v>
      </c>
      <c r="O322" s="189"/>
      <c r="P322" s="189"/>
      <c r="Q322" s="189"/>
      <c r="R322" s="189"/>
      <c r="S322" s="189"/>
    </row>
    <row r="323" spans="1:19">
      <c r="A323" s="294"/>
      <c r="B323" s="164">
        <v>0.46597222222222223</v>
      </c>
      <c r="C323" s="165">
        <v>108</v>
      </c>
      <c r="D323" s="165">
        <v>13</v>
      </c>
      <c r="E323" s="165">
        <v>23</v>
      </c>
      <c r="F323" s="165">
        <v>10</v>
      </c>
      <c r="G323" s="166">
        <v>0.84330000000000005</v>
      </c>
      <c r="I323" s="304"/>
      <c r="J323" s="304"/>
      <c r="K323" s="167">
        <v>0.29930555555555555</v>
      </c>
      <c r="L323" s="168">
        <v>0.46597222222222223</v>
      </c>
      <c r="M323" s="168">
        <v>0.63263888888888886</v>
      </c>
      <c r="N323" s="168">
        <v>0.7993055555555556</v>
      </c>
      <c r="O323" s="169">
        <v>0.96597222222222223</v>
      </c>
      <c r="P323" s="169">
        <v>0.13263888888888889</v>
      </c>
      <c r="Q323" s="169">
        <v>0.29930555555555555</v>
      </c>
      <c r="R323" s="161"/>
      <c r="S323" s="161"/>
    </row>
    <row r="324" spans="1:19">
      <c r="A324" s="294"/>
      <c r="B324" s="161">
        <v>0.63263888888888886</v>
      </c>
      <c r="C324" s="162">
        <v>126</v>
      </c>
      <c r="D324" s="162">
        <v>25</v>
      </c>
      <c r="E324" s="162">
        <v>48</v>
      </c>
      <c r="F324" s="162">
        <v>23</v>
      </c>
      <c r="G324" s="163">
        <v>0.83989999999999998</v>
      </c>
      <c r="I324" s="295" t="s">
        <v>782</v>
      </c>
      <c r="J324" s="296"/>
      <c r="K324" s="170">
        <v>7</v>
      </c>
      <c r="L324" s="171">
        <v>12</v>
      </c>
      <c r="M324" s="50">
        <v>13</v>
      </c>
      <c r="N324" s="171">
        <v>14</v>
      </c>
      <c r="O324" s="202">
        <v>11</v>
      </c>
      <c r="P324" s="202">
        <v>13</v>
      </c>
      <c r="Q324" s="202">
        <v>9</v>
      </c>
      <c r="R324" s="162"/>
      <c r="S324" s="162"/>
    </row>
    <row r="325" spans="1:19">
      <c r="A325" s="294"/>
      <c r="B325" s="164">
        <v>0.7993055555555556</v>
      </c>
      <c r="C325" s="165">
        <v>116</v>
      </c>
      <c r="D325" s="165">
        <v>41</v>
      </c>
      <c r="E325" s="165">
        <v>68</v>
      </c>
      <c r="F325" s="165">
        <v>27</v>
      </c>
      <c r="G325" s="166">
        <v>0.83389999999999997</v>
      </c>
      <c r="I325" s="295" t="s">
        <v>783</v>
      </c>
      <c r="J325" s="295"/>
      <c r="K325" s="170">
        <v>1</v>
      </c>
      <c r="L325" s="171">
        <v>0</v>
      </c>
      <c r="M325" s="50">
        <v>0</v>
      </c>
      <c r="N325" s="171">
        <v>0</v>
      </c>
      <c r="O325" s="202">
        <v>1</v>
      </c>
      <c r="P325" s="202">
        <v>0</v>
      </c>
      <c r="Q325" s="202">
        <v>0</v>
      </c>
      <c r="R325" s="162"/>
      <c r="S325" s="162"/>
    </row>
    <row r="326" spans="1:19">
      <c r="A326" s="294"/>
      <c r="B326" s="161">
        <v>0.96597222222222223</v>
      </c>
      <c r="C326" s="162">
        <v>128</v>
      </c>
      <c r="D326" s="162">
        <v>57</v>
      </c>
      <c r="E326" s="162">
        <v>89</v>
      </c>
      <c r="F326" s="162">
        <v>32</v>
      </c>
      <c r="G326" s="163">
        <v>0.8357</v>
      </c>
      <c r="I326" s="295" t="s">
        <v>784</v>
      </c>
      <c r="J326" s="295"/>
      <c r="K326" s="170">
        <v>3</v>
      </c>
      <c r="L326" s="171">
        <v>3</v>
      </c>
      <c r="M326" s="50">
        <v>1</v>
      </c>
      <c r="N326" s="171">
        <v>1</v>
      </c>
      <c r="O326" s="202">
        <v>1</v>
      </c>
      <c r="P326" s="202">
        <v>1</v>
      </c>
      <c r="Q326" s="202">
        <v>1</v>
      </c>
      <c r="R326" s="162"/>
      <c r="S326" s="162"/>
    </row>
    <row r="327" spans="1:19">
      <c r="A327" s="294"/>
      <c r="B327" s="164">
        <v>0.13263888888888889</v>
      </c>
      <c r="C327" s="165">
        <v>116</v>
      </c>
      <c r="D327" s="165">
        <v>76</v>
      </c>
      <c r="E327" s="165">
        <v>100</v>
      </c>
      <c r="F327" s="165">
        <v>24</v>
      </c>
      <c r="G327" s="166">
        <v>0.82840000000000003</v>
      </c>
      <c r="I327" s="295" t="s">
        <v>785</v>
      </c>
      <c r="J327" s="295"/>
      <c r="K327" s="170">
        <v>6</v>
      </c>
      <c r="L327" s="171">
        <v>5</v>
      </c>
      <c r="M327" s="50">
        <v>6</v>
      </c>
      <c r="N327" s="171">
        <v>4</v>
      </c>
      <c r="O327" s="202">
        <v>3</v>
      </c>
      <c r="P327" s="202">
        <v>5</v>
      </c>
      <c r="Q327" s="202">
        <v>5</v>
      </c>
      <c r="R327" s="162"/>
      <c r="S327" s="162"/>
    </row>
    <row r="328" spans="1:19">
      <c r="A328" s="294"/>
      <c r="B328" s="161">
        <v>0.29930555555555555</v>
      </c>
      <c r="C328" s="162">
        <v>125</v>
      </c>
      <c r="D328" s="162">
        <v>97</v>
      </c>
      <c r="E328" s="162">
        <v>108</v>
      </c>
      <c r="F328" s="162">
        <v>11</v>
      </c>
      <c r="G328" s="163">
        <v>0.83209999999999995</v>
      </c>
      <c r="I328" s="295" t="s">
        <v>786</v>
      </c>
      <c r="J328" s="295"/>
      <c r="K328" s="170">
        <v>6</v>
      </c>
      <c r="L328" s="171">
        <v>4</v>
      </c>
      <c r="M328" s="50">
        <v>7</v>
      </c>
      <c r="N328" s="171">
        <v>4</v>
      </c>
      <c r="O328" s="202">
        <v>4</v>
      </c>
      <c r="P328" s="202">
        <v>4</v>
      </c>
      <c r="Q328" s="202">
        <v>5</v>
      </c>
      <c r="R328" s="162"/>
      <c r="S328" s="162"/>
    </row>
    <row r="329" spans="1:19">
      <c r="A329" s="294"/>
      <c r="B329" s="164"/>
      <c r="C329" s="165"/>
      <c r="D329" s="165"/>
      <c r="E329" s="165"/>
      <c r="F329" s="165"/>
      <c r="G329" s="166"/>
      <c r="I329" s="295" t="s">
        <v>787</v>
      </c>
      <c r="J329" s="295"/>
      <c r="K329" s="170">
        <v>12</v>
      </c>
      <c r="L329" s="171">
        <v>17</v>
      </c>
      <c r="M329" s="50">
        <v>17</v>
      </c>
      <c r="N329" s="171">
        <v>20</v>
      </c>
      <c r="O329" s="202">
        <v>16</v>
      </c>
      <c r="P329" s="202">
        <v>22</v>
      </c>
      <c r="Q329" s="202">
        <v>20</v>
      </c>
      <c r="R329" s="162"/>
      <c r="S329" s="162"/>
    </row>
    <row r="330" spans="1:19">
      <c r="A330" s="294"/>
      <c r="B330" s="161"/>
      <c r="C330" s="162"/>
      <c r="D330" s="162"/>
      <c r="E330" s="162"/>
      <c r="F330" s="162"/>
      <c r="G330" s="163"/>
      <c r="I330" s="295" t="s">
        <v>788</v>
      </c>
      <c r="J330" s="295"/>
      <c r="K330" s="170">
        <v>0</v>
      </c>
      <c r="L330" s="171">
        <v>0</v>
      </c>
      <c r="M330" s="50">
        <v>0</v>
      </c>
      <c r="N330" s="171">
        <v>0</v>
      </c>
      <c r="O330" s="202">
        <v>0</v>
      </c>
      <c r="P330" s="202">
        <v>0</v>
      </c>
      <c r="Q330" s="202">
        <v>0</v>
      </c>
      <c r="R330" s="162"/>
      <c r="S330" s="162"/>
    </row>
    <row r="331" spans="1:19">
      <c r="A331" s="294"/>
      <c r="B331" s="164"/>
      <c r="C331" s="165"/>
      <c r="D331" s="165"/>
      <c r="E331" s="165"/>
      <c r="F331" s="165"/>
      <c r="G331" s="166"/>
      <c r="I331" s="295" t="s">
        <v>789</v>
      </c>
      <c r="J331" s="295"/>
      <c r="K331" s="170">
        <v>1</v>
      </c>
      <c r="L331" s="171">
        <v>4</v>
      </c>
      <c r="M331" s="50">
        <v>4</v>
      </c>
      <c r="N331" s="171">
        <v>4</v>
      </c>
      <c r="O331" s="202">
        <v>4</v>
      </c>
      <c r="P331" s="202">
        <v>7</v>
      </c>
      <c r="Q331" s="202">
        <v>7</v>
      </c>
      <c r="R331" s="162"/>
      <c r="S331" s="162"/>
    </row>
    <row r="332" spans="1:19">
      <c r="A332" s="63"/>
      <c r="B332" s="63"/>
      <c r="C332" s="63"/>
      <c r="D332" s="63"/>
      <c r="E332" s="63"/>
      <c r="F332" s="63"/>
      <c r="G332" s="63"/>
      <c r="I332" s="295" t="s">
        <v>790</v>
      </c>
      <c r="J332" s="295"/>
      <c r="K332" s="170">
        <v>3</v>
      </c>
      <c r="L332" s="171">
        <v>4</v>
      </c>
      <c r="M332" s="50">
        <v>3</v>
      </c>
      <c r="N332" s="171">
        <v>5</v>
      </c>
      <c r="O332" s="202">
        <v>3</v>
      </c>
      <c r="P332" s="202">
        <v>2</v>
      </c>
      <c r="Q332" s="202">
        <v>1</v>
      </c>
      <c r="R332" s="162"/>
      <c r="S332" s="162"/>
    </row>
    <row r="333" spans="1:19">
      <c r="A333" s="63"/>
      <c r="B333" s="63"/>
      <c r="C333" s="63"/>
      <c r="D333" s="63"/>
      <c r="E333" s="63"/>
      <c r="F333" s="63"/>
      <c r="G333" s="63"/>
      <c r="I333" s="295" t="s">
        <v>791</v>
      </c>
      <c r="J333" s="295"/>
      <c r="K333" s="170">
        <v>30</v>
      </c>
      <c r="L333" s="171">
        <v>30</v>
      </c>
      <c r="M333" s="50">
        <v>25</v>
      </c>
      <c r="N333" s="171">
        <v>26</v>
      </c>
      <c r="O333" s="202">
        <v>26</v>
      </c>
      <c r="P333" s="202">
        <v>24</v>
      </c>
      <c r="Q333" s="202">
        <v>26</v>
      </c>
      <c r="R333" s="162"/>
      <c r="S333" s="162"/>
    </row>
    <row r="334" spans="1:19">
      <c r="A334" s="63"/>
      <c r="B334" s="63"/>
      <c r="C334" s="63"/>
      <c r="D334" s="63"/>
      <c r="E334" s="63"/>
      <c r="F334" s="63"/>
      <c r="G334" s="63"/>
      <c r="I334" s="296" t="s">
        <v>792</v>
      </c>
      <c r="J334" s="296"/>
      <c r="K334" s="170">
        <v>2</v>
      </c>
      <c r="L334" s="171">
        <v>1</v>
      </c>
      <c r="M334" s="50">
        <v>2</v>
      </c>
      <c r="N334" s="171">
        <v>3</v>
      </c>
      <c r="O334" s="202">
        <v>2</v>
      </c>
      <c r="P334" s="202">
        <v>3</v>
      </c>
      <c r="Q334" s="202">
        <v>0</v>
      </c>
      <c r="R334" s="162"/>
      <c r="S334" s="162"/>
    </row>
    <row r="335" spans="1:19" ht="17.25" thickBot="1">
      <c r="A335" s="63"/>
      <c r="B335" s="63"/>
      <c r="C335" s="63"/>
      <c r="D335" s="63"/>
      <c r="E335" s="63"/>
      <c r="F335" s="63"/>
      <c r="G335" s="63"/>
      <c r="I335" s="297" t="s">
        <v>793</v>
      </c>
      <c r="J335" s="297"/>
      <c r="K335" s="172">
        <f t="shared" ref="K335:S335" si="79">SUM(K324:K334)</f>
        <v>71</v>
      </c>
      <c r="L335" s="205">
        <f t="shared" si="79"/>
        <v>80</v>
      </c>
      <c r="M335" s="205">
        <f t="shared" si="79"/>
        <v>78</v>
      </c>
      <c r="N335" s="205">
        <f t="shared" si="79"/>
        <v>81</v>
      </c>
      <c r="O335" s="174">
        <f t="shared" si="79"/>
        <v>71</v>
      </c>
      <c r="P335" s="174">
        <f t="shared" si="79"/>
        <v>81</v>
      </c>
      <c r="Q335" s="174">
        <f t="shared" si="79"/>
        <v>74</v>
      </c>
      <c r="R335" s="175">
        <f t="shared" si="79"/>
        <v>0</v>
      </c>
      <c r="S335" s="175">
        <f t="shared" si="79"/>
        <v>0</v>
      </c>
    </row>
    <row r="336" spans="1:19" ht="17.25" thickBot="1">
      <c r="A336" s="63"/>
      <c r="B336" s="63"/>
      <c r="C336" s="63"/>
      <c r="D336" s="63"/>
      <c r="E336" s="63"/>
      <c r="F336" s="63"/>
      <c r="G336" s="63"/>
      <c r="I336" s="298" t="s">
        <v>794</v>
      </c>
      <c r="J336" s="299"/>
      <c r="K336" s="176">
        <f t="shared" ref="K336" si="80">S315-K335</f>
        <v>-71</v>
      </c>
      <c r="L336" s="177">
        <f t="shared" ref="L336" si="81">K335-L335</f>
        <v>-9</v>
      </c>
      <c r="M336" s="177">
        <f t="shared" ref="M336" si="82">K335-M335</f>
        <v>-7</v>
      </c>
      <c r="N336" s="177">
        <f t="shared" ref="N336" si="83">K335-N335</f>
        <v>-10</v>
      </c>
      <c r="O336" s="178">
        <f t="shared" ref="O336" si="84">K335-O335</f>
        <v>0</v>
      </c>
      <c r="P336" s="178">
        <f t="shared" ref="P336" si="85">K335-P335</f>
        <v>-10</v>
      </c>
      <c r="Q336" s="178">
        <f t="shared" ref="Q336" si="86">K335-Q335</f>
        <v>-3</v>
      </c>
      <c r="R336" s="179">
        <f t="shared" ref="R336" si="87">K335-R335</f>
        <v>71</v>
      </c>
      <c r="S336" s="180">
        <f t="shared" ref="S336" si="88">L335-S335</f>
        <v>80</v>
      </c>
    </row>
    <row r="337" spans="1:19">
      <c r="A337" s="63"/>
      <c r="B337" s="63"/>
      <c r="C337" s="63"/>
      <c r="D337" s="63"/>
      <c r="E337" s="63"/>
      <c r="F337" s="63"/>
      <c r="G337" s="63"/>
      <c r="I337" s="300" t="s">
        <v>795</v>
      </c>
      <c r="J337" s="301"/>
      <c r="K337" s="181">
        <v>258</v>
      </c>
      <c r="L337" s="182">
        <v>267</v>
      </c>
      <c r="M337" s="182">
        <v>281</v>
      </c>
      <c r="N337" s="182">
        <v>263</v>
      </c>
      <c r="O337" s="183">
        <v>289</v>
      </c>
      <c r="P337" s="182">
        <v>271</v>
      </c>
      <c r="Q337" s="182">
        <v>265</v>
      </c>
      <c r="R337" s="182"/>
      <c r="S337" s="182"/>
    </row>
    <row r="338" spans="1:19">
      <c r="A338" s="63"/>
      <c r="B338" s="63"/>
      <c r="C338" s="63"/>
      <c r="D338" s="63"/>
      <c r="E338" s="63"/>
      <c r="F338" s="63"/>
      <c r="G338" s="63"/>
      <c r="I338" s="302" t="s">
        <v>796</v>
      </c>
      <c r="J338" s="302"/>
      <c r="K338" s="184">
        <v>114</v>
      </c>
      <c r="L338" s="203">
        <v>113</v>
      </c>
      <c r="M338" s="203">
        <v>128</v>
      </c>
      <c r="N338" s="203">
        <v>114</v>
      </c>
      <c r="O338" s="203">
        <v>126</v>
      </c>
      <c r="P338" s="203">
        <v>115</v>
      </c>
      <c r="Q338" s="203">
        <v>124</v>
      </c>
      <c r="R338" s="203"/>
      <c r="S338" s="203"/>
    </row>
    <row r="339" spans="1:19">
      <c r="A339" s="63"/>
      <c r="B339" s="63"/>
      <c r="C339" s="63"/>
      <c r="D339" s="63"/>
      <c r="E339" s="63"/>
      <c r="F339" s="63"/>
      <c r="G339" s="63"/>
      <c r="I339" s="302" t="s">
        <v>797</v>
      </c>
      <c r="J339" s="302"/>
      <c r="K339" s="184">
        <v>144</v>
      </c>
      <c r="L339" s="203">
        <v>154</v>
      </c>
      <c r="M339" s="203">
        <v>153</v>
      </c>
      <c r="N339" s="203">
        <v>149</v>
      </c>
      <c r="O339" s="203">
        <v>163</v>
      </c>
      <c r="P339" s="203">
        <v>156</v>
      </c>
      <c r="Q339" s="203">
        <v>141</v>
      </c>
      <c r="R339" s="203"/>
      <c r="S339" s="203"/>
    </row>
    <row r="340" spans="1:19">
      <c r="A340" s="63"/>
      <c r="B340" s="63"/>
      <c r="C340" s="63"/>
      <c r="D340" s="63"/>
      <c r="E340" s="63"/>
      <c r="F340" s="63"/>
      <c r="G340" s="63"/>
      <c r="I340" s="303" t="s">
        <v>798</v>
      </c>
      <c r="J340" s="303"/>
      <c r="K340" s="184"/>
      <c r="L340" s="185"/>
      <c r="M340" s="185"/>
      <c r="N340" s="185"/>
      <c r="O340" s="185"/>
      <c r="P340" s="204"/>
      <c r="Q340" s="204"/>
      <c r="R340" s="204"/>
      <c r="S340" s="204"/>
    </row>
    <row r="341" spans="1:19">
      <c r="A341" s="3" t="s">
        <v>801</v>
      </c>
      <c r="B341" s="201" t="s">
        <v>802</v>
      </c>
      <c r="C341" s="201" t="s">
        <v>803</v>
      </c>
      <c r="D341" s="201" t="s">
        <v>119</v>
      </c>
      <c r="E341" s="201" t="s">
        <v>148</v>
      </c>
      <c r="F341" s="201" t="s">
        <v>806</v>
      </c>
      <c r="G341" s="201" t="s">
        <v>81</v>
      </c>
      <c r="I341" s="187"/>
      <c r="J341" s="187"/>
      <c r="K341" s="187"/>
      <c r="L341" s="188"/>
      <c r="M341" s="188"/>
      <c r="N341" s="188"/>
      <c r="O341" s="188"/>
      <c r="P341" s="187"/>
      <c r="Q341" s="187"/>
      <c r="R341" s="187"/>
      <c r="S341" s="187"/>
    </row>
    <row r="342" spans="1:19">
      <c r="A342" s="293">
        <v>44056</v>
      </c>
      <c r="B342" s="161">
        <v>0.29930555555555555</v>
      </c>
      <c r="C342" s="162">
        <v>125</v>
      </c>
      <c r="D342" s="162">
        <v>97</v>
      </c>
      <c r="E342" s="162">
        <v>108</v>
      </c>
      <c r="F342" s="162">
        <v>11</v>
      </c>
      <c r="G342" s="163">
        <v>0.83209999999999995</v>
      </c>
      <c r="I342" s="191"/>
      <c r="J342" s="190"/>
      <c r="K342" s="190"/>
      <c r="L342" s="190"/>
      <c r="M342" s="190">
        <v>44056</v>
      </c>
      <c r="N342" s="189" t="s">
        <v>864</v>
      </c>
      <c r="O342" s="189"/>
      <c r="P342" s="189"/>
      <c r="Q342" s="189"/>
      <c r="R342" s="189"/>
      <c r="S342" s="189"/>
    </row>
    <row r="343" spans="1:19">
      <c r="A343" s="294"/>
      <c r="B343" s="164">
        <v>0.46597222222222223</v>
      </c>
      <c r="C343" s="165">
        <v>123</v>
      </c>
      <c r="D343" s="165">
        <v>20</v>
      </c>
      <c r="E343" s="165">
        <v>22</v>
      </c>
      <c r="F343" s="165">
        <v>2</v>
      </c>
      <c r="G343" s="166">
        <v>0.82750000000000001</v>
      </c>
      <c r="I343" s="304"/>
      <c r="J343" s="304"/>
      <c r="K343" s="167">
        <v>0.29930555555555555</v>
      </c>
      <c r="L343" s="168">
        <v>0.46597222222222223</v>
      </c>
      <c r="M343" s="168">
        <v>0.63263888888888886</v>
      </c>
      <c r="N343" s="168">
        <v>0.7993055555555556</v>
      </c>
      <c r="O343" s="169">
        <v>0.96597222222222223</v>
      </c>
      <c r="P343" s="169">
        <v>0.13263888888888889</v>
      </c>
      <c r="Q343" s="169">
        <v>0.29930555555555555</v>
      </c>
      <c r="R343" s="161"/>
      <c r="S343" s="161"/>
    </row>
    <row r="344" spans="1:19">
      <c r="A344" s="294"/>
      <c r="B344" s="161">
        <v>0.63263888888888886</v>
      </c>
      <c r="C344" s="162">
        <v>102</v>
      </c>
      <c r="D344" s="162">
        <v>42</v>
      </c>
      <c r="E344" s="162">
        <v>36</v>
      </c>
      <c r="F344" s="162">
        <v>-6</v>
      </c>
      <c r="G344" s="163">
        <v>0.83809999999999996</v>
      </c>
      <c r="I344" s="295" t="s">
        <v>782</v>
      </c>
      <c r="J344" s="296"/>
      <c r="K344" s="170">
        <v>9</v>
      </c>
      <c r="L344" s="171">
        <v>12</v>
      </c>
      <c r="M344" s="50">
        <v>11</v>
      </c>
      <c r="N344" s="171">
        <v>14</v>
      </c>
      <c r="O344" s="202">
        <v>13</v>
      </c>
      <c r="P344" s="202">
        <v>10</v>
      </c>
      <c r="Q344" s="202">
        <v>14</v>
      </c>
      <c r="R344" s="162"/>
      <c r="S344" s="162"/>
    </row>
    <row r="345" spans="1:19">
      <c r="A345" s="294"/>
      <c r="B345" s="164">
        <v>0.7993055555555556</v>
      </c>
      <c r="C345" s="165">
        <v>85</v>
      </c>
      <c r="D345" s="165">
        <v>65</v>
      </c>
      <c r="E345" s="165">
        <v>51</v>
      </c>
      <c r="F345" s="165">
        <v>-14</v>
      </c>
      <c r="G345" s="166">
        <v>0.83130000000000004</v>
      </c>
      <c r="I345" s="295" t="s">
        <v>783</v>
      </c>
      <c r="J345" s="295"/>
      <c r="K345" s="170">
        <v>0</v>
      </c>
      <c r="L345" s="171">
        <v>0</v>
      </c>
      <c r="M345" s="50">
        <v>0</v>
      </c>
      <c r="N345" s="171">
        <v>1</v>
      </c>
      <c r="O345" s="202">
        <v>3</v>
      </c>
      <c r="P345" s="202">
        <v>4</v>
      </c>
      <c r="Q345" s="202">
        <v>3</v>
      </c>
      <c r="R345" s="162"/>
      <c r="S345" s="162"/>
    </row>
    <row r="346" spans="1:19">
      <c r="A346" s="294"/>
      <c r="B346" s="161">
        <v>0.96597222222222223</v>
      </c>
      <c r="C346" s="162">
        <v>75</v>
      </c>
      <c r="D346" s="162">
        <v>91</v>
      </c>
      <c r="E346" s="162">
        <v>66</v>
      </c>
      <c r="F346" s="162">
        <v>-25</v>
      </c>
      <c r="G346" s="163">
        <v>0.83409999999999995</v>
      </c>
      <c r="I346" s="295" t="s">
        <v>784</v>
      </c>
      <c r="J346" s="295"/>
      <c r="K346" s="170">
        <v>1</v>
      </c>
      <c r="L346" s="171">
        <v>2</v>
      </c>
      <c r="M346" s="50">
        <v>3</v>
      </c>
      <c r="N346" s="171">
        <v>4</v>
      </c>
      <c r="O346" s="202">
        <v>4</v>
      </c>
      <c r="P346" s="202">
        <v>3</v>
      </c>
      <c r="Q346" s="202">
        <v>3</v>
      </c>
      <c r="R346" s="162"/>
      <c r="S346" s="162"/>
    </row>
    <row r="347" spans="1:19">
      <c r="A347" s="294"/>
      <c r="B347" s="164">
        <v>0.13263888888888889</v>
      </c>
      <c r="C347" s="165">
        <v>67</v>
      </c>
      <c r="D347" s="165">
        <v>108</v>
      </c>
      <c r="E347" s="165">
        <v>88</v>
      </c>
      <c r="F347" s="165">
        <v>-20</v>
      </c>
      <c r="G347" s="166">
        <v>0.8397</v>
      </c>
      <c r="I347" s="295" t="s">
        <v>785</v>
      </c>
      <c r="J347" s="295"/>
      <c r="K347" s="170">
        <v>5</v>
      </c>
      <c r="L347" s="171">
        <v>4</v>
      </c>
      <c r="M347" s="50">
        <v>10</v>
      </c>
      <c r="N347" s="171">
        <v>9</v>
      </c>
      <c r="O347" s="202">
        <v>8</v>
      </c>
      <c r="P347" s="202">
        <v>8</v>
      </c>
      <c r="Q347" s="202">
        <v>13</v>
      </c>
      <c r="R347" s="162"/>
      <c r="S347" s="162"/>
    </row>
    <row r="348" spans="1:19">
      <c r="A348" s="294"/>
      <c r="B348" s="161">
        <v>0.29930555555555555</v>
      </c>
      <c r="C348" s="162">
        <v>63</v>
      </c>
      <c r="D348" s="162">
        <v>131</v>
      </c>
      <c r="E348" s="162">
        <v>100</v>
      </c>
      <c r="F348" s="162">
        <v>-31</v>
      </c>
      <c r="G348" s="163">
        <v>0.83609999999999995</v>
      </c>
      <c r="I348" s="295" t="s">
        <v>786</v>
      </c>
      <c r="J348" s="295"/>
      <c r="K348" s="170">
        <v>5</v>
      </c>
      <c r="L348" s="171">
        <v>5</v>
      </c>
      <c r="M348" s="50">
        <v>5</v>
      </c>
      <c r="N348" s="171">
        <v>5</v>
      </c>
      <c r="O348" s="202">
        <v>6</v>
      </c>
      <c r="P348" s="202">
        <v>5</v>
      </c>
      <c r="Q348" s="202">
        <v>5</v>
      </c>
      <c r="R348" s="162"/>
      <c r="S348" s="162"/>
    </row>
    <row r="349" spans="1:19">
      <c r="A349" s="294"/>
      <c r="B349" s="164"/>
      <c r="C349" s="165"/>
      <c r="D349" s="165"/>
      <c r="E349" s="165"/>
      <c r="F349" s="165"/>
      <c r="G349" s="166"/>
      <c r="I349" s="295" t="s">
        <v>787</v>
      </c>
      <c r="J349" s="295"/>
      <c r="K349" s="170">
        <v>20</v>
      </c>
      <c r="L349" s="171">
        <v>15</v>
      </c>
      <c r="M349" s="50">
        <v>14</v>
      </c>
      <c r="N349" s="171">
        <v>8</v>
      </c>
      <c r="O349" s="202">
        <v>10</v>
      </c>
      <c r="P349" s="202">
        <v>10</v>
      </c>
      <c r="Q349" s="202">
        <v>12</v>
      </c>
      <c r="R349" s="162"/>
      <c r="S349" s="162"/>
    </row>
    <row r="350" spans="1:19">
      <c r="A350" s="294"/>
      <c r="B350" s="161"/>
      <c r="C350" s="162"/>
      <c r="D350" s="162"/>
      <c r="E350" s="162"/>
      <c r="F350" s="162"/>
      <c r="G350" s="163"/>
      <c r="I350" s="295" t="s">
        <v>788</v>
      </c>
      <c r="J350" s="295"/>
      <c r="K350" s="170">
        <v>0</v>
      </c>
      <c r="L350" s="171">
        <v>0</v>
      </c>
      <c r="M350" s="50">
        <v>0</v>
      </c>
      <c r="N350" s="171">
        <v>0</v>
      </c>
      <c r="O350" s="202">
        <v>0</v>
      </c>
      <c r="P350" s="202">
        <v>0</v>
      </c>
      <c r="Q350" s="202">
        <v>0</v>
      </c>
      <c r="R350" s="162"/>
      <c r="S350" s="162"/>
    </row>
    <row r="351" spans="1:19">
      <c r="A351" s="294"/>
      <c r="B351" s="164"/>
      <c r="C351" s="165"/>
      <c r="D351" s="165"/>
      <c r="E351" s="165"/>
      <c r="F351" s="165"/>
      <c r="G351" s="166"/>
      <c r="I351" s="295" t="s">
        <v>789</v>
      </c>
      <c r="J351" s="295"/>
      <c r="K351" s="170">
        <v>7</v>
      </c>
      <c r="L351" s="171">
        <v>11</v>
      </c>
      <c r="M351" s="50">
        <v>9</v>
      </c>
      <c r="N351" s="171">
        <v>12</v>
      </c>
      <c r="O351" s="202">
        <v>11</v>
      </c>
      <c r="P351" s="202">
        <v>10</v>
      </c>
      <c r="Q351" s="202">
        <v>7</v>
      </c>
      <c r="R351" s="162"/>
      <c r="S351" s="162"/>
    </row>
    <row r="352" spans="1:19">
      <c r="A352" s="63"/>
      <c r="B352" s="63"/>
      <c r="C352" s="63"/>
      <c r="D352" s="63"/>
      <c r="E352" s="63"/>
      <c r="F352" s="63"/>
      <c r="G352" s="63"/>
      <c r="I352" s="295" t="s">
        <v>790</v>
      </c>
      <c r="J352" s="295"/>
      <c r="K352" s="170">
        <v>1</v>
      </c>
      <c r="L352" s="171">
        <v>2</v>
      </c>
      <c r="M352" s="50">
        <v>2</v>
      </c>
      <c r="N352" s="171">
        <v>1</v>
      </c>
      <c r="O352" s="202">
        <v>1</v>
      </c>
      <c r="P352" s="202">
        <v>1</v>
      </c>
      <c r="Q352" s="202">
        <v>1</v>
      </c>
      <c r="R352" s="162"/>
      <c r="S352" s="162"/>
    </row>
    <row r="353" spans="1:19">
      <c r="A353" s="63"/>
      <c r="B353" s="63"/>
      <c r="C353" s="63"/>
      <c r="D353" s="63"/>
      <c r="E353" s="63"/>
      <c r="F353" s="63"/>
      <c r="G353" s="63"/>
      <c r="I353" s="295" t="s">
        <v>791</v>
      </c>
      <c r="J353" s="295"/>
      <c r="K353" s="170">
        <v>26</v>
      </c>
      <c r="L353" s="171">
        <v>23</v>
      </c>
      <c r="M353" s="50">
        <v>22</v>
      </c>
      <c r="N353" s="171">
        <v>24</v>
      </c>
      <c r="O353" s="202">
        <v>24</v>
      </c>
      <c r="P353" s="202">
        <v>22</v>
      </c>
      <c r="Q353" s="202">
        <v>26</v>
      </c>
      <c r="R353" s="162"/>
      <c r="S353" s="162"/>
    </row>
    <row r="354" spans="1:19">
      <c r="A354" s="63"/>
      <c r="B354" s="63"/>
      <c r="C354" s="63"/>
      <c r="D354" s="63"/>
      <c r="E354" s="63"/>
      <c r="F354" s="63"/>
      <c r="G354" s="63"/>
      <c r="I354" s="296" t="s">
        <v>792</v>
      </c>
      <c r="J354" s="296"/>
      <c r="K354" s="170">
        <v>0</v>
      </c>
      <c r="L354" s="171">
        <v>5</v>
      </c>
      <c r="M354" s="50">
        <v>1</v>
      </c>
      <c r="N354" s="171">
        <v>2</v>
      </c>
      <c r="O354" s="202">
        <v>2</v>
      </c>
      <c r="P354" s="202">
        <v>5</v>
      </c>
      <c r="Q354" s="202">
        <v>1</v>
      </c>
      <c r="R354" s="162"/>
      <c r="S354" s="162"/>
    </row>
    <row r="355" spans="1:19" ht="17.25" thickBot="1">
      <c r="A355" s="63"/>
      <c r="B355" s="63"/>
      <c r="C355" s="63"/>
      <c r="D355" s="63"/>
      <c r="E355" s="63"/>
      <c r="F355" s="63"/>
      <c r="G355" s="63"/>
      <c r="I355" s="297" t="s">
        <v>793</v>
      </c>
      <c r="J355" s="297"/>
      <c r="K355" s="172">
        <f t="shared" ref="K355:S355" si="89">SUM(K344:K354)</f>
        <v>74</v>
      </c>
      <c r="L355" s="205">
        <f t="shared" si="89"/>
        <v>79</v>
      </c>
      <c r="M355" s="205">
        <f t="shared" si="89"/>
        <v>77</v>
      </c>
      <c r="N355" s="205">
        <f t="shared" si="89"/>
        <v>80</v>
      </c>
      <c r="O355" s="174">
        <f t="shared" si="89"/>
        <v>82</v>
      </c>
      <c r="P355" s="174">
        <f t="shared" si="89"/>
        <v>78</v>
      </c>
      <c r="Q355" s="174">
        <f t="shared" si="89"/>
        <v>85</v>
      </c>
      <c r="R355" s="175">
        <f t="shared" si="89"/>
        <v>0</v>
      </c>
      <c r="S355" s="175">
        <f t="shared" si="89"/>
        <v>0</v>
      </c>
    </row>
    <row r="356" spans="1:19" ht="17.25" thickBot="1">
      <c r="A356" s="63"/>
      <c r="B356" s="63"/>
      <c r="C356" s="63"/>
      <c r="D356" s="63"/>
      <c r="E356" s="63"/>
      <c r="F356" s="63"/>
      <c r="G356" s="63"/>
      <c r="I356" s="298" t="s">
        <v>794</v>
      </c>
      <c r="J356" s="299"/>
      <c r="K356" s="176">
        <f t="shared" ref="K356" si="90">S335-K355</f>
        <v>-74</v>
      </c>
      <c r="L356" s="177">
        <f t="shared" ref="L356" si="91">K355-L355</f>
        <v>-5</v>
      </c>
      <c r="M356" s="177">
        <f t="shared" ref="M356" si="92">K355-M355</f>
        <v>-3</v>
      </c>
      <c r="N356" s="177">
        <f t="shared" ref="N356" si="93">K355-N355</f>
        <v>-6</v>
      </c>
      <c r="O356" s="178">
        <f t="shared" ref="O356" si="94">K355-O355</f>
        <v>-8</v>
      </c>
      <c r="P356" s="178">
        <f t="shared" ref="P356" si="95">K355-P355</f>
        <v>-4</v>
      </c>
      <c r="Q356" s="178">
        <f t="shared" ref="Q356" si="96">K355-Q355</f>
        <v>-11</v>
      </c>
      <c r="R356" s="179">
        <f t="shared" ref="R356" si="97">K355-R355</f>
        <v>74</v>
      </c>
      <c r="S356" s="180">
        <f t="shared" ref="S356" si="98">L355-S355</f>
        <v>79</v>
      </c>
    </row>
    <row r="357" spans="1:19">
      <c r="A357" s="63"/>
      <c r="B357" s="63"/>
      <c r="C357" s="63"/>
      <c r="D357" s="63"/>
      <c r="E357" s="63"/>
      <c r="F357" s="63"/>
      <c r="G357" s="63"/>
      <c r="I357" s="300" t="s">
        <v>795</v>
      </c>
      <c r="J357" s="301"/>
      <c r="K357" s="181">
        <v>265</v>
      </c>
      <c r="L357" s="182">
        <v>270</v>
      </c>
      <c r="M357" s="182">
        <v>253</v>
      </c>
      <c r="N357" s="182">
        <v>246</v>
      </c>
      <c r="O357" s="183">
        <v>236</v>
      </c>
      <c r="P357" s="182">
        <v>233</v>
      </c>
      <c r="Q357" s="182">
        <v>223</v>
      </c>
      <c r="R357" s="182"/>
      <c r="S357" s="182"/>
    </row>
    <row r="358" spans="1:19">
      <c r="A358" s="63"/>
      <c r="B358" s="63"/>
      <c r="C358" s="63"/>
      <c r="D358" s="63"/>
      <c r="E358" s="63"/>
      <c r="F358" s="63"/>
      <c r="G358" s="63"/>
      <c r="I358" s="302" t="s">
        <v>796</v>
      </c>
      <c r="J358" s="302"/>
      <c r="K358" s="184">
        <v>124</v>
      </c>
      <c r="L358" s="203">
        <v>123</v>
      </c>
      <c r="M358" s="203">
        <v>104</v>
      </c>
      <c r="N358" s="203">
        <v>83</v>
      </c>
      <c r="O358" s="203">
        <v>76</v>
      </c>
      <c r="P358" s="203">
        <v>65</v>
      </c>
      <c r="Q358" s="203">
        <v>60</v>
      </c>
      <c r="R358" s="203"/>
      <c r="S358" s="203"/>
    </row>
    <row r="359" spans="1:19">
      <c r="A359" s="63"/>
      <c r="B359" s="63"/>
      <c r="C359" s="63"/>
      <c r="D359" s="63"/>
      <c r="E359" s="63"/>
      <c r="F359" s="63"/>
      <c r="G359" s="63"/>
      <c r="I359" s="302" t="s">
        <v>797</v>
      </c>
      <c r="J359" s="302"/>
      <c r="K359" s="184">
        <v>141</v>
      </c>
      <c r="L359" s="203">
        <v>147</v>
      </c>
      <c r="M359" s="203">
        <v>149</v>
      </c>
      <c r="N359" s="203">
        <v>163</v>
      </c>
      <c r="O359" s="203">
        <v>160</v>
      </c>
      <c r="P359" s="203">
        <v>168</v>
      </c>
      <c r="Q359" s="203">
        <v>163</v>
      </c>
      <c r="R359" s="203"/>
      <c r="S359" s="203"/>
    </row>
    <row r="360" spans="1:19">
      <c r="A360" s="63"/>
      <c r="B360" s="63"/>
      <c r="C360" s="63"/>
      <c r="D360" s="63"/>
      <c r="E360" s="63"/>
      <c r="F360" s="63"/>
      <c r="G360" s="63"/>
      <c r="I360" s="303" t="s">
        <v>798</v>
      </c>
      <c r="J360" s="303"/>
      <c r="K360" s="184"/>
      <c r="L360" s="185"/>
      <c r="M360" s="185"/>
      <c r="N360" s="185"/>
      <c r="O360" s="185"/>
      <c r="P360" s="204"/>
      <c r="Q360" s="204"/>
      <c r="R360" s="204"/>
      <c r="S360" s="204"/>
    </row>
    <row r="361" spans="1:19">
      <c r="A361" s="3" t="s">
        <v>801</v>
      </c>
      <c r="B361" s="201" t="s">
        <v>802</v>
      </c>
      <c r="C361" s="201" t="s">
        <v>803</v>
      </c>
      <c r="D361" s="201" t="s">
        <v>119</v>
      </c>
      <c r="E361" s="201" t="s">
        <v>148</v>
      </c>
      <c r="F361" s="201" t="s">
        <v>806</v>
      </c>
      <c r="G361" s="201" t="s">
        <v>81</v>
      </c>
      <c r="I361" s="187"/>
      <c r="J361" s="187"/>
      <c r="K361" s="187"/>
      <c r="L361" s="188"/>
      <c r="M361" s="188"/>
      <c r="N361" s="188"/>
      <c r="O361" s="188"/>
      <c r="P361" s="187"/>
      <c r="Q361" s="187"/>
      <c r="R361" s="187"/>
      <c r="S361" s="187"/>
    </row>
    <row r="362" spans="1:19">
      <c r="A362" s="293">
        <v>44057</v>
      </c>
      <c r="B362" s="161">
        <v>0.29930555555555555</v>
      </c>
      <c r="C362" s="162">
        <v>63</v>
      </c>
      <c r="D362" s="162">
        <v>131</v>
      </c>
      <c r="E362" s="162">
        <v>100</v>
      </c>
      <c r="F362" s="162">
        <v>-31</v>
      </c>
      <c r="G362" s="163">
        <v>0.83609999999999995</v>
      </c>
      <c r="I362" s="191"/>
      <c r="J362" s="190"/>
      <c r="K362" s="190"/>
      <c r="L362" s="190"/>
      <c r="M362" s="190">
        <v>44057</v>
      </c>
      <c r="N362" s="189" t="s">
        <v>864</v>
      </c>
      <c r="O362" s="189"/>
      <c r="P362" s="189"/>
      <c r="Q362" s="189"/>
      <c r="R362" s="189"/>
      <c r="S362" s="189"/>
    </row>
    <row r="363" spans="1:19">
      <c r="A363" s="294"/>
      <c r="B363" s="164">
        <v>0.46597222222222223</v>
      </c>
      <c r="C363" s="165">
        <v>56</v>
      </c>
      <c r="D363" s="165">
        <v>23</v>
      </c>
      <c r="E363" s="165">
        <v>14</v>
      </c>
      <c r="F363" s="165">
        <v>-9</v>
      </c>
      <c r="G363" s="166">
        <v>0.8508</v>
      </c>
      <c r="I363" s="304"/>
      <c r="J363" s="304"/>
      <c r="K363" s="167">
        <v>0.29930555555555555</v>
      </c>
      <c r="L363" s="168">
        <v>0.46597222222222223</v>
      </c>
      <c r="M363" s="168">
        <v>0.63263888888888886</v>
      </c>
      <c r="N363" s="168">
        <v>0.7993055555555556</v>
      </c>
      <c r="O363" s="169">
        <v>0.96597222222222223</v>
      </c>
      <c r="P363" s="169">
        <v>0.13263888888888889</v>
      </c>
      <c r="Q363" s="169">
        <v>0.29930555555555555</v>
      </c>
      <c r="R363" s="161"/>
      <c r="S363" s="161"/>
    </row>
    <row r="364" spans="1:19">
      <c r="A364" s="294"/>
      <c r="B364" s="161">
        <v>0.63263888888888886</v>
      </c>
      <c r="C364" s="162">
        <v>44</v>
      </c>
      <c r="D364" s="162">
        <v>54</v>
      </c>
      <c r="E364" s="162">
        <v>45</v>
      </c>
      <c r="F364" s="162">
        <v>-9</v>
      </c>
      <c r="G364" s="163">
        <v>0.85309999999999997</v>
      </c>
      <c r="I364" s="295" t="s">
        <v>782</v>
      </c>
      <c r="J364" s="296"/>
      <c r="K364" s="170">
        <v>14</v>
      </c>
      <c r="L364" s="171">
        <v>10</v>
      </c>
      <c r="M364" s="50">
        <v>10</v>
      </c>
      <c r="N364" s="171">
        <v>15</v>
      </c>
      <c r="O364" s="202">
        <v>11</v>
      </c>
      <c r="P364" s="202">
        <v>18</v>
      </c>
      <c r="Q364" s="202">
        <v>18</v>
      </c>
      <c r="R364" s="162"/>
      <c r="S364" s="162"/>
    </row>
    <row r="365" spans="1:19">
      <c r="A365" s="294"/>
      <c r="B365" s="164">
        <v>0.7993055555555556</v>
      </c>
      <c r="C365" s="165">
        <v>46</v>
      </c>
      <c r="D365" s="165">
        <v>60</v>
      </c>
      <c r="E365" s="165">
        <v>61</v>
      </c>
      <c r="F365" s="165">
        <v>1</v>
      </c>
      <c r="G365" s="166">
        <v>0.84930000000000005</v>
      </c>
      <c r="I365" s="295" t="s">
        <v>783</v>
      </c>
      <c r="J365" s="295"/>
      <c r="K365" s="170">
        <v>3</v>
      </c>
      <c r="L365" s="171">
        <v>3</v>
      </c>
      <c r="M365" s="50">
        <v>0</v>
      </c>
      <c r="N365" s="171">
        <v>1</v>
      </c>
      <c r="O365" s="202">
        <v>2</v>
      </c>
      <c r="P365" s="202">
        <v>2</v>
      </c>
      <c r="Q365" s="202">
        <v>0</v>
      </c>
      <c r="R365" s="162"/>
      <c r="S365" s="162"/>
    </row>
    <row r="366" spans="1:19">
      <c r="A366" s="294"/>
      <c r="B366" s="161">
        <v>0.96597222222222223</v>
      </c>
      <c r="C366" s="162">
        <v>64</v>
      </c>
      <c r="D366" s="162">
        <v>66</v>
      </c>
      <c r="E366" s="162">
        <v>81</v>
      </c>
      <c r="F366" s="162">
        <v>15</v>
      </c>
      <c r="G366" s="163">
        <v>0.87170000000000003</v>
      </c>
      <c r="I366" s="295" t="s">
        <v>784</v>
      </c>
      <c r="J366" s="295"/>
      <c r="K366" s="170">
        <v>3</v>
      </c>
      <c r="L366" s="171">
        <v>3</v>
      </c>
      <c r="M366" s="50">
        <v>4</v>
      </c>
      <c r="N366" s="171">
        <v>3</v>
      </c>
      <c r="O366" s="202">
        <v>1</v>
      </c>
      <c r="P366" s="202">
        <v>1</v>
      </c>
      <c r="Q366" s="202">
        <v>1</v>
      </c>
      <c r="R366" s="162"/>
      <c r="S366" s="162"/>
    </row>
    <row r="367" spans="1:19">
      <c r="A367" s="294"/>
      <c r="B367" s="164">
        <v>0.13263888888888889</v>
      </c>
      <c r="C367" s="165">
        <v>71</v>
      </c>
      <c r="D367" s="165">
        <v>80</v>
      </c>
      <c r="E367" s="165">
        <v>93</v>
      </c>
      <c r="F367" s="165">
        <v>13</v>
      </c>
      <c r="G367" s="166">
        <v>0.86780000000000002</v>
      </c>
      <c r="I367" s="295" t="s">
        <v>785</v>
      </c>
      <c r="J367" s="295"/>
      <c r="K367" s="170">
        <v>13</v>
      </c>
      <c r="L367" s="171">
        <v>8</v>
      </c>
      <c r="M367" s="50">
        <v>7</v>
      </c>
      <c r="N367" s="171">
        <v>9</v>
      </c>
      <c r="O367" s="202">
        <v>10</v>
      </c>
      <c r="P367" s="202">
        <v>10</v>
      </c>
      <c r="Q367" s="202">
        <v>13</v>
      </c>
      <c r="R367" s="162"/>
      <c r="S367" s="162"/>
    </row>
    <row r="368" spans="1:19">
      <c r="A368" s="294"/>
      <c r="B368" s="161">
        <v>0.29930555555555555</v>
      </c>
      <c r="C368" s="162">
        <v>82</v>
      </c>
      <c r="D368" s="162">
        <v>101</v>
      </c>
      <c r="E368" s="162">
        <v>106</v>
      </c>
      <c r="F368" s="162">
        <v>5</v>
      </c>
      <c r="G368" s="163">
        <v>0.86990000000000001</v>
      </c>
      <c r="I368" s="295" t="s">
        <v>786</v>
      </c>
      <c r="J368" s="295"/>
      <c r="K368" s="170">
        <v>5</v>
      </c>
      <c r="L368" s="171">
        <v>5</v>
      </c>
      <c r="M368" s="50">
        <v>4</v>
      </c>
      <c r="N368" s="171">
        <v>6</v>
      </c>
      <c r="O368" s="202">
        <v>1</v>
      </c>
      <c r="P368" s="202">
        <v>1</v>
      </c>
      <c r="Q368" s="202">
        <v>1</v>
      </c>
      <c r="R368" s="162"/>
      <c r="S368" s="162"/>
    </row>
    <row r="369" spans="1:19">
      <c r="A369" s="294"/>
      <c r="B369" s="164"/>
      <c r="C369" s="165"/>
      <c r="D369" s="165"/>
      <c r="E369" s="165"/>
      <c r="F369" s="165"/>
      <c r="G369" s="166"/>
      <c r="I369" s="295" t="s">
        <v>787</v>
      </c>
      <c r="J369" s="295"/>
      <c r="K369" s="170">
        <v>12</v>
      </c>
      <c r="L369" s="171">
        <v>10</v>
      </c>
      <c r="M369" s="50">
        <v>13</v>
      </c>
      <c r="N369" s="171">
        <v>9</v>
      </c>
      <c r="O369" s="202">
        <v>9</v>
      </c>
      <c r="P369" s="202">
        <v>10</v>
      </c>
      <c r="Q369" s="202">
        <v>12</v>
      </c>
      <c r="R369" s="162"/>
      <c r="S369" s="162"/>
    </row>
    <row r="370" spans="1:19">
      <c r="A370" s="294"/>
      <c r="B370" s="161"/>
      <c r="C370" s="162"/>
      <c r="D370" s="162"/>
      <c r="E370" s="162"/>
      <c r="F370" s="162"/>
      <c r="G370" s="163"/>
      <c r="I370" s="295" t="s">
        <v>788</v>
      </c>
      <c r="J370" s="295"/>
      <c r="K370" s="170">
        <v>0</v>
      </c>
      <c r="L370" s="171">
        <v>0</v>
      </c>
      <c r="M370" s="50">
        <v>0</v>
      </c>
      <c r="N370" s="171">
        <v>0</v>
      </c>
      <c r="O370" s="202">
        <v>0</v>
      </c>
      <c r="P370" s="202">
        <v>0</v>
      </c>
      <c r="Q370" s="202">
        <v>0</v>
      </c>
      <c r="R370" s="162"/>
      <c r="S370" s="162"/>
    </row>
    <row r="371" spans="1:19">
      <c r="A371" s="294"/>
      <c r="B371" s="164"/>
      <c r="C371" s="165"/>
      <c r="D371" s="165"/>
      <c r="E371" s="165"/>
      <c r="F371" s="165"/>
      <c r="G371" s="166"/>
      <c r="I371" s="295" t="s">
        <v>789</v>
      </c>
      <c r="J371" s="295"/>
      <c r="K371" s="170">
        <v>7</v>
      </c>
      <c r="L371" s="171">
        <v>10</v>
      </c>
      <c r="M371" s="50">
        <v>11</v>
      </c>
      <c r="N371" s="171">
        <v>8</v>
      </c>
      <c r="O371" s="202">
        <v>5</v>
      </c>
      <c r="P371" s="202">
        <v>5</v>
      </c>
      <c r="Q371" s="202">
        <v>3</v>
      </c>
      <c r="R371" s="162"/>
      <c r="S371" s="162"/>
    </row>
    <row r="372" spans="1:19">
      <c r="A372" s="63"/>
      <c r="B372" s="63"/>
      <c r="C372" s="63"/>
      <c r="D372" s="63"/>
      <c r="E372" s="63"/>
      <c r="F372" s="63"/>
      <c r="G372" s="63"/>
      <c r="I372" s="295" t="s">
        <v>790</v>
      </c>
      <c r="J372" s="295"/>
      <c r="K372" s="170">
        <v>1</v>
      </c>
      <c r="L372" s="171">
        <v>1</v>
      </c>
      <c r="M372" s="50">
        <v>2</v>
      </c>
      <c r="N372" s="171">
        <v>2</v>
      </c>
      <c r="O372" s="202">
        <v>4</v>
      </c>
      <c r="P372" s="202">
        <v>4</v>
      </c>
      <c r="Q372" s="202">
        <v>1</v>
      </c>
      <c r="R372" s="162"/>
      <c r="S372" s="162"/>
    </row>
    <row r="373" spans="1:19">
      <c r="A373" s="63"/>
      <c r="B373" s="63"/>
      <c r="C373" s="63"/>
      <c r="D373" s="63"/>
      <c r="E373" s="63"/>
      <c r="F373" s="63"/>
      <c r="G373" s="63"/>
      <c r="I373" s="295" t="s">
        <v>791</v>
      </c>
      <c r="J373" s="295"/>
      <c r="K373" s="170">
        <v>26</v>
      </c>
      <c r="L373" s="171">
        <v>22</v>
      </c>
      <c r="M373" s="50">
        <v>20</v>
      </c>
      <c r="N373" s="171">
        <v>21</v>
      </c>
      <c r="O373" s="202">
        <v>17</v>
      </c>
      <c r="P373" s="202">
        <v>15</v>
      </c>
      <c r="Q373" s="202">
        <v>14</v>
      </c>
      <c r="R373" s="162"/>
      <c r="S373" s="162"/>
    </row>
    <row r="374" spans="1:19">
      <c r="A374" s="63"/>
      <c r="B374" s="63"/>
      <c r="C374" s="63"/>
      <c r="D374" s="63"/>
      <c r="E374" s="63"/>
      <c r="F374" s="63"/>
      <c r="G374" s="63"/>
      <c r="I374" s="296" t="s">
        <v>792</v>
      </c>
      <c r="J374" s="296"/>
      <c r="K374" s="170">
        <v>1</v>
      </c>
      <c r="L374" s="171">
        <v>3</v>
      </c>
      <c r="M374" s="50">
        <v>3</v>
      </c>
      <c r="N374" s="171">
        <v>2</v>
      </c>
      <c r="O374" s="202">
        <v>0</v>
      </c>
      <c r="P374" s="202">
        <v>0</v>
      </c>
      <c r="Q374" s="202">
        <v>2</v>
      </c>
      <c r="R374" s="162"/>
      <c r="S374" s="162"/>
    </row>
    <row r="375" spans="1:19" ht="17.25" thickBot="1">
      <c r="A375" s="63"/>
      <c r="B375" s="63"/>
      <c r="C375" s="63"/>
      <c r="D375" s="63"/>
      <c r="E375" s="63"/>
      <c r="F375" s="63"/>
      <c r="G375" s="63"/>
      <c r="I375" s="297" t="s">
        <v>793</v>
      </c>
      <c r="J375" s="297"/>
      <c r="K375" s="172">
        <f t="shared" ref="K375:S375" si="99">SUM(K364:K374)</f>
        <v>85</v>
      </c>
      <c r="L375" s="205">
        <f t="shared" si="99"/>
        <v>75</v>
      </c>
      <c r="M375" s="205">
        <f t="shared" si="99"/>
        <v>74</v>
      </c>
      <c r="N375" s="205">
        <f t="shared" si="99"/>
        <v>76</v>
      </c>
      <c r="O375" s="174">
        <f t="shared" si="99"/>
        <v>60</v>
      </c>
      <c r="P375" s="174">
        <f t="shared" si="99"/>
        <v>66</v>
      </c>
      <c r="Q375" s="174">
        <f t="shared" si="99"/>
        <v>65</v>
      </c>
      <c r="R375" s="175">
        <f t="shared" si="99"/>
        <v>0</v>
      </c>
      <c r="S375" s="175">
        <f t="shared" si="99"/>
        <v>0</v>
      </c>
    </row>
    <row r="376" spans="1:19" ht="17.25" thickBot="1">
      <c r="A376" s="63"/>
      <c r="B376" s="63"/>
      <c r="C376" s="63"/>
      <c r="D376" s="63"/>
      <c r="E376" s="63"/>
      <c r="F376" s="63"/>
      <c r="G376" s="63"/>
      <c r="I376" s="298" t="s">
        <v>794</v>
      </c>
      <c r="J376" s="299"/>
      <c r="K376" s="176">
        <f t="shared" ref="K376" si="100">S355-K375</f>
        <v>-85</v>
      </c>
      <c r="L376" s="177">
        <f t="shared" ref="L376" si="101">K375-L375</f>
        <v>10</v>
      </c>
      <c r="M376" s="177">
        <f t="shared" ref="M376" si="102">K375-M375</f>
        <v>11</v>
      </c>
      <c r="N376" s="177">
        <f t="shared" ref="N376" si="103">K375-N375</f>
        <v>9</v>
      </c>
      <c r="O376" s="178">
        <f t="shared" ref="O376" si="104">K375-O375</f>
        <v>25</v>
      </c>
      <c r="P376" s="178">
        <f t="shared" ref="P376" si="105">K375-P375</f>
        <v>19</v>
      </c>
      <c r="Q376" s="178">
        <f t="shared" ref="Q376" si="106">K375-Q375</f>
        <v>20</v>
      </c>
      <c r="R376" s="179">
        <f t="shared" ref="R376" si="107">K375-R375</f>
        <v>85</v>
      </c>
      <c r="S376" s="180">
        <f t="shared" ref="S376" si="108">L375-S375</f>
        <v>75</v>
      </c>
    </row>
    <row r="377" spans="1:19">
      <c r="A377" s="63"/>
      <c r="B377" s="63"/>
      <c r="C377" s="63"/>
      <c r="D377" s="63"/>
      <c r="E377" s="63"/>
      <c r="F377" s="63"/>
      <c r="G377" s="63"/>
      <c r="I377" s="300" t="s">
        <v>795</v>
      </c>
      <c r="J377" s="301"/>
      <c r="K377" s="181">
        <v>223</v>
      </c>
      <c r="L377" s="182">
        <v>208</v>
      </c>
      <c r="M377" s="182">
        <v>205</v>
      </c>
      <c r="N377" s="182">
        <v>212</v>
      </c>
      <c r="O377" s="183">
        <v>215</v>
      </c>
      <c r="P377" s="182">
        <v>227</v>
      </c>
      <c r="Q377" s="182">
        <v>229</v>
      </c>
      <c r="R377" s="182"/>
      <c r="S377" s="182"/>
    </row>
    <row r="378" spans="1:19">
      <c r="A378" s="63"/>
      <c r="B378" s="63"/>
      <c r="C378" s="63"/>
      <c r="D378" s="63"/>
      <c r="E378" s="63"/>
      <c r="F378" s="63"/>
      <c r="G378" s="63"/>
      <c r="I378" s="302" t="s">
        <v>796</v>
      </c>
      <c r="J378" s="302"/>
      <c r="K378" s="184">
        <v>60</v>
      </c>
      <c r="L378" s="203">
        <v>55</v>
      </c>
      <c r="M378" s="203">
        <v>43</v>
      </c>
      <c r="N378" s="203">
        <v>47</v>
      </c>
      <c r="O378" s="203">
        <v>62</v>
      </c>
      <c r="P378" s="203">
        <v>69</v>
      </c>
      <c r="Q378" s="203">
        <v>80</v>
      </c>
      <c r="R378" s="203"/>
      <c r="S378" s="203"/>
    </row>
    <row r="379" spans="1:19">
      <c r="A379" s="63"/>
      <c r="B379" s="63"/>
      <c r="C379" s="63"/>
      <c r="D379" s="63"/>
      <c r="E379" s="63"/>
      <c r="F379" s="63"/>
      <c r="G379" s="63"/>
      <c r="I379" s="302" t="s">
        <v>797</v>
      </c>
      <c r="J379" s="302"/>
      <c r="K379" s="184">
        <v>163</v>
      </c>
      <c r="L379" s="203">
        <v>153</v>
      </c>
      <c r="M379" s="203">
        <v>162</v>
      </c>
      <c r="N379" s="203">
        <v>165</v>
      </c>
      <c r="O379" s="203">
        <v>153</v>
      </c>
      <c r="P379" s="203">
        <v>158</v>
      </c>
      <c r="Q379" s="203">
        <v>149</v>
      </c>
      <c r="R379" s="203"/>
      <c r="S379" s="203"/>
    </row>
    <row r="380" spans="1:19">
      <c r="A380" s="63"/>
      <c r="B380" s="63"/>
      <c r="C380" s="63"/>
      <c r="D380" s="63"/>
      <c r="E380" s="63"/>
      <c r="F380" s="63"/>
      <c r="G380" s="63"/>
      <c r="I380" s="303" t="s">
        <v>798</v>
      </c>
      <c r="J380" s="303"/>
      <c r="K380" s="184"/>
      <c r="L380" s="185"/>
      <c r="M380" s="185"/>
      <c r="N380" s="185"/>
      <c r="O380" s="185"/>
      <c r="P380" s="204"/>
      <c r="Q380" s="204"/>
      <c r="R380" s="204"/>
      <c r="S380" s="204"/>
    </row>
    <row r="381" spans="1:19">
      <c r="A381" s="3" t="s">
        <v>801</v>
      </c>
      <c r="B381" s="201" t="s">
        <v>802</v>
      </c>
      <c r="C381" s="201" t="s">
        <v>803</v>
      </c>
      <c r="D381" s="201" t="s">
        <v>119</v>
      </c>
      <c r="E381" s="201" t="s">
        <v>148</v>
      </c>
      <c r="F381" s="201" t="s">
        <v>806</v>
      </c>
      <c r="G381" s="201" t="s">
        <v>81</v>
      </c>
      <c r="I381" s="187"/>
      <c r="J381" s="187"/>
      <c r="K381" s="187"/>
      <c r="L381" s="188"/>
      <c r="M381" s="188"/>
      <c r="N381" s="188"/>
      <c r="O381" s="188"/>
      <c r="P381" s="187"/>
      <c r="Q381" s="187"/>
      <c r="R381" s="187"/>
      <c r="S381" s="187"/>
    </row>
    <row r="382" spans="1:19">
      <c r="A382" s="293">
        <v>44058</v>
      </c>
      <c r="B382" s="161">
        <v>0.29930555555555555</v>
      </c>
      <c r="C382" s="162">
        <v>82</v>
      </c>
      <c r="D382" s="162">
        <v>101</v>
      </c>
      <c r="E382" s="162">
        <v>106</v>
      </c>
      <c r="F382" s="162">
        <v>5</v>
      </c>
      <c r="G382" s="163">
        <v>0.86990000000000001</v>
      </c>
      <c r="I382" s="191"/>
      <c r="J382" s="190"/>
      <c r="K382" s="190"/>
      <c r="L382" s="190"/>
      <c r="M382" s="190">
        <v>44058</v>
      </c>
      <c r="N382" s="189" t="s">
        <v>864</v>
      </c>
      <c r="O382" s="189"/>
      <c r="P382" s="189"/>
      <c r="Q382" s="189"/>
      <c r="R382" s="189"/>
      <c r="S382" s="189"/>
    </row>
    <row r="383" spans="1:19">
      <c r="A383" s="294"/>
      <c r="B383" s="164">
        <v>0.46597222222222223</v>
      </c>
      <c r="C383" s="165">
        <v>92</v>
      </c>
      <c r="D383" s="165">
        <v>14</v>
      </c>
      <c r="E383" s="165">
        <v>24</v>
      </c>
      <c r="F383" s="165">
        <v>10</v>
      </c>
      <c r="G383" s="166">
        <v>0.87460000000000004</v>
      </c>
      <c r="I383" s="304"/>
      <c r="J383" s="304"/>
      <c r="K383" s="167">
        <v>0.29930555555555555</v>
      </c>
      <c r="L383" s="168">
        <v>0.46597222222222223</v>
      </c>
      <c r="M383" s="168">
        <v>0.63263888888888886</v>
      </c>
      <c r="N383" s="168">
        <v>0.7993055555555556</v>
      </c>
      <c r="O383" s="169">
        <v>0.96597222222222223</v>
      </c>
      <c r="P383" s="169">
        <v>0.13263888888888889</v>
      </c>
      <c r="Q383" s="169">
        <v>0.29930555555555555</v>
      </c>
      <c r="R383" s="161"/>
      <c r="S383" s="161"/>
    </row>
    <row r="384" spans="1:19">
      <c r="A384" s="294"/>
      <c r="B384" s="161">
        <v>0.63263888888888886</v>
      </c>
      <c r="C384" s="162">
        <v>90</v>
      </c>
      <c r="D384" s="162">
        <v>31</v>
      </c>
      <c r="E384" s="162">
        <v>44</v>
      </c>
      <c r="F384" s="162">
        <v>13</v>
      </c>
      <c r="G384" s="163">
        <v>0.87429999999999997</v>
      </c>
      <c r="I384" s="295" t="s">
        <v>782</v>
      </c>
      <c r="J384" s="296"/>
      <c r="K384" s="170">
        <v>18</v>
      </c>
      <c r="L384" s="171">
        <v>17</v>
      </c>
      <c r="M384" s="50">
        <v>14</v>
      </c>
      <c r="N384" s="171">
        <v>8</v>
      </c>
      <c r="O384" s="202">
        <v>6</v>
      </c>
      <c r="P384" s="202">
        <v>9</v>
      </c>
      <c r="Q384" s="202">
        <v>12</v>
      </c>
      <c r="R384" s="162"/>
      <c r="S384" s="162"/>
    </row>
    <row r="385" spans="1:19">
      <c r="A385" s="294"/>
      <c r="B385" s="164">
        <v>0.7993055555555556</v>
      </c>
      <c r="C385" s="165">
        <v>86</v>
      </c>
      <c r="D385" s="165">
        <v>56</v>
      </c>
      <c r="E385" s="165">
        <v>61</v>
      </c>
      <c r="F385" s="165">
        <v>5</v>
      </c>
      <c r="G385" s="166">
        <v>0.87739999999999996</v>
      </c>
      <c r="I385" s="295" t="s">
        <v>783</v>
      </c>
      <c r="J385" s="295"/>
      <c r="K385" s="170">
        <v>0</v>
      </c>
      <c r="L385" s="171">
        <v>0</v>
      </c>
      <c r="M385" s="50">
        <v>0</v>
      </c>
      <c r="N385" s="171">
        <v>0</v>
      </c>
      <c r="O385" s="202">
        <v>0</v>
      </c>
      <c r="P385" s="202">
        <v>0</v>
      </c>
      <c r="Q385" s="202">
        <v>0</v>
      </c>
      <c r="R385" s="162"/>
      <c r="S385" s="162"/>
    </row>
    <row r="386" spans="1:19">
      <c r="A386" s="294"/>
      <c r="B386" s="161">
        <v>0.96597222222222223</v>
      </c>
      <c r="C386" s="162">
        <v>93</v>
      </c>
      <c r="D386" s="162">
        <v>78</v>
      </c>
      <c r="E386" s="162">
        <v>81</v>
      </c>
      <c r="F386" s="162">
        <v>3</v>
      </c>
      <c r="G386" s="163">
        <v>0.874</v>
      </c>
      <c r="I386" s="295" t="s">
        <v>784</v>
      </c>
      <c r="J386" s="295"/>
      <c r="K386" s="170">
        <v>1</v>
      </c>
      <c r="L386" s="171">
        <v>2</v>
      </c>
      <c r="M386" s="50">
        <v>2</v>
      </c>
      <c r="N386" s="171">
        <v>1</v>
      </c>
      <c r="O386" s="202">
        <v>2</v>
      </c>
      <c r="P386" s="202">
        <v>2</v>
      </c>
      <c r="Q386" s="202">
        <v>1</v>
      </c>
      <c r="R386" s="162"/>
      <c r="S386" s="162"/>
    </row>
    <row r="387" spans="1:19">
      <c r="A387" s="294"/>
      <c r="B387" s="164">
        <v>0.13263888888888889</v>
      </c>
      <c r="C387" s="165">
        <v>76</v>
      </c>
      <c r="D387" s="165">
        <v>100</v>
      </c>
      <c r="E387" s="165">
        <v>101</v>
      </c>
      <c r="F387" s="165">
        <v>1</v>
      </c>
      <c r="G387" s="166">
        <v>0.87619999999999998</v>
      </c>
      <c r="I387" s="295" t="s">
        <v>785</v>
      </c>
      <c r="J387" s="295"/>
      <c r="K387" s="170">
        <v>13</v>
      </c>
      <c r="L387" s="171">
        <v>12</v>
      </c>
      <c r="M387" s="50">
        <v>11</v>
      </c>
      <c r="N387" s="171">
        <v>11</v>
      </c>
      <c r="O387" s="202">
        <v>10</v>
      </c>
      <c r="P387" s="202">
        <v>11</v>
      </c>
      <c r="Q387" s="202">
        <v>10</v>
      </c>
      <c r="R387" s="162"/>
      <c r="S387" s="162"/>
    </row>
    <row r="388" spans="1:19">
      <c r="A388" s="294"/>
      <c r="B388" s="161">
        <v>0.29930555555555555</v>
      </c>
      <c r="C388" s="162">
        <v>97</v>
      </c>
      <c r="D388" s="162">
        <v>115</v>
      </c>
      <c r="E388" s="162">
        <v>111</v>
      </c>
      <c r="F388" s="162">
        <v>-4</v>
      </c>
      <c r="G388" s="163">
        <v>0.87070000000000003</v>
      </c>
      <c r="I388" s="295" t="s">
        <v>786</v>
      </c>
      <c r="J388" s="295"/>
      <c r="K388" s="170">
        <v>1</v>
      </c>
      <c r="L388" s="171">
        <v>1</v>
      </c>
      <c r="M388" s="50">
        <v>1</v>
      </c>
      <c r="N388" s="171">
        <v>2</v>
      </c>
      <c r="O388" s="202">
        <v>2</v>
      </c>
      <c r="P388" s="202">
        <v>2</v>
      </c>
      <c r="Q388" s="202">
        <v>2</v>
      </c>
      <c r="R388" s="162"/>
      <c r="S388" s="162"/>
    </row>
    <row r="389" spans="1:19">
      <c r="A389" s="294"/>
      <c r="B389" s="164"/>
      <c r="C389" s="165"/>
      <c r="D389" s="165"/>
      <c r="E389" s="165"/>
      <c r="F389" s="165"/>
      <c r="G389" s="166"/>
      <c r="I389" s="295" t="s">
        <v>787</v>
      </c>
      <c r="J389" s="295"/>
      <c r="K389" s="170">
        <v>12</v>
      </c>
      <c r="L389" s="171">
        <v>9</v>
      </c>
      <c r="M389" s="50">
        <v>10</v>
      </c>
      <c r="N389" s="171">
        <v>10</v>
      </c>
      <c r="O389" s="202">
        <v>11</v>
      </c>
      <c r="P389" s="202">
        <v>8</v>
      </c>
      <c r="Q389" s="202">
        <v>10</v>
      </c>
      <c r="R389" s="162"/>
      <c r="S389" s="162"/>
    </row>
    <row r="390" spans="1:19">
      <c r="A390" s="294"/>
      <c r="B390" s="161"/>
      <c r="C390" s="162"/>
      <c r="D390" s="162"/>
      <c r="E390" s="162"/>
      <c r="F390" s="162"/>
      <c r="G390" s="163"/>
      <c r="I390" s="295" t="s">
        <v>788</v>
      </c>
      <c r="J390" s="295"/>
      <c r="K390" s="170">
        <v>0</v>
      </c>
      <c r="L390" s="171">
        <v>0</v>
      </c>
      <c r="M390" s="50">
        <v>0</v>
      </c>
      <c r="N390" s="171">
        <v>0</v>
      </c>
      <c r="O390" s="202">
        <v>0</v>
      </c>
      <c r="P390" s="202">
        <v>0</v>
      </c>
      <c r="Q390" s="202">
        <v>0</v>
      </c>
      <c r="R390" s="162"/>
      <c r="S390" s="162"/>
    </row>
    <row r="391" spans="1:19">
      <c r="A391" s="294"/>
      <c r="B391" s="164"/>
      <c r="C391" s="165"/>
      <c r="D391" s="165"/>
      <c r="E391" s="165"/>
      <c r="F391" s="165"/>
      <c r="G391" s="166"/>
      <c r="I391" s="295" t="s">
        <v>789</v>
      </c>
      <c r="J391" s="295"/>
      <c r="K391" s="170">
        <v>3</v>
      </c>
      <c r="L391" s="171">
        <v>4</v>
      </c>
      <c r="M391" s="50">
        <v>5</v>
      </c>
      <c r="N391" s="171">
        <v>4</v>
      </c>
      <c r="O391" s="202">
        <v>6</v>
      </c>
      <c r="P391" s="202">
        <v>6</v>
      </c>
      <c r="Q391" s="202">
        <v>5</v>
      </c>
      <c r="R391" s="162"/>
      <c r="S391" s="162"/>
    </row>
    <row r="392" spans="1:19">
      <c r="A392" s="63"/>
      <c r="B392" s="63"/>
      <c r="C392" s="63"/>
      <c r="D392" s="63"/>
      <c r="E392" s="63"/>
      <c r="F392" s="63"/>
      <c r="G392" s="63"/>
      <c r="I392" s="295" t="s">
        <v>790</v>
      </c>
      <c r="J392" s="295"/>
      <c r="K392" s="170">
        <v>1</v>
      </c>
      <c r="L392" s="171">
        <v>2</v>
      </c>
      <c r="M392" s="50">
        <v>2</v>
      </c>
      <c r="N392" s="171">
        <v>2</v>
      </c>
      <c r="O392" s="202">
        <v>3</v>
      </c>
      <c r="P392" s="202">
        <v>2</v>
      </c>
      <c r="Q392" s="202">
        <v>2</v>
      </c>
      <c r="R392" s="162"/>
      <c r="S392" s="162"/>
    </row>
    <row r="393" spans="1:19">
      <c r="A393" s="63"/>
      <c r="B393" s="63"/>
      <c r="C393" s="63"/>
      <c r="D393" s="63"/>
      <c r="E393" s="63"/>
      <c r="F393" s="63"/>
      <c r="G393" s="63"/>
      <c r="I393" s="295" t="s">
        <v>791</v>
      </c>
      <c r="J393" s="295"/>
      <c r="K393" s="170">
        <v>14</v>
      </c>
      <c r="L393" s="171">
        <v>12</v>
      </c>
      <c r="M393" s="50">
        <v>14</v>
      </c>
      <c r="N393" s="171">
        <v>15</v>
      </c>
      <c r="O393" s="202">
        <v>14</v>
      </c>
      <c r="P393" s="202">
        <v>16</v>
      </c>
      <c r="Q393" s="202">
        <v>18</v>
      </c>
      <c r="R393" s="162"/>
      <c r="S393" s="162"/>
    </row>
    <row r="394" spans="1:19">
      <c r="A394" s="63"/>
      <c r="B394" s="63"/>
      <c r="C394" s="63"/>
      <c r="D394" s="63"/>
      <c r="E394" s="63"/>
      <c r="F394" s="63"/>
      <c r="G394" s="63"/>
      <c r="I394" s="296" t="s">
        <v>792</v>
      </c>
      <c r="J394" s="296"/>
      <c r="K394" s="170">
        <v>2</v>
      </c>
      <c r="L394" s="171">
        <v>1</v>
      </c>
      <c r="M394" s="50">
        <v>0</v>
      </c>
      <c r="N394" s="171">
        <v>0</v>
      </c>
      <c r="O394" s="202">
        <v>0</v>
      </c>
      <c r="P394" s="202">
        <v>2</v>
      </c>
      <c r="Q394" s="202">
        <v>0</v>
      </c>
      <c r="R394" s="162"/>
      <c r="S394" s="162"/>
    </row>
    <row r="395" spans="1:19" ht="17.25" thickBot="1">
      <c r="A395" s="63"/>
      <c r="B395" s="63"/>
      <c r="C395" s="63"/>
      <c r="D395" s="63"/>
      <c r="E395" s="63"/>
      <c r="F395" s="63"/>
      <c r="G395" s="63"/>
      <c r="I395" s="297" t="s">
        <v>793</v>
      </c>
      <c r="J395" s="297"/>
      <c r="K395" s="172">
        <f t="shared" ref="K395:S395" si="109">SUM(K384:K394)</f>
        <v>65</v>
      </c>
      <c r="L395" s="205">
        <f t="shared" si="109"/>
        <v>60</v>
      </c>
      <c r="M395" s="205">
        <f t="shared" si="109"/>
        <v>59</v>
      </c>
      <c r="N395" s="205">
        <f t="shared" si="109"/>
        <v>53</v>
      </c>
      <c r="O395" s="174">
        <f t="shared" si="109"/>
        <v>54</v>
      </c>
      <c r="P395" s="174">
        <f t="shared" si="109"/>
        <v>58</v>
      </c>
      <c r="Q395" s="174">
        <f t="shared" si="109"/>
        <v>60</v>
      </c>
      <c r="R395" s="175">
        <f t="shared" si="109"/>
        <v>0</v>
      </c>
      <c r="S395" s="175">
        <f t="shared" si="109"/>
        <v>0</v>
      </c>
    </row>
    <row r="396" spans="1:19" ht="17.25" thickBot="1">
      <c r="A396" s="63"/>
      <c r="B396" s="63"/>
      <c r="C396" s="63"/>
      <c r="D396" s="63"/>
      <c r="E396" s="63"/>
      <c r="F396" s="63"/>
      <c r="G396" s="63"/>
      <c r="I396" s="298" t="s">
        <v>794</v>
      </c>
      <c r="J396" s="299"/>
      <c r="K396" s="176">
        <f t="shared" ref="K396" si="110">S375-K395</f>
        <v>-65</v>
      </c>
      <c r="L396" s="177">
        <f t="shared" ref="L396" si="111">K395-L395</f>
        <v>5</v>
      </c>
      <c r="M396" s="177">
        <f t="shared" ref="M396" si="112">K395-M395</f>
        <v>6</v>
      </c>
      <c r="N396" s="177">
        <f t="shared" ref="N396" si="113">K395-N395</f>
        <v>12</v>
      </c>
      <c r="O396" s="178">
        <f t="shared" ref="O396" si="114">K395-O395</f>
        <v>11</v>
      </c>
      <c r="P396" s="178">
        <f t="shared" ref="P396" si="115">K395-P395</f>
        <v>7</v>
      </c>
      <c r="Q396" s="178">
        <f t="shared" ref="Q396" si="116">K395-Q395</f>
        <v>5</v>
      </c>
      <c r="R396" s="179">
        <f t="shared" ref="R396" si="117">K395-R395</f>
        <v>65</v>
      </c>
      <c r="S396" s="180">
        <f t="shared" ref="S396" si="118">L395-S395</f>
        <v>60</v>
      </c>
    </row>
    <row r="397" spans="1:19">
      <c r="A397" s="63"/>
      <c r="B397" s="63"/>
      <c r="C397" s="63"/>
      <c r="D397" s="63"/>
      <c r="E397" s="63"/>
      <c r="F397" s="63"/>
      <c r="G397" s="63"/>
      <c r="I397" s="300" t="s">
        <v>795</v>
      </c>
      <c r="J397" s="301"/>
      <c r="K397" s="181">
        <v>229</v>
      </c>
      <c r="L397" s="182">
        <v>243</v>
      </c>
      <c r="M397" s="182">
        <v>252</v>
      </c>
      <c r="N397" s="182">
        <v>231</v>
      </c>
      <c r="O397" s="183">
        <v>248</v>
      </c>
      <c r="P397" s="182">
        <v>228</v>
      </c>
      <c r="Q397" s="182">
        <v>237</v>
      </c>
      <c r="R397" s="182"/>
      <c r="S397" s="182"/>
    </row>
    <row r="398" spans="1:19">
      <c r="A398" s="63"/>
      <c r="B398" s="63"/>
      <c r="C398" s="63"/>
      <c r="D398" s="63"/>
      <c r="E398" s="63"/>
      <c r="F398" s="63"/>
      <c r="G398" s="63"/>
      <c r="I398" s="302" t="s">
        <v>796</v>
      </c>
      <c r="J398" s="302"/>
      <c r="K398" s="184">
        <v>80</v>
      </c>
      <c r="L398" s="203">
        <v>92</v>
      </c>
      <c r="M398" s="203">
        <v>91</v>
      </c>
      <c r="N398" s="203">
        <v>82</v>
      </c>
      <c r="O398" s="203">
        <v>92</v>
      </c>
      <c r="P398" s="203">
        <v>79</v>
      </c>
      <c r="Q398" s="203">
        <v>98</v>
      </c>
      <c r="R398" s="203"/>
      <c r="S398" s="203"/>
    </row>
    <row r="399" spans="1:19">
      <c r="A399" s="63"/>
      <c r="B399" s="63"/>
      <c r="C399" s="63"/>
      <c r="D399" s="63"/>
      <c r="E399" s="63"/>
      <c r="F399" s="63"/>
      <c r="G399" s="63"/>
      <c r="I399" s="302" t="s">
        <v>797</v>
      </c>
      <c r="J399" s="302"/>
      <c r="K399" s="184">
        <v>149</v>
      </c>
      <c r="L399" s="203">
        <v>151</v>
      </c>
      <c r="M399" s="203">
        <v>161</v>
      </c>
      <c r="N399" s="203">
        <v>149</v>
      </c>
      <c r="O399" s="203">
        <v>156</v>
      </c>
      <c r="P399" s="203">
        <v>149</v>
      </c>
      <c r="Q399" s="203">
        <v>139</v>
      </c>
      <c r="R399" s="203"/>
      <c r="S399" s="203"/>
    </row>
    <row r="400" spans="1:19">
      <c r="A400" s="63"/>
      <c r="B400" s="63"/>
      <c r="C400" s="63"/>
      <c r="D400" s="63"/>
      <c r="E400" s="63"/>
      <c r="F400" s="63"/>
      <c r="G400" s="63"/>
      <c r="I400" s="303" t="s">
        <v>798</v>
      </c>
      <c r="J400" s="303"/>
      <c r="K400" s="184"/>
      <c r="L400" s="185"/>
      <c r="M400" s="185"/>
      <c r="N400" s="185"/>
      <c r="O400" s="185"/>
      <c r="P400" s="204"/>
      <c r="Q400" s="204"/>
      <c r="R400" s="204"/>
      <c r="S400" s="204"/>
    </row>
    <row r="401" spans="1:19">
      <c r="A401" s="3" t="s">
        <v>801</v>
      </c>
      <c r="B401" s="201" t="s">
        <v>802</v>
      </c>
      <c r="C401" s="201" t="s">
        <v>803</v>
      </c>
      <c r="D401" s="201" t="s">
        <v>119</v>
      </c>
      <c r="E401" s="201" t="s">
        <v>148</v>
      </c>
      <c r="F401" s="201" t="s">
        <v>806</v>
      </c>
      <c r="G401" s="201" t="s">
        <v>81</v>
      </c>
      <c r="I401" s="187"/>
      <c r="J401" s="187"/>
      <c r="K401" s="187"/>
      <c r="L401" s="188"/>
      <c r="M401" s="188"/>
      <c r="N401" s="188"/>
      <c r="O401" s="188"/>
      <c r="P401" s="187"/>
      <c r="Q401" s="187"/>
      <c r="R401" s="187"/>
      <c r="S401" s="187"/>
    </row>
    <row r="402" spans="1:19">
      <c r="A402" s="293">
        <v>44059</v>
      </c>
      <c r="B402" s="161">
        <v>0.29930555555555555</v>
      </c>
      <c r="C402" s="162">
        <v>97</v>
      </c>
      <c r="D402" s="162">
        <v>115</v>
      </c>
      <c r="E402" s="162">
        <v>111</v>
      </c>
      <c r="F402" s="162">
        <v>-4</v>
      </c>
      <c r="G402" s="163">
        <v>0.87070000000000003</v>
      </c>
      <c r="I402" s="191"/>
      <c r="J402" s="190"/>
      <c r="K402" s="190"/>
      <c r="L402" s="190"/>
      <c r="M402" s="190">
        <v>44059</v>
      </c>
      <c r="N402" s="189" t="s">
        <v>864</v>
      </c>
      <c r="O402" s="189"/>
      <c r="P402" s="189"/>
      <c r="Q402" s="189"/>
      <c r="R402" s="189"/>
      <c r="S402" s="189"/>
    </row>
    <row r="403" spans="1:19">
      <c r="A403" s="294"/>
      <c r="B403" s="164">
        <v>0.46597222222222223</v>
      </c>
      <c r="C403" s="165">
        <v>89</v>
      </c>
      <c r="D403" s="165">
        <v>16</v>
      </c>
      <c r="E403" s="165">
        <v>19</v>
      </c>
      <c r="F403" s="165">
        <v>3</v>
      </c>
      <c r="G403" s="166">
        <v>0.88370000000000004</v>
      </c>
      <c r="I403" s="304"/>
      <c r="J403" s="304"/>
      <c r="K403" s="167">
        <v>0.29930555555555555</v>
      </c>
      <c r="L403" s="168">
        <v>0.46597222222222223</v>
      </c>
      <c r="M403" s="168">
        <v>0.63263888888888886</v>
      </c>
      <c r="N403" s="168">
        <v>0.7993055555555556</v>
      </c>
      <c r="O403" s="169">
        <v>0.96597222222222223</v>
      </c>
      <c r="P403" s="169">
        <v>0.13263888888888889</v>
      </c>
      <c r="Q403" s="169">
        <v>0.3</v>
      </c>
      <c r="R403" s="161"/>
      <c r="S403" s="161"/>
    </row>
    <row r="404" spans="1:19">
      <c r="A404" s="294"/>
      <c r="B404" s="161">
        <v>0.63263888888888886</v>
      </c>
      <c r="C404" s="162">
        <v>88</v>
      </c>
      <c r="D404" s="162">
        <v>31</v>
      </c>
      <c r="E404" s="162">
        <v>48</v>
      </c>
      <c r="F404" s="162">
        <v>17</v>
      </c>
      <c r="G404" s="163">
        <v>0.87360000000000004</v>
      </c>
      <c r="I404" s="295" t="s">
        <v>782</v>
      </c>
      <c r="J404" s="296"/>
      <c r="K404" s="170">
        <v>12</v>
      </c>
      <c r="L404" s="171">
        <v>8</v>
      </c>
      <c r="M404" s="50">
        <v>10</v>
      </c>
      <c r="N404" s="171">
        <v>7</v>
      </c>
      <c r="O404" s="202">
        <v>8</v>
      </c>
      <c r="P404" s="202">
        <v>9</v>
      </c>
      <c r="Q404" s="202">
        <v>13</v>
      </c>
      <c r="R404" s="162"/>
      <c r="S404" s="162"/>
    </row>
    <row r="405" spans="1:19">
      <c r="A405" s="294"/>
      <c r="B405" s="164">
        <v>0.7993055555555556</v>
      </c>
      <c r="C405" s="165">
        <v>86</v>
      </c>
      <c r="D405" s="165">
        <v>47</v>
      </c>
      <c r="E405" s="165">
        <v>59</v>
      </c>
      <c r="F405" s="165">
        <v>12</v>
      </c>
      <c r="G405" s="166">
        <v>0.87560000000000004</v>
      </c>
      <c r="I405" s="295" t="s">
        <v>783</v>
      </c>
      <c r="J405" s="295"/>
      <c r="K405" s="170">
        <v>0</v>
      </c>
      <c r="L405" s="171">
        <v>0</v>
      </c>
      <c r="M405" s="50">
        <v>0</v>
      </c>
      <c r="N405" s="171">
        <v>0</v>
      </c>
      <c r="O405" s="202">
        <v>0</v>
      </c>
      <c r="P405" s="202">
        <v>0</v>
      </c>
      <c r="Q405" s="202">
        <v>0</v>
      </c>
      <c r="R405" s="162"/>
      <c r="S405" s="162"/>
    </row>
    <row r="406" spans="1:19">
      <c r="A406" s="294"/>
      <c r="B406" s="161">
        <v>0.96597222222222223</v>
      </c>
      <c r="C406" s="162">
        <v>88</v>
      </c>
      <c r="D406" s="162">
        <v>64</v>
      </c>
      <c r="E406" s="162">
        <v>67</v>
      </c>
      <c r="F406" s="162">
        <v>3</v>
      </c>
      <c r="G406" s="163">
        <v>0.86670000000000003</v>
      </c>
      <c r="I406" s="295" t="s">
        <v>784</v>
      </c>
      <c r="J406" s="295"/>
      <c r="K406" s="170">
        <v>1</v>
      </c>
      <c r="L406" s="171">
        <v>1</v>
      </c>
      <c r="M406" s="50">
        <v>1</v>
      </c>
      <c r="N406" s="171">
        <v>2</v>
      </c>
      <c r="O406" s="202">
        <v>2</v>
      </c>
      <c r="P406" s="202">
        <v>2</v>
      </c>
      <c r="Q406" s="202">
        <v>2</v>
      </c>
      <c r="R406" s="162"/>
      <c r="S406" s="162"/>
    </row>
    <row r="407" spans="1:19">
      <c r="A407" s="294"/>
      <c r="B407" s="164">
        <v>0.13263888888888889</v>
      </c>
      <c r="C407" s="165">
        <v>80</v>
      </c>
      <c r="D407" s="165">
        <v>78</v>
      </c>
      <c r="E407" s="165">
        <v>73</v>
      </c>
      <c r="F407" s="165">
        <v>-5</v>
      </c>
      <c r="G407" s="166">
        <v>0.86360000000000003</v>
      </c>
      <c r="I407" s="295" t="s">
        <v>785</v>
      </c>
      <c r="J407" s="295"/>
      <c r="K407" s="170">
        <v>10</v>
      </c>
      <c r="L407" s="171">
        <v>11</v>
      </c>
      <c r="M407" s="50">
        <v>11</v>
      </c>
      <c r="N407" s="171">
        <v>11</v>
      </c>
      <c r="O407" s="202">
        <v>8</v>
      </c>
      <c r="P407" s="202">
        <v>9</v>
      </c>
      <c r="Q407" s="202">
        <v>12</v>
      </c>
      <c r="R407" s="162"/>
      <c r="S407" s="162"/>
    </row>
    <row r="408" spans="1:19">
      <c r="A408" s="294"/>
      <c r="B408" s="161">
        <v>0.3</v>
      </c>
      <c r="C408" s="162">
        <v>94</v>
      </c>
      <c r="D408" s="162">
        <v>91</v>
      </c>
      <c r="E408" s="162">
        <v>83</v>
      </c>
      <c r="F408" s="162">
        <v>-8</v>
      </c>
      <c r="G408" s="163">
        <v>0.84809999999999997</v>
      </c>
      <c r="I408" s="295" t="s">
        <v>786</v>
      </c>
      <c r="J408" s="295"/>
      <c r="K408" s="170">
        <v>2</v>
      </c>
      <c r="L408" s="171">
        <v>1</v>
      </c>
      <c r="M408" s="50">
        <v>2</v>
      </c>
      <c r="N408" s="171">
        <v>1</v>
      </c>
      <c r="O408" s="202">
        <v>2</v>
      </c>
      <c r="P408" s="202">
        <v>2</v>
      </c>
      <c r="Q408" s="202">
        <v>3</v>
      </c>
      <c r="R408" s="162"/>
      <c r="S408" s="162"/>
    </row>
    <row r="409" spans="1:19">
      <c r="A409" s="294"/>
      <c r="B409" s="164"/>
      <c r="C409" s="165"/>
      <c r="D409" s="165"/>
      <c r="E409" s="165"/>
      <c r="F409" s="165"/>
      <c r="G409" s="166"/>
      <c r="I409" s="295" t="s">
        <v>787</v>
      </c>
      <c r="J409" s="295"/>
      <c r="K409" s="170">
        <v>10</v>
      </c>
      <c r="L409" s="171">
        <v>7</v>
      </c>
      <c r="M409" s="50">
        <v>7</v>
      </c>
      <c r="N409" s="171">
        <v>7</v>
      </c>
      <c r="O409" s="202">
        <v>8</v>
      </c>
      <c r="P409" s="202">
        <v>11</v>
      </c>
      <c r="Q409" s="202">
        <v>11</v>
      </c>
      <c r="R409" s="162"/>
      <c r="S409" s="162"/>
    </row>
    <row r="410" spans="1:19">
      <c r="A410" s="294"/>
      <c r="B410" s="161"/>
      <c r="C410" s="162"/>
      <c r="D410" s="162"/>
      <c r="E410" s="162"/>
      <c r="F410" s="162"/>
      <c r="G410" s="163"/>
      <c r="I410" s="295" t="s">
        <v>788</v>
      </c>
      <c r="J410" s="295"/>
      <c r="K410" s="170">
        <v>0</v>
      </c>
      <c r="L410" s="171">
        <v>0</v>
      </c>
      <c r="M410" s="50">
        <v>0</v>
      </c>
      <c r="N410" s="171">
        <v>0</v>
      </c>
      <c r="O410" s="202">
        <v>0</v>
      </c>
      <c r="P410" s="202">
        <v>0</v>
      </c>
      <c r="Q410" s="202">
        <v>0</v>
      </c>
      <c r="R410" s="162"/>
      <c r="S410" s="162"/>
    </row>
    <row r="411" spans="1:19">
      <c r="A411" s="294"/>
      <c r="B411" s="164"/>
      <c r="C411" s="165"/>
      <c r="D411" s="165"/>
      <c r="E411" s="165"/>
      <c r="F411" s="165"/>
      <c r="G411" s="166"/>
      <c r="I411" s="295" t="s">
        <v>789</v>
      </c>
      <c r="J411" s="295"/>
      <c r="K411" s="170">
        <v>5</v>
      </c>
      <c r="L411" s="171">
        <v>5</v>
      </c>
      <c r="M411" s="50">
        <v>5</v>
      </c>
      <c r="N411" s="171">
        <v>5</v>
      </c>
      <c r="O411" s="202">
        <v>5</v>
      </c>
      <c r="P411" s="202">
        <v>5</v>
      </c>
      <c r="Q411" s="202">
        <v>4</v>
      </c>
      <c r="R411" s="162"/>
      <c r="S411" s="162"/>
    </row>
    <row r="412" spans="1:19">
      <c r="A412" s="63"/>
      <c r="B412" s="63"/>
      <c r="C412" s="63"/>
      <c r="D412" s="63"/>
      <c r="E412" s="63"/>
      <c r="F412" s="63"/>
      <c r="G412" s="63"/>
      <c r="I412" s="295" t="s">
        <v>790</v>
      </c>
      <c r="J412" s="295"/>
      <c r="K412" s="170">
        <v>2</v>
      </c>
      <c r="L412" s="171">
        <v>2</v>
      </c>
      <c r="M412" s="50">
        <v>1</v>
      </c>
      <c r="N412" s="171">
        <v>2</v>
      </c>
      <c r="O412" s="202">
        <v>2</v>
      </c>
      <c r="P412" s="202">
        <v>2</v>
      </c>
      <c r="Q412" s="202">
        <v>3</v>
      </c>
      <c r="R412" s="162"/>
      <c r="S412" s="162"/>
    </row>
    <row r="413" spans="1:19">
      <c r="A413" s="63"/>
      <c r="B413" s="63"/>
      <c r="C413" s="63"/>
      <c r="D413" s="63"/>
      <c r="E413" s="63"/>
      <c r="F413" s="63"/>
      <c r="G413" s="63"/>
      <c r="I413" s="295" t="s">
        <v>791</v>
      </c>
      <c r="J413" s="295"/>
      <c r="K413" s="170">
        <v>18</v>
      </c>
      <c r="L413" s="171">
        <v>16</v>
      </c>
      <c r="M413" s="50">
        <v>19</v>
      </c>
      <c r="N413" s="171">
        <v>18</v>
      </c>
      <c r="O413" s="202">
        <v>19</v>
      </c>
      <c r="P413" s="202">
        <v>20</v>
      </c>
      <c r="Q413" s="202">
        <v>20</v>
      </c>
      <c r="R413" s="162"/>
      <c r="S413" s="162"/>
    </row>
    <row r="414" spans="1:19">
      <c r="A414" s="63"/>
      <c r="B414" s="63"/>
      <c r="C414" s="63"/>
      <c r="D414" s="63"/>
      <c r="E414" s="63"/>
      <c r="F414" s="63"/>
      <c r="G414" s="63"/>
      <c r="I414" s="296" t="s">
        <v>792</v>
      </c>
      <c r="J414" s="296"/>
      <c r="K414" s="170">
        <v>0</v>
      </c>
      <c r="L414" s="171">
        <v>0</v>
      </c>
      <c r="M414" s="50">
        <v>2</v>
      </c>
      <c r="N414" s="171">
        <v>0</v>
      </c>
      <c r="O414" s="202">
        <v>2</v>
      </c>
      <c r="P414" s="202">
        <v>0</v>
      </c>
      <c r="Q414" s="202">
        <v>2</v>
      </c>
      <c r="R414" s="162"/>
      <c r="S414" s="162"/>
    </row>
    <row r="415" spans="1:19" ht="17.25" thickBot="1">
      <c r="A415" s="63"/>
      <c r="B415" s="63"/>
      <c r="C415" s="63"/>
      <c r="D415" s="63"/>
      <c r="E415" s="63"/>
      <c r="F415" s="63"/>
      <c r="G415" s="63"/>
      <c r="I415" s="297" t="s">
        <v>793</v>
      </c>
      <c r="J415" s="297"/>
      <c r="K415" s="172">
        <f t="shared" ref="K415:S415" si="119">SUM(K404:K414)</f>
        <v>60</v>
      </c>
      <c r="L415" s="205">
        <f t="shared" si="119"/>
        <v>51</v>
      </c>
      <c r="M415" s="205">
        <f t="shared" si="119"/>
        <v>58</v>
      </c>
      <c r="N415" s="205">
        <f t="shared" si="119"/>
        <v>53</v>
      </c>
      <c r="O415" s="174">
        <f t="shared" si="119"/>
        <v>56</v>
      </c>
      <c r="P415" s="174">
        <f t="shared" si="119"/>
        <v>60</v>
      </c>
      <c r="Q415" s="174">
        <f t="shared" si="119"/>
        <v>70</v>
      </c>
      <c r="R415" s="175">
        <f t="shared" si="119"/>
        <v>0</v>
      </c>
      <c r="S415" s="175">
        <f t="shared" si="119"/>
        <v>0</v>
      </c>
    </row>
    <row r="416" spans="1:19" ht="17.25" thickBot="1">
      <c r="A416" s="63"/>
      <c r="B416" s="63"/>
      <c r="C416" s="63"/>
      <c r="D416" s="63"/>
      <c r="E416" s="63"/>
      <c r="F416" s="63"/>
      <c r="G416" s="63"/>
      <c r="I416" s="298" t="s">
        <v>794</v>
      </c>
      <c r="J416" s="299"/>
      <c r="K416" s="176">
        <f t="shared" ref="K416" si="120">S395-K415</f>
        <v>-60</v>
      </c>
      <c r="L416" s="177">
        <f t="shared" ref="L416" si="121">K415-L415</f>
        <v>9</v>
      </c>
      <c r="M416" s="177">
        <f t="shared" ref="M416" si="122">K415-M415</f>
        <v>2</v>
      </c>
      <c r="N416" s="177">
        <f t="shared" ref="N416" si="123">K415-N415</f>
        <v>7</v>
      </c>
      <c r="O416" s="178">
        <f t="shared" ref="O416" si="124">K415-O415</f>
        <v>4</v>
      </c>
      <c r="P416" s="178">
        <f t="shared" ref="P416" si="125">K415-P415</f>
        <v>0</v>
      </c>
      <c r="Q416" s="178">
        <f t="shared" ref="Q416" si="126">K415-Q415</f>
        <v>-10</v>
      </c>
      <c r="R416" s="179">
        <f t="shared" ref="R416" si="127">K415-R415</f>
        <v>60</v>
      </c>
      <c r="S416" s="180">
        <f t="shared" ref="S416" si="128">L415-S415</f>
        <v>51</v>
      </c>
    </row>
    <row r="417" spans="1:19">
      <c r="A417" s="63"/>
      <c r="B417" s="63"/>
      <c r="C417" s="63"/>
      <c r="D417" s="63"/>
      <c r="E417" s="63"/>
      <c r="F417" s="63"/>
      <c r="G417" s="63"/>
      <c r="I417" s="300" t="s">
        <v>795</v>
      </c>
      <c r="J417" s="301"/>
      <c r="K417" s="181">
        <v>237</v>
      </c>
      <c r="L417" s="182">
        <v>230</v>
      </c>
      <c r="M417" s="182">
        <v>231</v>
      </c>
      <c r="N417" s="182">
        <v>240</v>
      </c>
      <c r="O417" s="183">
        <v>239</v>
      </c>
      <c r="P417" s="182">
        <v>229</v>
      </c>
      <c r="Q417" s="182">
        <v>226</v>
      </c>
      <c r="R417" s="182"/>
      <c r="S417" s="182"/>
    </row>
    <row r="418" spans="1:19">
      <c r="A418" s="63"/>
      <c r="B418" s="63"/>
      <c r="C418" s="63"/>
      <c r="D418" s="63"/>
      <c r="E418" s="63"/>
      <c r="F418" s="63"/>
      <c r="G418" s="63"/>
      <c r="I418" s="302" t="s">
        <v>796</v>
      </c>
      <c r="J418" s="302"/>
      <c r="K418" s="184">
        <v>98</v>
      </c>
      <c r="L418" s="203">
        <v>89</v>
      </c>
      <c r="M418" s="203">
        <v>95</v>
      </c>
      <c r="N418" s="203">
        <v>88</v>
      </c>
      <c r="O418" s="203">
        <v>90</v>
      </c>
      <c r="P418" s="203">
        <v>85</v>
      </c>
      <c r="Q418" s="203">
        <v>90</v>
      </c>
      <c r="R418" s="203"/>
      <c r="S418" s="203"/>
    </row>
    <row r="419" spans="1:19">
      <c r="A419" s="63"/>
      <c r="B419" s="63"/>
      <c r="C419" s="63"/>
      <c r="D419" s="63"/>
      <c r="E419" s="63"/>
      <c r="F419" s="63"/>
      <c r="G419" s="63"/>
      <c r="I419" s="302" t="s">
        <v>797</v>
      </c>
      <c r="J419" s="302"/>
      <c r="K419" s="184">
        <v>139</v>
      </c>
      <c r="L419" s="203">
        <v>141</v>
      </c>
      <c r="M419" s="203">
        <v>136</v>
      </c>
      <c r="N419" s="203">
        <v>152</v>
      </c>
      <c r="O419" s="203">
        <v>149</v>
      </c>
      <c r="P419" s="203">
        <v>144</v>
      </c>
      <c r="Q419" s="203">
        <v>136</v>
      </c>
      <c r="R419" s="203"/>
      <c r="S419" s="203"/>
    </row>
    <row r="420" spans="1:19">
      <c r="A420" s="63"/>
      <c r="B420" s="63"/>
      <c r="C420" s="63"/>
      <c r="D420" s="63"/>
      <c r="E420" s="63"/>
      <c r="F420" s="63"/>
      <c r="G420" s="63"/>
      <c r="I420" s="303" t="s">
        <v>798</v>
      </c>
      <c r="J420" s="303"/>
      <c r="K420" s="184"/>
      <c r="L420" s="185"/>
      <c r="M420" s="185"/>
      <c r="N420" s="185"/>
      <c r="O420" s="185"/>
      <c r="P420" s="204"/>
      <c r="Q420" s="204"/>
      <c r="R420" s="204"/>
      <c r="S420" s="204"/>
    </row>
    <row r="421" spans="1:19">
      <c r="A421" s="3" t="s">
        <v>801</v>
      </c>
      <c r="B421" s="201" t="s">
        <v>802</v>
      </c>
      <c r="C421" s="201" t="s">
        <v>803</v>
      </c>
      <c r="D421" s="201" t="s">
        <v>119</v>
      </c>
      <c r="E421" s="201" t="s">
        <v>148</v>
      </c>
      <c r="F421" s="201" t="s">
        <v>806</v>
      </c>
      <c r="G421" s="201" t="s">
        <v>81</v>
      </c>
      <c r="I421" s="187"/>
      <c r="J421" s="187"/>
      <c r="K421" s="187"/>
      <c r="L421" s="188"/>
      <c r="M421" s="188"/>
      <c r="N421" s="188"/>
      <c r="O421" s="188"/>
      <c r="P421" s="187"/>
      <c r="Q421" s="187"/>
      <c r="R421" s="187"/>
      <c r="S421" s="187"/>
    </row>
    <row r="422" spans="1:19">
      <c r="A422" s="293">
        <v>44060</v>
      </c>
      <c r="B422" s="161">
        <v>0.3</v>
      </c>
      <c r="C422" s="162">
        <v>94</v>
      </c>
      <c r="D422" s="162">
        <v>91</v>
      </c>
      <c r="E422" s="162">
        <v>83</v>
      </c>
      <c r="F422" s="162">
        <v>-8</v>
      </c>
      <c r="G422" s="163">
        <v>0.84809999999999997</v>
      </c>
      <c r="I422" s="191"/>
      <c r="J422" s="190"/>
      <c r="K422" s="190"/>
      <c r="L422" s="190"/>
      <c r="M422" s="190">
        <v>44060</v>
      </c>
      <c r="N422" s="189" t="s">
        <v>864</v>
      </c>
      <c r="O422" s="189"/>
      <c r="P422" s="189"/>
      <c r="Q422" s="189"/>
      <c r="R422" s="189"/>
      <c r="S422" s="189"/>
    </row>
    <row r="423" spans="1:19">
      <c r="A423" s="294"/>
      <c r="B423" s="164">
        <v>0.46597222222222223</v>
      </c>
      <c r="C423" s="165">
        <v>97</v>
      </c>
      <c r="D423" s="165">
        <v>18</v>
      </c>
      <c r="E423" s="165">
        <v>21</v>
      </c>
      <c r="F423" s="165">
        <v>3</v>
      </c>
      <c r="G423" s="166">
        <v>0.85440000000000005</v>
      </c>
      <c r="I423" s="304"/>
      <c r="J423" s="304"/>
      <c r="K423" s="167">
        <v>0.3</v>
      </c>
      <c r="L423" s="168">
        <v>0.46597222222222223</v>
      </c>
      <c r="M423" s="168">
        <v>0.63263888888888886</v>
      </c>
      <c r="N423" s="168">
        <v>0.79999999999999993</v>
      </c>
      <c r="O423" s="169">
        <v>0.96597222222222223</v>
      </c>
      <c r="P423" s="169">
        <v>0.13263888888888889</v>
      </c>
      <c r="Q423" s="169">
        <v>0.3</v>
      </c>
      <c r="R423" s="161"/>
      <c r="S423" s="161"/>
    </row>
    <row r="424" spans="1:19">
      <c r="A424" s="294"/>
      <c r="B424" s="161">
        <v>0.63263888888888886</v>
      </c>
      <c r="C424" s="162">
        <v>87</v>
      </c>
      <c r="D424" s="162">
        <v>36</v>
      </c>
      <c r="E424" s="162">
        <v>39</v>
      </c>
      <c r="F424" s="162">
        <v>3</v>
      </c>
      <c r="G424" s="163">
        <v>0.84550000000000003</v>
      </c>
      <c r="I424" s="295" t="s">
        <v>782</v>
      </c>
      <c r="J424" s="296"/>
      <c r="K424" s="170">
        <v>13</v>
      </c>
      <c r="L424" s="171">
        <v>14</v>
      </c>
      <c r="M424" s="50">
        <v>12</v>
      </c>
      <c r="N424" s="171">
        <v>10</v>
      </c>
      <c r="O424" s="202">
        <v>9</v>
      </c>
      <c r="P424" s="202">
        <v>11</v>
      </c>
      <c r="Q424" s="202">
        <v>8</v>
      </c>
      <c r="R424" s="162"/>
      <c r="S424" s="162"/>
    </row>
    <row r="425" spans="1:19">
      <c r="A425" s="294"/>
      <c r="B425" s="164">
        <v>0.79999999999999993</v>
      </c>
      <c r="C425" s="165">
        <v>81</v>
      </c>
      <c r="D425" s="165">
        <v>55</v>
      </c>
      <c r="E425" s="165">
        <v>55</v>
      </c>
      <c r="F425" s="165">
        <v>0</v>
      </c>
      <c r="G425" s="166">
        <v>0.85580000000000001</v>
      </c>
      <c r="I425" s="295" t="s">
        <v>783</v>
      </c>
      <c r="J425" s="295"/>
      <c r="K425" s="170">
        <v>0</v>
      </c>
      <c r="L425" s="171">
        <v>0</v>
      </c>
      <c r="M425" s="50">
        <v>2</v>
      </c>
      <c r="N425" s="171">
        <v>2</v>
      </c>
      <c r="O425" s="202">
        <v>2</v>
      </c>
      <c r="P425" s="202">
        <v>2</v>
      </c>
      <c r="Q425" s="202">
        <v>1</v>
      </c>
      <c r="R425" s="162"/>
      <c r="S425" s="162"/>
    </row>
    <row r="426" spans="1:19">
      <c r="A426" s="294"/>
      <c r="B426" s="161">
        <v>0.96597222222222223</v>
      </c>
      <c r="C426" s="162">
        <v>78</v>
      </c>
      <c r="D426" s="162">
        <v>69</v>
      </c>
      <c r="E426" s="162">
        <v>70</v>
      </c>
      <c r="F426" s="162">
        <v>1</v>
      </c>
      <c r="G426" s="163">
        <v>0.86099999999999999</v>
      </c>
      <c r="I426" s="295" t="s">
        <v>784</v>
      </c>
      <c r="J426" s="295"/>
      <c r="K426" s="170">
        <v>2</v>
      </c>
      <c r="L426" s="171">
        <v>2</v>
      </c>
      <c r="M426" s="50">
        <v>2</v>
      </c>
      <c r="N426" s="171">
        <v>2</v>
      </c>
      <c r="O426" s="202">
        <v>2</v>
      </c>
      <c r="P426" s="202">
        <v>1</v>
      </c>
      <c r="Q426" s="202">
        <v>1</v>
      </c>
      <c r="R426" s="162"/>
      <c r="S426" s="162"/>
    </row>
    <row r="427" spans="1:19">
      <c r="A427" s="294"/>
      <c r="B427" s="164">
        <v>0.13263888888888889</v>
      </c>
      <c r="C427" s="165">
        <v>79</v>
      </c>
      <c r="D427" s="165">
        <v>84</v>
      </c>
      <c r="E427" s="165">
        <v>75</v>
      </c>
      <c r="F427" s="165">
        <v>-9</v>
      </c>
      <c r="G427" s="166">
        <v>0.8498</v>
      </c>
      <c r="I427" s="295" t="s">
        <v>785</v>
      </c>
      <c r="J427" s="295"/>
      <c r="K427" s="170">
        <v>12</v>
      </c>
      <c r="L427" s="171">
        <v>4</v>
      </c>
      <c r="M427" s="50">
        <v>3</v>
      </c>
      <c r="N427" s="171">
        <v>5</v>
      </c>
      <c r="O427" s="202">
        <v>4</v>
      </c>
      <c r="P427" s="202">
        <v>4</v>
      </c>
      <c r="Q427" s="202">
        <v>5</v>
      </c>
      <c r="R427" s="162"/>
      <c r="S427" s="162"/>
    </row>
    <row r="428" spans="1:19">
      <c r="A428" s="294"/>
      <c r="B428" s="161">
        <v>0.3</v>
      </c>
      <c r="C428" s="162">
        <v>92</v>
      </c>
      <c r="D428" s="162">
        <v>95</v>
      </c>
      <c r="E428" s="162">
        <v>86</v>
      </c>
      <c r="F428" s="162">
        <v>-9</v>
      </c>
      <c r="G428" s="163">
        <v>0.85529999999999995</v>
      </c>
      <c r="I428" s="295" t="s">
        <v>786</v>
      </c>
      <c r="J428" s="295"/>
      <c r="K428" s="170">
        <v>3</v>
      </c>
      <c r="L428" s="171">
        <v>3</v>
      </c>
      <c r="M428" s="50">
        <v>3</v>
      </c>
      <c r="N428" s="171">
        <v>3</v>
      </c>
      <c r="O428" s="202">
        <v>1</v>
      </c>
      <c r="P428" s="202">
        <v>1</v>
      </c>
      <c r="Q428" s="202">
        <v>1</v>
      </c>
      <c r="R428" s="162"/>
      <c r="S428" s="162"/>
    </row>
    <row r="429" spans="1:19">
      <c r="A429" s="294"/>
      <c r="B429" s="164"/>
      <c r="C429" s="165"/>
      <c r="D429" s="165"/>
      <c r="E429" s="165"/>
      <c r="F429" s="165"/>
      <c r="G429" s="166"/>
      <c r="I429" s="295" t="s">
        <v>787</v>
      </c>
      <c r="J429" s="295"/>
      <c r="K429" s="170">
        <v>11</v>
      </c>
      <c r="L429" s="171">
        <v>10</v>
      </c>
      <c r="M429" s="50">
        <v>10</v>
      </c>
      <c r="N429" s="171">
        <v>7</v>
      </c>
      <c r="O429" s="202">
        <v>6</v>
      </c>
      <c r="P429" s="202">
        <v>14</v>
      </c>
      <c r="Q429" s="202">
        <v>9</v>
      </c>
      <c r="R429" s="162"/>
      <c r="S429" s="162"/>
    </row>
    <row r="430" spans="1:19">
      <c r="A430" s="294"/>
      <c r="B430" s="161"/>
      <c r="C430" s="162"/>
      <c r="D430" s="162"/>
      <c r="E430" s="162"/>
      <c r="F430" s="162"/>
      <c r="G430" s="163"/>
      <c r="I430" s="295" t="s">
        <v>788</v>
      </c>
      <c r="J430" s="295"/>
      <c r="K430" s="170">
        <v>0</v>
      </c>
      <c r="L430" s="171">
        <v>0</v>
      </c>
      <c r="M430" s="50">
        <v>0</v>
      </c>
      <c r="N430" s="171">
        <v>0</v>
      </c>
      <c r="O430" s="202">
        <v>0</v>
      </c>
      <c r="P430" s="202">
        <v>0</v>
      </c>
      <c r="Q430" s="202">
        <v>0</v>
      </c>
      <c r="R430" s="162"/>
      <c r="S430" s="162"/>
    </row>
    <row r="431" spans="1:19">
      <c r="A431" s="294"/>
      <c r="B431" s="164"/>
      <c r="C431" s="165"/>
      <c r="D431" s="165"/>
      <c r="E431" s="165"/>
      <c r="F431" s="165"/>
      <c r="G431" s="166"/>
      <c r="I431" s="295" t="s">
        <v>789</v>
      </c>
      <c r="J431" s="295"/>
      <c r="K431" s="170">
        <v>4</v>
      </c>
      <c r="L431" s="171">
        <v>5</v>
      </c>
      <c r="M431" s="50">
        <v>7</v>
      </c>
      <c r="N431" s="171">
        <v>6</v>
      </c>
      <c r="O431" s="202">
        <v>7</v>
      </c>
      <c r="P431" s="202">
        <v>5</v>
      </c>
      <c r="Q431" s="202">
        <v>13</v>
      </c>
      <c r="R431" s="162"/>
      <c r="S431" s="162"/>
    </row>
    <row r="432" spans="1:19">
      <c r="A432" s="63"/>
      <c r="B432" s="63"/>
      <c r="C432" s="63"/>
      <c r="D432" s="63"/>
      <c r="E432" s="63"/>
      <c r="F432" s="63"/>
      <c r="G432" s="63"/>
      <c r="I432" s="295" t="s">
        <v>790</v>
      </c>
      <c r="J432" s="295"/>
      <c r="K432" s="170">
        <v>3</v>
      </c>
      <c r="L432" s="171">
        <v>3</v>
      </c>
      <c r="M432" s="50">
        <v>3</v>
      </c>
      <c r="N432" s="171">
        <v>3</v>
      </c>
      <c r="O432" s="202">
        <v>3</v>
      </c>
      <c r="P432" s="202">
        <v>2</v>
      </c>
      <c r="Q432" s="202">
        <v>2</v>
      </c>
      <c r="R432" s="162"/>
      <c r="S432" s="162"/>
    </row>
    <row r="433" spans="1:19">
      <c r="A433" s="63"/>
      <c r="B433" s="63"/>
      <c r="C433" s="63"/>
      <c r="D433" s="63"/>
      <c r="E433" s="63"/>
      <c r="F433" s="63"/>
      <c r="G433" s="63"/>
      <c r="I433" s="295" t="s">
        <v>791</v>
      </c>
      <c r="J433" s="295"/>
      <c r="K433" s="170">
        <v>20</v>
      </c>
      <c r="L433" s="171">
        <v>22</v>
      </c>
      <c r="M433" s="50">
        <v>22</v>
      </c>
      <c r="N433" s="171">
        <v>26</v>
      </c>
      <c r="O433" s="202">
        <v>22</v>
      </c>
      <c r="P433" s="202">
        <v>24</v>
      </c>
      <c r="Q433" s="202">
        <v>23</v>
      </c>
      <c r="R433" s="162"/>
      <c r="S433" s="162"/>
    </row>
    <row r="434" spans="1:19">
      <c r="A434" s="63"/>
      <c r="B434" s="63"/>
      <c r="C434" s="63"/>
      <c r="D434" s="63"/>
      <c r="E434" s="63"/>
      <c r="F434" s="63"/>
      <c r="G434" s="63"/>
      <c r="I434" s="296" t="s">
        <v>792</v>
      </c>
      <c r="J434" s="296"/>
      <c r="K434" s="170">
        <v>2</v>
      </c>
      <c r="L434" s="171">
        <v>3</v>
      </c>
      <c r="M434" s="50">
        <v>3</v>
      </c>
      <c r="N434" s="171">
        <v>0</v>
      </c>
      <c r="O434" s="202">
        <v>1</v>
      </c>
      <c r="P434" s="202">
        <v>0</v>
      </c>
      <c r="Q434" s="202">
        <v>4</v>
      </c>
      <c r="R434" s="162"/>
      <c r="S434" s="162"/>
    </row>
    <row r="435" spans="1:19" ht="17.25" thickBot="1">
      <c r="A435" s="63"/>
      <c r="B435" s="63"/>
      <c r="C435" s="63"/>
      <c r="D435" s="63"/>
      <c r="E435" s="63"/>
      <c r="F435" s="63"/>
      <c r="G435" s="63"/>
      <c r="I435" s="297" t="s">
        <v>793</v>
      </c>
      <c r="J435" s="297"/>
      <c r="K435" s="172">
        <f t="shared" ref="K435:S435" si="129">SUM(K424:K434)</f>
        <v>70</v>
      </c>
      <c r="L435" s="205">
        <f t="shared" si="129"/>
        <v>66</v>
      </c>
      <c r="M435" s="205">
        <f t="shared" si="129"/>
        <v>67</v>
      </c>
      <c r="N435" s="205">
        <f t="shared" si="129"/>
        <v>64</v>
      </c>
      <c r="O435" s="174">
        <f t="shared" si="129"/>
        <v>57</v>
      </c>
      <c r="P435" s="174">
        <f t="shared" si="129"/>
        <v>64</v>
      </c>
      <c r="Q435" s="174">
        <f t="shared" si="129"/>
        <v>67</v>
      </c>
      <c r="R435" s="175">
        <f t="shared" si="129"/>
        <v>0</v>
      </c>
      <c r="S435" s="175">
        <f t="shared" si="129"/>
        <v>0</v>
      </c>
    </row>
    <row r="436" spans="1:19" ht="17.25" thickBot="1">
      <c r="A436" s="63"/>
      <c r="B436" s="63"/>
      <c r="C436" s="63"/>
      <c r="D436" s="63"/>
      <c r="E436" s="63"/>
      <c r="F436" s="63"/>
      <c r="G436" s="63"/>
      <c r="I436" s="298" t="s">
        <v>794</v>
      </c>
      <c r="J436" s="299"/>
      <c r="K436" s="176">
        <f t="shared" ref="K436" si="130">S415-K435</f>
        <v>-70</v>
      </c>
      <c r="L436" s="177">
        <f t="shared" ref="L436" si="131">K435-L435</f>
        <v>4</v>
      </c>
      <c r="M436" s="177">
        <f t="shared" ref="M436" si="132">K435-M435</f>
        <v>3</v>
      </c>
      <c r="N436" s="177">
        <f t="shared" ref="N436" si="133">K435-N435</f>
        <v>6</v>
      </c>
      <c r="O436" s="178">
        <f t="shared" ref="O436" si="134">K435-O435</f>
        <v>13</v>
      </c>
      <c r="P436" s="178">
        <f t="shared" ref="P436" si="135">K435-P435</f>
        <v>6</v>
      </c>
      <c r="Q436" s="178">
        <f t="shared" ref="Q436" si="136">K435-Q435</f>
        <v>3</v>
      </c>
      <c r="R436" s="179">
        <f t="shared" ref="R436" si="137">K435-R435</f>
        <v>70</v>
      </c>
      <c r="S436" s="180">
        <f t="shared" ref="S436" si="138">L435-S435</f>
        <v>66</v>
      </c>
    </row>
    <row r="437" spans="1:19">
      <c r="A437" s="63"/>
      <c r="B437" s="63"/>
      <c r="C437" s="63"/>
      <c r="D437" s="63"/>
      <c r="E437" s="63"/>
      <c r="F437" s="63"/>
      <c r="G437" s="63"/>
      <c r="I437" s="300" t="s">
        <v>795</v>
      </c>
      <c r="J437" s="301"/>
      <c r="K437" s="181">
        <v>226</v>
      </c>
      <c r="L437" s="182">
        <v>235</v>
      </c>
      <c r="M437" s="182">
        <v>237</v>
      </c>
      <c r="N437" s="182">
        <v>216</v>
      </c>
      <c r="O437" s="183">
        <v>216</v>
      </c>
      <c r="P437" s="182">
        <v>220</v>
      </c>
      <c r="Q437" s="182">
        <v>238</v>
      </c>
      <c r="R437" s="182"/>
      <c r="S437" s="182"/>
    </row>
    <row r="438" spans="1:19">
      <c r="A438" s="63"/>
      <c r="B438" s="63"/>
      <c r="C438" s="63"/>
      <c r="D438" s="63"/>
      <c r="E438" s="63"/>
      <c r="F438" s="63"/>
      <c r="G438" s="63"/>
      <c r="I438" s="302" t="s">
        <v>796</v>
      </c>
      <c r="J438" s="302"/>
      <c r="K438" s="184">
        <v>90</v>
      </c>
      <c r="L438" s="203">
        <v>97</v>
      </c>
      <c r="M438" s="203">
        <v>90</v>
      </c>
      <c r="N438" s="203">
        <v>78</v>
      </c>
      <c r="O438" s="203">
        <v>78</v>
      </c>
      <c r="P438" s="203">
        <v>83</v>
      </c>
      <c r="Q438" s="203">
        <v>91</v>
      </c>
      <c r="R438" s="203"/>
      <c r="S438" s="203"/>
    </row>
    <row r="439" spans="1:19">
      <c r="A439" s="63"/>
      <c r="B439" s="63"/>
      <c r="C439" s="63"/>
      <c r="D439" s="63"/>
      <c r="E439" s="63"/>
      <c r="F439" s="63"/>
      <c r="G439" s="63"/>
      <c r="I439" s="302" t="s">
        <v>797</v>
      </c>
      <c r="J439" s="302"/>
      <c r="K439" s="184">
        <v>136</v>
      </c>
      <c r="L439" s="203">
        <v>138</v>
      </c>
      <c r="M439" s="203">
        <v>147</v>
      </c>
      <c r="N439" s="203">
        <v>138</v>
      </c>
      <c r="O439" s="203">
        <v>138</v>
      </c>
      <c r="P439" s="203">
        <v>137</v>
      </c>
      <c r="Q439" s="203">
        <v>147</v>
      </c>
      <c r="R439" s="203"/>
      <c r="S439" s="203"/>
    </row>
    <row r="440" spans="1:19">
      <c r="A440" s="63"/>
      <c r="B440" s="63"/>
      <c r="C440" s="63"/>
      <c r="D440" s="63"/>
      <c r="E440" s="63"/>
      <c r="F440" s="63"/>
      <c r="G440" s="63"/>
      <c r="I440" s="303" t="s">
        <v>798</v>
      </c>
      <c r="J440" s="303"/>
      <c r="K440" s="184"/>
      <c r="L440" s="185"/>
      <c r="M440" s="185"/>
      <c r="N440" s="185"/>
      <c r="O440" s="185"/>
      <c r="P440" s="204"/>
      <c r="Q440" s="204"/>
      <c r="R440" s="204"/>
      <c r="S440" s="204"/>
    </row>
    <row r="441" spans="1:19">
      <c r="A441" s="3" t="s">
        <v>801</v>
      </c>
      <c r="B441" s="201" t="s">
        <v>802</v>
      </c>
      <c r="C441" s="201" t="s">
        <v>803</v>
      </c>
      <c r="D441" s="201" t="s">
        <v>119</v>
      </c>
      <c r="E441" s="201" t="s">
        <v>148</v>
      </c>
      <c r="F441" s="201" t="s">
        <v>806</v>
      </c>
      <c r="G441" s="201" t="s">
        <v>81</v>
      </c>
      <c r="I441" s="187"/>
      <c r="J441" s="187"/>
      <c r="K441" s="187"/>
      <c r="L441" s="188"/>
      <c r="M441" s="188"/>
      <c r="N441" s="188"/>
      <c r="O441" s="188"/>
      <c r="P441" s="187"/>
      <c r="Q441" s="187"/>
      <c r="R441" s="187"/>
      <c r="S441" s="187"/>
    </row>
    <row r="442" spans="1:19">
      <c r="A442" s="293">
        <v>44061</v>
      </c>
      <c r="B442" s="161">
        <v>0.3</v>
      </c>
      <c r="C442" s="162">
        <v>92</v>
      </c>
      <c r="D442" s="162">
        <v>95</v>
      </c>
      <c r="E442" s="162">
        <v>86</v>
      </c>
      <c r="F442" s="162">
        <v>-9</v>
      </c>
      <c r="G442" s="163">
        <v>0.85529999999999995</v>
      </c>
      <c r="I442" s="191"/>
      <c r="J442" s="190"/>
      <c r="K442" s="190"/>
      <c r="L442" s="190"/>
      <c r="M442" s="190">
        <v>44061</v>
      </c>
      <c r="N442" s="189" t="s">
        <v>864</v>
      </c>
      <c r="O442" s="189"/>
      <c r="P442" s="189"/>
      <c r="Q442" s="189"/>
      <c r="R442" s="189"/>
      <c r="S442" s="189"/>
    </row>
    <row r="443" spans="1:19">
      <c r="A443" s="294"/>
      <c r="B443" s="164">
        <v>0.46597222222222223</v>
      </c>
      <c r="C443" s="165">
        <v>73</v>
      </c>
      <c r="D443" s="165">
        <v>19</v>
      </c>
      <c r="E443" s="165">
        <v>8</v>
      </c>
      <c r="F443" s="165">
        <v>-11</v>
      </c>
      <c r="G443" s="166">
        <v>0.84540000000000004</v>
      </c>
      <c r="I443" s="304"/>
      <c r="J443" s="304"/>
      <c r="K443" s="167">
        <v>0.3</v>
      </c>
      <c r="L443" s="168">
        <v>0.46597222222222223</v>
      </c>
      <c r="M443" s="168">
        <v>0.6333333333333333</v>
      </c>
      <c r="N443" s="168">
        <v>0.7993055555555556</v>
      </c>
      <c r="O443" s="169">
        <v>0.96597222222222223</v>
      </c>
      <c r="P443" s="169">
        <v>0.13263888888888889</v>
      </c>
      <c r="Q443" s="169">
        <v>0.29930555555555555</v>
      </c>
      <c r="R443" s="161"/>
      <c r="S443" s="161"/>
    </row>
    <row r="444" spans="1:19">
      <c r="A444" s="294"/>
      <c r="B444" s="161">
        <v>0.6333333333333333</v>
      </c>
      <c r="C444" s="162">
        <v>61</v>
      </c>
      <c r="D444" s="162">
        <v>33</v>
      </c>
      <c r="E444" s="162">
        <v>22</v>
      </c>
      <c r="F444" s="162">
        <v>-11</v>
      </c>
      <c r="G444" s="163">
        <v>0.83979999999999999</v>
      </c>
      <c r="I444" s="295" t="s">
        <v>782</v>
      </c>
      <c r="J444" s="296"/>
      <c r="K444" s="170">
        <v>8</v>
      </c>
      <c r="L444" s="171">
        <v>11</v>
      </c>
      <c r="M444" s="50">
        <v>7</v>
      </c>
      <c r="N444" s="171">
        <v>6</v>
      </c>
      <c r="O444" s="202">
        <v>9</v>
      </c>
      <c r="P444" s="202">
        <v>13</v>
      </c>
      <c r="Q444" s="202">
        <v>6</v>
      </c>
      <c r="R444" s="162"/>
      <c r="S444" s="162"/>
    </row>
    <row r="445" spans="1:19">
      <c r="A445" s="294"/>
      <c r="B445" s="164">
        <v>0.7993055555555556</v>
      </c>
      <c r="C445" s="165">
        <v>53</v>
      </c>
      <c r="D445" s="165">
        <v>56</v>
      </c>
      <c r="E445" s="165">
        <v>38</v>
      </c>
      <c r="F445" s="165">
        <v>-18</v>
      </c>
      <c r="G445" s="166">
        <v>0.84870000000000001</v>
      </c>
      <c r="I445" s="295" t="s">
        <v>783</v>
      </c>
      <c r="J445" s="295"/>
      <c r="K445" s="170">
        <v>1</v>
      </c>
      <c r="L445" s="171">
        <v>1</v>
      </c>
      <c r="M445" s="50">
        <v>1</v>
      </c>
      <c r="N445" s="171">
        <v>1</v>
      </c>
      <c r="O445" s="202">
        <v>1</v>
      </c>
      <c r="P445" s="202">
        <v>0</v>
      </c>
      <c r="Q445" s="202">
        <v>0</v>
      </c>
      <c r="R445" s="162"/>
      <c r="S445" s="162"/>
    </row>
    <row r="446" spans="1:19">
      <c r="A446" s="294"/>
      <c r="B446" s="161">
        <v>0.96597222222222223</v>
      </c>
      <c r="C446" s="162">
        <v>55</v>
      </c>
      <c r="D446" s="162">
        <v>79</v>
      </c>
      <c r="E446" s="162">
        <v>56</v>
      </c>
      <c r="F446" s="162">
        <v>-23</v>
      </c>
      <c r="G446" s="163">
        <v>0.84299999999999997</v>
      </c>
      <c r="I446" s="295" t="s">
        <v>784</v>
      </c>
      <c r="J446" s="295"/>
      <c r="K446" s="170">
        <v>1</v>
      </c>
      <c r="L446" s="171">
        <v>1</v>
      </c>
      <c r="M446" s="50">
        <v>1</v>
      </c>
      <c r="N446" s="171">
        <v>1</v>
      </c>
      <c r="O446" s="202">
        <v>1</v>
      </c>
      <c r="P446" s="202">
        <v>2</v>
      </c>
      <c r="Q446" s="202">
        <v>2</v>
      </c>
      <c r="R446" s="162"/>
      <c r="S446" s="162"/>
    </row>
    <row r="447" spans="1:19">
      <c r="A447" s="294"/>
      <c r="B447" s="164">
        <v>0.13263888888888889</v>
      </c>
      <c r="C447" s="165">
        <v>61</v>
      </c>
      <c r="D447" s="165">
        <v>96</v>
      </c>
      <c r="E447" s="165">
        <v>79</v>
      </c>
      <c r="F447" s="165">
        <v>-17</v>
      </c>
      <c r="G447" s="166">
        <v>0.84430000000000005</v>
      </c>
      <c r="I447" s="295" t="s">
        <v>785</v>
      </c>
      <c r="J447" s="295"/>
      <c r="K447" s="170">
        <v>5</v>
      </c>
      <c r="L447" s="171">
        <v>5</v>
      </c>
      <c r="M447" s="50">
        <v>14</v>
      </c>
      <c r="N447" s="171">
        <v>11</v>
      </c>
      <c r="O447" s="202">
        <v>11</v>
      </c>
      <c r="P447" s="202">
        <v>11</v>
      </c>
      <c r="Q447" s="202">
        <v>6</v>
      </c>
      <c r="R447" s="162"/>
      <c r="S447" s="162"/>
    </row>
    <row r="448" spans="1:19">
      <c r="A448" s="294"/>
      <c r="B448" s="161">
        <v>0.29930555555555555</v>
      </c>
      <c r="C448" s="162">
        <v>67</v>
      </c>
      <c r="D448" s="162">
        <v>107</v>
      </c>
      <c r="E448" s="162">
        <v>107</v>
      </c>
      <c r="F448" s="162">
        <v>0</v>
      </c>
      <c r="G448" s="163">
        <v>0.86819999999999997</v>
      </c>
      <c r="I448" s="295" t="s">
        <v>786</v>
      </c>
      <c r="J448" s="295"/>
      <c r="K448" s="170">
        <v>1</v>
      </c>
      <c r="L448" s="171">
        <v>1</v>
      </c>
      <c r="M448" s="50">
        <v>1</v>
      </c>
      <c r="N448" s="171">
        <v>1</v>
      </c>
      <c r="O448" s="202">
        <v>1</v>
      </c>
      <c r="P448" s="202">
        <v>0</v>
      </c>
      <c r="Q448" s="202">
        <v>0</v>
      </c>
      <c r="R448" s="162"/>
      <c r="S448" s="162"/>
    </row>
    <row r="449" spans="1:19">
      <c r="A449" s="294"/>
      <c r="B449" s="164"/>
      <c r="C449" s="165"/>
      <c r="D449" s="165"/>
      <c r="E449" s="165"/>
      <c r="F449" s="165"/>
      <c r="G449" s="166"/>
      <c r="I449" s="295" t="s">
        <v>787</v>
      </c>
      <c r="J449" s="295"/>
      <c r="K449" s="170">
        <v>9</v>
      </c>
      <c r="L449" s="171">
        <v>9</v>
      </c>
      <c r="M449" s="50">
        <v>10</v>
      </c>
      <c r="N449" s="171">
        <v>8</v>
      </c>
      <c r="O449" s="202">
        <v>10</v>
      </c>
      <c r="P449" s="202">
        <v>8</v>
      </c>
      <c r="Q449" s="202">
        <v>9</v>
      </c>
      <c r="R449" s="162"/>
      <c r="S449" s="162"/>
    </row>
    <row r="450" spans="1:19">
      <c r="A450" s="294"/>
      <c r="B450" s="161"/>
      <c r="C450" s="162"/>
      <c r="D450" s="162"/>
      <c r="E450" s="162"/>
      <c r="F450" s="162"/>
      <c r="G450" s="163"/>
      <c r="I450" s="295" t="s">
        <v>788</v>
      </c>
      <c r="J450" s="295"/>
      <c r="K450" s="170">
        <v>0</v>
      </c>
      <c r="L450" s="171">
        <v>0</v>
      </c>
      <c r="M450" s="50">
        <v>0</v>
      </c>
      <c r="N450" s="171">
        <v>0</v>
      </c>
      <c r="O450" s="202">
        <v>0</v>
      </c>
      <c r="P450" s="202">
        <v>0</v>
      </c>
      <c r="Q450" s="202">
        <v>0</v>
      </c>
      <c r="R450" s="162"/>
      <c r="S450" s="162"/>
    </row>
    <row r="451" spans="1:19">
      <c r="A451" s="294"/>
      <c r="B451" s="164"/>
      <c r="C451" s="165"/>
      <c r="D451" s="165"/>
      <c r="E451" s="165"/>
      <c r="F451" s="165"/>
      <c r="G451" s="166"/>
      <c r="I451" s="295" t="s">
        <v>789</v>
      </c>
      <c r="J451" s="295"/>
      <c r="K451" s="170">
        <v>13</v>
      </c>
      <c r="L451" s="171">
        <v>9</v>
      </c>
      <c r="M451" s="50">
        <v>8</v>
      </c>
      <c r="N451" s="171">
        <v>9</v>
      </c>
      <c r="O451" s="202">
        <v>13</v>
      </c>
      <c r="P451" s="202">
        <v>12</v>
      </c>
      <c r="Q451" s="202">
        <v>9</v>
      </c>
      <c r="R451" s="162"/>
      <c r="S451" s="162"/>
    </row>
    <row r="452" spans="1:19">
      <c r="A452" s="63"/>
      <c r="B452" s="63"/>
      <c r="C452" s="63"/>
      <c r="D452" s="63"/>
      <c r="E452" s="63"/>
      <c r="F452" s="63"/>
      <c r="G452" s="63"/>
      <c r="I452" s="295" t="s">
        <v>790</v>
      </c>
      <c r="J452" s="295"/>
      <c r="K452" s="170">
        <v>2</v>
      </c>
      <c r="L452" s="171">
        <v>2</v>
      </c>
      <c r="M452" s="50">
        <v>4</v>
      </c>
      <c r="N452" s="171">
        <v>2</v>
      </c>
      <c r="O452" s="202">
        <v>2</v>
      </c>
      <c r="P452" s="202">
        <v>0</v>
      </c>
      <c r="Q452" s="202">
        <v>0</v>
      </c>
      <c r="R452" s="162"/>
      <c r="S452" s="162"/>
    </row>
    <row r="453" spans="1:19">
      <c r="A453" s="63"/>
      <c r="B453" s="63"/>
      <c r="C453" s="63"/>
      <c r="D453" s="63"/>
      <c r="E453" s="63"/>
      <c r="F453" s="63"/>
      <c r="G453" s="63"/>
      <c r="I453" s="295" t="s">
        <v>791</v>
      </c>
      <c r="J453" s="295"/>
      <c r="K453" s="170">
        <v>23</v>
      </c>
      <c r="L453" s="171">
        <v>26</v>
      </c>
      <c r="M453" s="50">
        <v>27</v>
      </c>
      <c r="N453" s="171">
        <v>27</v>
      </c>
      <c r="O453" s="202">
        <v>24</v>
      </c>
      <c r="P453" s="202">
        <v>24</v>
      </c>
      <c r="Q453" s="202">
        <v>20</v>
      </c>
      <c r="R453" s="162"/>
      <c r="S453" s="162"/>
    </row>
    <row r="454" spans="1:19">
      <c r="A454" s="63"/>
      <c r="B454" s="63"/>
      <c r="C454" s="63"/>
      <c r="D454" s="63"/>
      <c r="E454" s="63"/>
      <c r="F454" s="63"/>
      <c r="G454" s="63"/>
      <c r="I454" s="296" t="s">
        <v>792</v>
      </c>
      <c r="J454" s="296"/>
      <c r="K454" s="170">
        <v>4</v>
      </c>
      <c r="L454" s="171">
        <v>5</v>
      </c>
      <c r="M454" s="50">
        <v>4</v>
      </c>
      <c r="N454" s="171">
        <v>3</v>
      </c>
      <c r="O454" s="202">
        <v>6</v>
      </c>
      <c r="P454" s="202">
        <v>8</v>
      </c>
      <c r="Q454" s="202">
        <v>2</v>
      </c>
      <c r="R454" s="162"/>
      <c r="S454" s="162"/>
    </row>
    <row r="455" spans="1:19" ht="17.25" thickBot="1">
      <c r="A455" s="63"/>
      <c r="B455" s="63"/>
      <c r="C455" s="63"/>
      <c r="D455" s="63"/>
      <c r="E455" s="63"/>
      <c r="F455" s="63"/>
      <c r="G455" s="63"/>
      <c r="I455" s="297" t="s">
        <v>793</v>
      </c>
      <c r="J455" s="297"/>
      <c r="K455" s="172">
        <f t="shared" ref="K455:S455" si="139">SUM(K444:K454)</f>
        <v>67</v>
      </c>
      <c r="L455" s="205">
        <f t="shared" si="139"/>
        <v>70</v>
      </c>
      <c r="M455" s="205">
        <f t="shared" si="139"/>
        <v>77</v>
      </c>
      <c r="N455" s="205">
        <f t="shared" si="139"/>
        <v>69</v>
      </c>
      <c r="O455" s="174">
        <f t="shared" si="139"/>
        <v>78</v>
      </c>
      <c r="P455" s="174">
        <f t="shared" si="139"/>
        <v>78</v>
      </c>
      <c r="Q455" s="174">
        <f t="shared" si="139"/>
        <v>54</v>
      </c>
      <c r="R455" s="175">
        <f t="shared" si="139"/>
        <v>0</v>
      </c>
      <c r="S455" s="175">
        <f t="shared" si="139"/>
        <v>0</v>
      </c>
    </row>
    <row r="456" spans="1:19" ht="17.25" thickBot="1">
      <c r="A456" s="63"/>
      <c r="B456" s="63"/>
      <c r="C456" s="63"/>
      <c r="D456" s="63"/>
      <c r="E456" s="63"/>
      <c r="F456" s="63"/>
      <c r="G456" s="63"/>
      <c r="I456" s="298" t="s">
        <v>794</v>
      </c>
      <c r="J456" s="299"/>
      <c r="K456" s="176">
        <f t="shared" ref="K456" si="140">S435-K455</f>
        <v>-67</v>
      </c>
      <c r="L456" s="177">
        <f t="shared" ref="L456" si="141">K455-L455</f>
        <v>-3</v>
      </c>
      <c r="M456" s="177">
        <f t="shared" ref="M456" si="142">K455-M455</f>
        <v>-10</v>
      </c>
      <c r="N456" s="177">
        <f t="shared" ref="N456" si="143">K455-N455</f>
        <v>-2</v>
      </c>
      <c r="O456" s="178">
        <f t="shared" ref="O456" si="144">K455-O455</f>
        <v>-11</v>
      </c>
      <c r="P456" s="178">
        <f t="shared" ref="P456" si="145">K455-P455</f>
        <v>-11</v>
      </c>
      <c r="Q456" s="178">
        <f t="shared" ref="Q456" si="146">K455-Q455</f>
        <v>13</v>
      </c>
      <c r="R456" s="179">
        <f t="shared" ref="R456" si="147">K455-R455</f>
        <v>67</v>
      </c>
      <c r="S456" s="180">
        <f t="shared" ref="S456" si="148">L455-S455</f>
        <v>70</v>
      </c>
    </row>
    <row r="457" spans="1:19">
      <c r="A457" s="63"/>
      <c r="B457" s="63"/>
      <c r="C457" s="63"/>
      <c r="D457" s="63"/>
      <c r="E457" s="63"/>
      <c r="F457" s="63"/>
      <c r="G457" s="63"/>
      <c r="I457" s="300" t="s">
        <v>795</v>
      </c>
      <c r="J457" s="301"/>
      <c r="K457" s="181">
        <v>238</v>
      </c>
      <c r="L457" s="182">
        <v>222</v>
      </c>
      <c r="M457" s="182">
        <v>211</v>
      </c>
      <c r="N457" s="182">
        <v>196</v>
      </c>
      <c r="O457" s="183">
        <v>199</v>
      </c>
      <c r="P457" s="182">
        <v>203</v>
      </c>
      <c r="Q457" s="182">
        <v>222</v>
      </c>
      <c r="R457" s="182"/>
      <c r="S457" s="182"/>
    </row>
    <row r="458" spans="1:19">
      <c r="A458" s="63"/>
      <c r="B458" s="63"/>
      <c r="C458" s="63"/>
      <c r="D458" s="63"/>
      <c r="E458" s="63"/>
      <c r="F458" s="63"/>
      <c r="G458" s="63"/>
      <c r="I458" s="302" t="s">
        <v>796</v>
      </c>
      <c r="J458" s="302"/>
      <c r="K458" s="184">
        <v>91</v>
      </c>
      <c r="L458" s="203">
        <v>72</v>
      </c>
      <c r="M458" s="203">
        <v>60</v>
      </c>
      <c r="N458" s="203">
        <v>57</v>
      </c>
      <c r="O458" s="203">
        <v>58</v>
      </c>
      <c r="P458" s="203">
        <v>60</v>
      </c>
      <c r="Q458" s="203">
        <v>67</v>
      </c>
      <c r="R458" s="203"/>
      <c r="S458" s="203"/>
    </row>
    <row r="459" spans="1:19">
      <c r="A459" s="63"/>
      <c r="B459" s="63"/>
      <c r="C459" s="63"/>
      <c r="D459" s="63"/>
      <c r="E459" s="63"/>
      <c r="F459" s="63"/>
      <c r="G459" s="63"/>
      <c r="I459" s="302" t="s">
        <v>797</v>
      </c>
      <c r="J459" s="302"/>
      <c r="K459" s="184">
        <v>147</v>
      </c>
      <c r="L459" s="203">
        <v>150</v>
      </c>
      <c r="M459" s="203">
        <v>151</v>
      </c>
      <c r="N459" s="203">
        <v>139</v>
      </c>
      <c r="O459" s="203">
        <v>141</v>
      </c>
      <c r="P459" s="203">
        <v>143</v>
      </c>
      <c r="Q459" s="203">
        <v>155</v>
      </c>
      <c r="R459" s="203"/>
      <c r="S459" s="203"/>
    </row>
    <row r="460" spans="1:19">
      <c r="A460" s="63"/>
      <c r="B460" s="63"/>
      <c r="C460" s="63"/>
      <c r="D460" s="63"/>
      <c r="E460" s="63"/>
      <c r="F460" s="63"/>
      <c r="G460" s="63"/>
      <c r="I460" s="303" t="s">
        <v>798</v>
      </c>
      <c r="J460" s="303"/>
      <c r="K460" s="184"/>
      <c r="L460" s="185"/>
      <c r="M460" s="185"/>
      <c r="N460" s="185"/>
      <c r="O460" s="185"/>
      <c r="P460" s="204"/>
      <c r="Q460" s="204"/>
      <c r="R460" s="204"/>
      <c r="S460" s="204"/>
    </row>
    <row r="461" spans="1:19">
      <c r="A461" s="3" t="s">
        <v>801</v>
      </c>
      <c r="B461" s="201" t="s">
        <v>802</v>
      </c>
      <c r="C461" s="201" t="s">
        <v>803</v>
      </c>
      <c r="D461" s="201" t="s">
        <v>119</v>
      </c>
      <c r="E461" s="201" t="s">
        <v>148</v>
      </c>
      <c r="F461" s="201" t="s">
        <v>806</v>
      </c>
      <c r="G461" s="201" t="s">
        <v>81</v>
      </c>
      <c r="I461" s="187"/>
      <c r="J461" s="187"/>
      <c r="K461" s="187"/>
      <c r="L461" s="188"/>
      <c r="M461" s="188"/>
      <c r="N461" s="188"/>
      <c r="O461" s="188"/>
      <c r="P461" s="187"/>
      <c r="Q461" s="187"/>
      <c r="R461" s="187"/>
      <c r="S461" s="187"/>
    </row>
    <row r="462" spans="1:19">
      <c r="A462" s="293">
        <v>44062</v>
      </c>
      <c r="B462" s="161">
        <v>0.29930555555555555</v>
      </c>
      <c r="C462" s="162">
        <v>67</v>
      </c>
      <c r="D462" s="162">
        <v>107</v>
      </c>
      <c r="E462" s="162">
        <v>107</v>
      </c>
      <c r="F462" s="162">
        <v>0</v>
      </c>
      <c r="G462" s="163">
        <v>0.86819999999999997</v>
      </c>
      <c r="I462" s="191"/>
      <c r="J462" s="190"/>
      <c r="K462" s="190"/>
      <c r="L462" s="190"/>
      <c r="M462" s="190">
        <v>44062</v>
      </c>
      <c r="N462" s="189" t="s">
        <v>864</v>
      </c>
      <c r="O462" s="189"/>
      <c r="P462" s="189"/>
      <c r="Q462" s="189"/>
      <c r="R462" s="189"/>
      <c r="S462" s="189"/>
    </row>
    <row r="463" spans="1:19">
      <c r="A463" s="294"/>
      <c r="B463" s="164">
        <v>0.46666666666666662</v>
      </c>
      <c r="C463" s="165">
        <v>54</v>
      </c>
      <c r="D463" s="165">
        <v>22</v>
      </c>
      <c r="E463" s="165">
        <v>15</v>
      </c>
      <c r="F463" s="165">
        <v>-7</v>
      </c>
      <c r="G463" s="166">
        <v>0.85880000000000001</v>
      </c>
      <c r="I463" s="304"/>
      <c r="J463" s="304"/>
      <c r="K463" s="167">
        <v>0.29930555555555555</v>
      </c>
      <c r="L463" s="168">
        <v>0.46666666666666662</v>
      </c>
      <c r="M463" s="168">
        <v>0.6333333333333333</v>
      </c>
      <c r="N463" s="168">
        <v>0.79999999999999993</v>
      </c>
      <c r="O463" s="169">
        <v>0.96597222222222223</v>
      </c>
      <c r="P463" s="169">
        <v>0.13263888888888889</v>
      </c>
      <c r="Q463" s="169">
        <v>0.30416666666666664</v>
      </c>
      <c r="R463" s="161"/>
      <c r="S463" s="161"/>
    </row>
    <row r="464" spans="1:19">
      <c r="A464" s="294"/>
      <c r="B464" s="161">
        <v>0.6333333333333333</v>
      </c>
      <c r="C464" s="162">
        <v>57</v>
      </c>
      <c r="D464" s="162">
        <v>48</v>
      </c>
      <c r="E464" s="162">
        <v>32</v>
      </c>
      <c r="F464" s="162">
        <v>-16</v>
      </c>
      <c r="G464" s="163">
        <v>0.8548</v>
      </c>
      <c r="I464" s="295" t="s">
        <v>782</v>
      </c>
      <c r="J464" s="296"/>
      <c r="K464" s="170">
        <v>6</v>
      </c>
      <c r="L464" s="171">
        <v>6</v>
      </c>
      <c r="M464" s="50">
        <v>6</v>
      </c>
      <c r="N464" s="171">
        <v>5</v>
      </c>
      <c r="O464" s="202">
        <v>6</v>
      </c>
      <c r="P464" s="202">
        <v>6</v>
      </c>
      <c r="Q464" s="202">
        <v>10</v>
      </c>
      <c r="R464" s="162"/>
      <c r="S464" s="162"/>
    </row>
    <row r="465" spans="1:19">
      <c r="A465" s="294"/>
      <c r="B465" s="164">
        <v>0.79999999999999993</v>
      </c>
      <c r="C465" s="165">
        <v>51</v>
      </c>
      <c r="D465" s="165">
        <v>66</v>
      </c>
      <c r="E465" s="165">
        <v>48</v>
      </c>
      <c r="F465" s="165">
        <v>-18</v>
      </c>
      <c r="G465" s="166">
        <v>0.84960000000000002</v>
      </c>
      <c r="I465" s="295" t="s">
        <v>783</v>
      </c>
      <c r="J465" s="295"/>
      <c r="K465" s="170">
        <v>0</v>
      </c>
      <c r="L465" s="171">
        <v>0</v>
      </c>
      <c r="M465" s="50">
        <v>0</v>
      </c>
      <c r="N465" s="171">
        <v>0</v>
      </c>
      <c r="O465" s="202">
        <v>0</v>
      </c>
      <c r="P465" s="202">
        <v>1</v>
      </c>
      <c r="Q465" s="202">
        <v>0</v>
      </c>
      <c r="R465" s="162"/>
      <c r="S465" s="162"/>
    </row>
    <row r="466" spans="1:19">
      <c r="A466" s="294"/>
      <c r="B466" s="161">
        <v>0.96597222222222223</v>
      </c>
      <c r="C466" s="162">
        <v>48</v>
      </c>
      <c r="D466" s="162">
        <v>81</v>
      </c>
      <c r="E466" s="162">
        <v>66</v>
      </c>
      <c r="F466" s="162">
        <v>-15</v>
      </c>
      <c r="G466" s="163">
        <v>0.85750000000000004</v>
      </c>
      <c r="I466" s="295" t="s">
        <v>784</v>
      </c>
      <c r="J466" s="295"/>
      <c r="K466" s="170">
        <v>2</v>
      </c>
      <c r="L466" s="171">
        <v>2</v>
      </c>
      <c r="M466" s="50">
        <v>2</v>
      </c>
      <c r="N466" s="171">
        <v>3</v>
      </c>
      <c r="O466" s="202">
        <v>3</v>
      </c>
      <c r="P466" s="202">
        <v>2</v>
      </c>
      <c r="Q466" s="202">
        <v>2</v>
      </c>
      <c r="R466" s="162"/>
      <c r="S466" s="162"/>
    </row>
    <row r="467" spans="1:19">
      <c r="A467" s="294"/>
      <c r="B467" s="164">
        <v>0.13263888888888889</v>
      </c>
      <c r="C467" s="165">
        <v>65</v>
      </c>
      <c r="D467" s="165">
        <v>88</v>
      </c>
      <c r="E467" s="165">
        <v>91</v>
      </c>
      <c r="F467" s="165">
        <v>3</v>
      </c>
      <c r="G467" s="166">
        <v>0.8579</v>
      </c>
      <c r="I467" s="295" t="s">
        <v>785</v>
      </c>
      <c r="J467" s="295"/>
      <c r="K467" s="170">
        <v>6</v>
      </c>
      <c r="L467" s="171">
        <v>8</v>
      </c>
      <c r="M467" s="50">
        <v>6</v>
      </c>
      <c r="N467" s="171">
        <v>11</v>
      </c>
      <c r="O467" s="202">
        <v>9</v>
      </c>
      <c r="P467" s="202">
        <v>10</v>
      </c>
      <c r="Q467" s="202">
        <v>9</v>
      </c>
      <c r="R467" s="162"/>
      <c r="S467" s="162"/>
    </row>
    <row r="468" spans="1:19">
      <c r="A468" s="294"/>
      <c r="B468" s="161">
        <v>0.30416666666666664</v>
      </c>
      <c r="C468" s="162">
        <v>61</v>
      </c>
      <c r="D468" s="162">
        <v>100</v>
      </c>
      <c r="E468" s="162">
        <v>102</v>
      </c>
      <c r="F468" s="162">
        <v>2</v>
      </c>
      <c r="G468" s="163">
        <v>0.84360000000000002</v>
      </c>
      <c r="I468" s="295" t="s">
        <v>786</v>
      </c>
      <c r="J468" s="295"/>
      <c r="K468" s="170">
        <v>0</v>
      </c>
      <c r="L468" s="171">
        <v>1</v>
      </c>
      <c r="M468" s="50">
        <v>1</v>
      </c>
      <c r="N468" s="171">
        <v>0</v>
      </c>
      <c r="O468" s="202">
        <v>1</v>
      </c>
      <c r="P468" s="202">
        <v>0</v>
      </c>
      <c r="Q468" s="202">
        <v>0</v>
      </c>
      <c r="R468" s="162"/>
      <c r="S468" s="162"/>
    </row>
    <row r="469" spans="1:19">
      <c r="A469" s="294"/>
      <c r="B469" s="164"/>
      <c r="C469" s="165"/>
      <c r="D469" s="165"/>
      <c r="E469" s="165"/>
      <c r="F469" s="165"/>
      <c r="G469" s="166"/>
      <c r="I469" s="295" t="s">
        <v>787</v>
      </c>
      <c r="J469" s="295"/>
      <c r="K469" s="170">
        <v>9</v>
      </c>
      <c r="L469" s="171">
        <v>10</v>
      </c>
      <c r="M469" s="50">
        <v>10</v>
      </c>
      <c r="N469" s="171">
        <v>13</v>
      </c>
      <c r="O469" s="202">
        <v>10</v>
      </c>
      <c r="P469" s="202">
        <v>9</v>
      </c>
      <c r="Q469" s="202">
        <v>13</v>
      </c>
      <c r="R469" s="162"/>
      <c r="S469" s="162"/>
    </row>
    <row r="470" spans="1:19">
      <c r="A470" s="294"/>
      <c r="B470" s="161"/>
      <c r="C470" s="162"/>
      <c r="D470" s="162"/>
      <c r="E470" s="162"/>
      <c r="F470" s="162"/>
      <c r="G470" s="163"/>
      <c r="I470" s="295" t="s">
        <v>788</v>
      </c>
      <c r="J470" s="295"/>
      <c r="K470" s="170">
        <v>0</v>
      </c>
      <c r="L470" s="171">
        <v>0</v>
      </c>
      <c r="M470" s="50">
        <v>0</v>
      </c>
      <c r="N470" s="171">
        <v>0</v>
      </c>
      <c r="O470" s="202">
        <v>0</v>
      </c>
      <c r="P470" s="202">
        <v>0</v>
      </c>
      <c r="Q470" s="202">
        <v>0</v>
      </c>
      <c r="R470" s="162"/>
      <c r="S470" s="162"/>
    </row>
    <row r="471" spans="1:19">
      <c r="A471" s="294"/>
      <c r="B471" s="164"/>
      <c r="C471" s="165"/>
      <c r="D471" s="165"/>
      <c r="E471" s="165"/>
      <c r="F471" s="165"/>
      <c r="G471" s="166"/>
      <c r="I471" s="295" t="s">
        <v>789</v>
      </c>
      <c r="J471" s="295"/>
      <c r="K471" s="170">
        <v>9</v>
      </c>
      <c r="L471" s="171">
        <v>10</v>
      </c>
      <c r="M471" s="50">
        <v>11</v>
      </c>
      <c r="N471" s="171">
        <v>11</v>
      </c>
      <c r="O471" s="202">
        <v>8</v>
      </c>
      <c r="P471" s="202">
        <v>10</v>
      </c>
      <c r="Q471" s="202">
        <v>13</v>
      </c>
      <c r="R471" s="162"/>
      <c r="S471" s="162"/>
    </row>
    <row r="472" spans="1:19">
      <c r="A472" s="63"/>
      <c r="B472" s="63"/>
      <c r="C472" s="63"/>
      <c r="D472" s="63"/>
      <c r="E472" s="63"/>
      <c r="F472" s="63"/>
      <c r="G472" s="63"/>
      <c r="I472" s="295" t="s">
        <v>790</v>
      </c>
      <c r="J472" s="295"/>
      <c r="K472" s="170">
        <v>0</v>
      </c>
      <c r="L472" s="171">
        <v>1</v>
      </c>
      <c r="M472" s="50">
        <v>1</v>
      </c>
      <c r="N472" s="171">
        <v>2</v>
      </c>
      <c r="O472" s="202">
        <v>3</v>
      </c>
      <c r="P472" s="202">
        <v>2</v>
      </c>
      <c r="Q472" s="202">
        <v>2</v>
      </c>
      <c r="R472" s="162"/>
      <c r="S472" s="162"/>
    </row>
    <row r="473" spans="1:19">
      <c r="A473" s="63"/>
      <c r="B473" s="63"/>
      <c r="C473" s="63"/>
      <c r="D473" s="63"/>
      <c r="E473" s="63"/>
      <c r="F473" s="63"/>
      <c r="G473" s="63"/>
      <c r="I473" s="295" t="s">
        <v>791</v>
      </c>
      <c r="J473" s="295"/>
      <c r="K473" s="170">
        <v>20</v>
      </c>
      <c r="L473" s="171">
        <v>22</v>
      </c>
      <c r="M473" s="50">
        <v>25</v>
      </c>
      <c r="N473" s="171">
        <v>23</v>
      </c>
      <c r="O473" s="202">
        <v>22</v>
      </c>
      <c r="P473" s="202">
        <v>22</v>
      </c>
      <c r="Q473" s="202">
        <v>21</v>
      </c>
      <c r="R473" s="162"/>
      <c r="S473" s="162"/>
    </row>
    <row r="474" spans="1:19">
      <c r="A474" s="63"/>
      <c r="B474" s="63"/>
      <c r="C474" s="63"/>
      <c r="D474" s="63"/>
      <c r="E474" s="63"/>
      <c r="F474" s="63"/>
      <c r="G474" s="63"/>
      <c r="I474" s="296" t="s">
        <v>792</v>
      </c>
      <c r="J474" s="296"/>
      <c r="K474" s="170">
        <v>2</v>
      </c>
      <c r="L474" s="171">
        <v>3</v>
      </c>
      <c r="M474" s="50">
        <v>2</v>
      </c>
      <c r="N474" s="171">
        <v>1</v>
      </c>
      <c r="O474" s="202">
        <v>0</v>
      </c>
      <c r="P474" s="202">
        <v>1</v>
      </c>
      <c r="Q474" s="202">
        <v>2</v>
      </c>
      <c r="R474" s="162"/>
      <c r="S474" s="162"/>
    </row>
    <row r="475" spans="1:19" ht="17.25" thickBot="1">
      <c r="A475" s="63"/>
      <c r="B475" s="63"/>
      <c r="C475" s="63"/>
      <c r="D475" s="63"/>
      <c r="E475" s="63"/>
      <c r="F475" s="63"/>
      <c r="G475" s="63"/>
      <c r="I475" s="297" t="s">
        <v>793</v>
      </c>
      <c r="J475" s="297"/>
      <c r="K475" s="172">
        <f t="shared" ref="K475:S475" si="149">SUM(K464:K474)</f>
        <v>54</v>
      </c>
      <c r="L475" s="205">
        <f t="shared" si="149"/>
        <v>63</v>
      </c>
      <c r="M475" s="205">
        <f t="shared" si="149"/>
        <v>64</v>
      </c>
      <c r="N475" s="205">
        <f t="shared" si="149"/>
        <v>69</v>
      </c>
      <c r="O475" s="174">
        <f t="shared" si="149"/>
        <v>62</v>
      </c>
      <c r="P475" s="174">
        <f t="shared" si="149"/>
        <v>63</v>
      </c>
      <c r="Q475" s="174">
        <f t="shared" si="149"/>
        <v>72</v>
      </c>
      <c r="R475" s="175">
        <f t="shared" si="149"/>
        <v>0</v>
      </c>
      <c r="S475" s="175">
        <f t="shared" si="149"/>
        <v>0</v>
      </c>
    </row>
    <row r="476" spans="1:19" ht="17.25" thickBot="1">
      <c r="A476" s="63"/>
      <c r="B476" s="63"/>
      <c r="C476" s="63"/>
      <c r="D476" s="63"/>
      <c r="E476" s="63"/>
      <c r="F476" s="63"/>
      <c r="G476" s="63"/>
      <c r="I476" s="298" t="s">
        <v>794</v>
      </c>
      <c r="J476" s="299"/>
      <c r="K476" s="176">
        <f t="shared" ref="K476" si="150">S455-K475</f>
        <v>-54</v>
      </c>
      <c r="L476" s="177">
        <f t="shared" ref="L476" si="151">K475-L475</f>
        <v>-9</v>
      </c>
      <c r="M476" s="177">
        <f t="shared" ref="M476" si="152">K475-M475</f>
        <v>-10</v>
      </c>
      <c r="N476" s="177">
        <f t="shared" ref="N476" si="153">K475-N475</f>
        <v>-15</v>
      </c>
      <c r="O476" s="178">
        <f t="shared" ref="O476" si="154">K475-O475</f>
        <v>-8</v>
      </c>
      <c r="P476" s="178">
        <f t="shared" ref="P476" si="155">K475-P475</f>
        <v>-9</v>
      </c>
      <c r="Q476" s="178">
        <f t="shared" ref="Q476" si="156">K475-Q475</f>
        <v>-18</v>
      </c>
      <c r="R476" s="179">
        <f t="shared" ref="R476" si="157">K475-R475</f>
        <v>54</v>
      </c>
      <c r="S476" s="180">
        <f t="shared" ref="S476" si="158">L475-S475</f>
        <v>63</v>
      </c>
    </row>
    <row r="477" spans="1:19">
      <c r="A477" s="63"/>
      <c r="B477" s="63"/>
      <c r="C477" s="63"/>
      <c r="D477" s="63"/>
      <c r="E477" s="63"/>
      <c r="F477" s="63"/>
      <c r="G477" s="63"/>
      <c r="I477" s="300" t="s">
        <v>795</v>
      </c>
      <c r="J477" s="301"/>
      <c r="K477" s="181">
        <v>222</v>
      </c>
      <c r="L477" s="182">
        <v>209</v>
      </c>
      <c r="M477" s="182">
        <v>211</v>
      </c>
      <c r="N477" s="182">
        <v>190</v>
      </c>
      <c r="O477" s="183">
        <v>204</v>
      </c>
      <c r="P477" s="182">
        <v>218</v>
      </c>
      <c r="Q477" s="182">
        <v>211</v>
      </c>
      <c r="R477" s="182"/>
      <c r="S477" s="182"/>
    </row>
    <row r="478" spans="1:19">
      <c r="A478" s="63"/>
      <c r="B478" s="63"/>
      <c r="C478" s="63"/>
      <c r="D478" s="63"/>
      <c r="E478" s="63"/>
      <c r="F478" s="63"/>
      <c r="G478" s="63"/>
      <c r="I478" s="302" t="s">
        <v>796</v>
      </c>
      <c r="J478" s="302"/>
      <c r="K478" s="184">
        <v>67</v>
      </c>
      <c r="L478" s="203">
        <v>55</v>
      </c>
      <c r="M478" s="203">
        <v>55</v>
      </c>
      <c r="N478" s="203">
        <v>46</v>
      </c>
      <c r="O478" s="203">
        <v>51</v>
      </c>
      <c r="P478" s="203">
        <v>66</v>
      </c>
      <c r="Q478" s="203">
        <v>63</v>
      </c>
      <c r="R478" s="203"/>
      <c r="S478" s="203"/>
    </row>
    <row r="479" spans="1:19">
      <c r="A479" s="63"/>
      <c r="B479" s="63"/>
      <c r="C479" s="63"/>
      <c r="D479" s="63"/>
      <c r="E479" s="63"/>
      <c r="F479" s="63"/>
      <c r="G479" s="63"/>
      <c r="I479" s="302" t="s">
        <v>797</v>
      </c>
      <c r="J479" s="302"/>
      <c r="K479" s="184">
        <v>155</v>
      </c>
      <c r="L479" s="203">
        <v>154</v>
      </c>
      <c r="M479" s="203">
        <v>156</v>
      </c>
      <c r="N479" s="203">
        <v>144</v>
      </c>
      <c r="O479" s="203">
        <v>153</v>
      </c>
      <c r="P479" s="203">
        <v>152</v>
      </c>
      <c r="Q479" s="203">
        <v>148</v>
      </c>
      <c r="R479" s="203"/>
      <c r="S479" s="203"/>
    </row>
    <row r="480" spans="1:19">
      <c r="A480" s="63"/>
      <c r="B480" s="63"/>
      <c r="C480" s="63"/>
      <c r="D480" s="63"/>
      <c r="E480" s="63"/>
      <c r="F480" s="63"/>
      <c r="G480" s="63"/>
      <c r="I480" s="303" t="s">
        <v>798</v>
      </c>
      <c r="J480" s="303"/>
      <c r="K480" s="184"/>
      <c r="L480" s="185"/>
      <c r="M480" s="185"/>
      <c r="N480" s="185"/>
      <c r="O480" s="185"/>
      <c r="P480" s="204"/>
      <c r="Q480" s="204"/>
      <c r="R480" s="204"/>
      <c r="S480" s="204"/>
    </row>
    <row r="481" spans="1:19">
      <c r="A481" s="3" t="s">
        <v>801</v>
      </c>
      <c r="B481" s="201" t="s">
        <v>802</v>
      </c>
      <c r="C481" s="201" t="s">
        <v>803</v>
      </c>
      <c r="D481" s="201" t="s">
        <v>119</v>
      </c>
      <c r="E481" s="201" t="s">
        <v>148</v>
      </c>
      <c r="F481" s="201" t="s">
        <v>806</v>
      </c>
      <c r="G481" s="201" t="s">
        <v>81</v>
      </c>
      <c r="I481" s="187"/>
      <c r="J481" s="187"/>
      <c r="K481" s="187"/>
      <c r="L481" s="188"/>
      <c r="M481" s="188"/>
      <c r="N481" s="188"/>
      <c r="O481" s="188"/>
      <c r="P481" s="187"/>
      <c r="Q481" s="187"/>
      <c r="R481" s="187"/>
      <c r="S481" s="187"/>
    </row>
    <row r="482" spans="1:19">
      <c r="A482" s="293">
        <v>44063</v>
      </c>
      <c r="B482" s="161">
        <v>0.30416666666666664</v>
      </c>
      <c r="C482" s="162">
        <v>61</v>
      </c>
      <c r="D482" s="162">
        <v>100</v>
      </c>
      <c r="E482" s="162">
        <v>102</v>
      </c>
      <c r="F482" s="162">
        <v>2</v>
      </c>
      <c r="G482" s="163">
        <v>0.84360000000000002</v>
      </c>
      <c r="I482" s="191"/>
      <c r="J482" s="190"/>
      <c r="K482" s="190"/>
      <c r="L482" s="190"/>
      <c r="M482" s="190">
        <v>44063</v>
      </c>
      <c r="N482" s="189" t="s">
        <v>864</v>
      </c>
      <c r="O482" s="189"/>
      <c r="P482" s="189"/>
      <c r="Q482" s="189"/>
      <c r="R482" s="189"/>
      <c r="S482" s="189"/>
    </row>
    <row r="483" spans="1:19">
      <c r="A483" s="294"/>
      <c r="B483" s="164">
        <v>0.47083333333333338</v>
      </c>
      <c r="C483" s="165">
        <v>75</v>
      </c>
      <c r="D483" s="165">
        <v>18</v>
      </c>
      <c r="E483" s="165">
        <v>15</v>
      </c>
      <c r="F483" s="165">
        <v>-3</v>
      </c>
      <c r="G483" s="166">
        <v>0.84099999999999997</v>
      </c>
      <c r="I483" s="304"/>
      <c r="J483" s="304"/>
      <c r="K483" s="167">
        <v>0.30416666666666664</v>
      </c>
      <c r="L483" s="168">
        <v>0.47083333333333338</v>
      </c>
      <c r="M483" s="168">
        <v>0.63750000000000007</v>
      </c>
      <c r="N483" s="168">
        <v>0.8041666666666667</v>
      </c>
      <c r="O483" s="169">
        <v>0.97083333333333333</v>
      </c>
      <c r="P483" s="169">
        <v>0.13749999999999998</v>
      </c>
      <c r="Q483" s="169">
        <v>0.30416666666666664</v>
      </c>
      <c r="R483" s="161"/>
      <c r="S483" s="161"/>
    </row>
    <row r="484" spans="1:19">
      <c r="A484" s="294"/>
      <c r="B484" s="161">
        <v>0.63750000000000007</v>
      </c>
      <c r="C484" s="162">
        <v>55</v>
      </c>
      <c r="D484" s="162">
        <v>26</v>
      </c>
      <c r="E484" s="162">
        <v>38</v>
      </c>
      <c r="F484" s="162">
        <v>12</v>
      </c>
      <c r="G484" s="163">
        <v>0.83720000000000006</v>
      </c>
      <c r="I484" s="295" t="s">
        <v>782</v>
      </c>
      <c r="J484" s="296"/>
      <c r="K484" s="170">
        <v>10</v>
      </c>
      <c r="L484" s="171">
        <v>11</v>
      </c>
      <c r="M484" s="50">
        <v>10</v>
      </c>
      <c r="N484" s="171">
        <v>13</v>
      </c>
      <c r="O484" s="202">
        <v>16</v>
      </c>
      <c r="P484" s="202">
        <v>14</v>
      </c>
      <c r="Q484" s="202">
        <v>13</v>
      </c>
      <c r="R484" s="162"/>
      <c r="S484" s="162"/>
    </row>
    <row r="485" spans="1:19">
      <c r="A485" s="294"/>
      <c r="B485" s="164">
        <v>0.8041666666666667</v>
      </c>
      <c r="C485" s="165">
        <v>73</v>
      </c>
      <c r="D485" s="165">
        <v>39</v>
      </c>
      <c r="E485" s="165">
        <v>61</v>
      </c>
      <c r="F485" s="165">
        <v>22</v>
      </c>
      <c r="G485" s="166">
        <v>0.82520000000000004</v>
      </c>
      <c r="I485" s="295" t="s">
        <v>783</v>
      </c>
      <c r="J485" s="295"/>
      <c r="K485" s="170">
        <v>0</v>
      </c>
      <c r="L485" s="171">
        <v>0</v>
      </c>
      <c r="M485" s="50">
        <v>0</v>
      </c>
      <c r="N485" s="171">
        <v>0</v>
      </c>
      <c r="O485" s="202">
        <v>0</v>
      </c>
      <c r="P485" s="202">
        <v>0</v>
      </c>
      <c r="Q485" s="202">
        <v>0</v>
      </c>
      <c r="R485" s="162"/>
      <c r="S485" s="162"/>
    </row>
    <row r="486" spans="1:19">
      <c r="A486" s="294"/>
      <c r="B486" s="161">
        <v>0.97083333333333333</v>
      </c>
      <c r="C486" s="162">
        <v>66</v>
      </c>
      <c r="D486" s="162">
        <v>62</v>
      </c>
      <c r="E486" s="162">
        <v>72</v>
      </c>
      <c r="F486" s="162">
        <v>10</v>
      </c>
      <c r="G486" s="163">
        <v>0.81989999999999996</v>
      </c>
      <c r="I486" s="295" t="s">
        <v>784</v>
      </c>
      <c r="J486" s="295"/>
      <c r="K486" s="170">
        <v>2</v>
      </c>
      <c r="L486" s="171">
        <v>2</v>
      </c>
      <c r="M486" s="50">
        <v>2</v>
      </c>
      <c r="N486" s="171">
        <v>3</v>
      </c>
      <c r="O486" s="202">
        <v>2</v>
      </c>
      <c r="P486" s="202">
        <v>3</v>
      </c>
      <c r="Q486" s="202">
        <v>3</v>
      </c>
      <c r="R486" s="162"/>
      <c r="S486" s="162"/>
    </row>
    <row r="487" spans="1:19">
      <c r="A487" s="294"/>
      <c r="B487" s="164">
        <v>0.13749999999999998</v>
      </c>
      <c r="C487" s="165">
        <v>66</v>
      </c>
      <c r="D487" s="165">
        <v>84</v>
      </c>
      <c r="E487" s="165">
        <v>88</v>
      </c>
      <c r="F487" s="165">
        <v>4</v>
      </c>
      <c r="G487" s="166">
        <v>0.82240000000000002</v>
      </c>
      <c r="I487" s="295" t="s">
        <v>785</v>
      </c>
      <c r="J487" s="295"/>
      <c r="K487" s="170">
        <v>9</v>
      </c>
      <c r="L487" s="171">
        <v>10</v>
      </c>
      <c r="M487" s="50">
        <v>15</v>
      </c>
      <c r="N487" s="171">
        <v>13</v>
      </c>
      <c r="O487" s="202">
        <v>14</v>
      </c>
      <c r="P487" s="202">
        <v>15</v>
      </c>
      <c r="Q487" s="202">
        <v>11</v>
      </c>
      <c r="R487" s="162"/>
      <c r="S487" s="162"/>
    </row>
    <row r="488" spans="1:19">
      <c r="A488" s="294"/>
      <c r="B488" s="161">
        <v>0.30416666666666664</v>
      </c>
      <c r="C488" s="162">
        <v>81</v>
      </c>
      <c r="D488" s="162">
        <v>97</v>
      </c>
      <c r="E488" s="162">
        <v>106</v>
      </c>
      <c r="F488" s="162">
        <v>9</v>
      </c>
      <c r="G488" s="163">
        <v>0.82809999999999995</v>
      </c>
      <c r="I488" s="295" t="s">
        <v>786</v>
      </c>
      <c r="J488" s="295"/>
      <c r="K488" s="170">
        <v>0</v>
      </c>
      <c r="L488" s="171">
        <v>1</v>
      </c>
      <c r="M488" s="50">
        <v>1</v>
      </c>
      <c r="N488" s="171">
        <v>2</v>
      </c>
      <c r="O488" s="202">
        <v>2</v>
      </c>
      <c r="P488" s="202">
        <v>0</v>
      </c>
      <c r="Q488" s="202">
        <v>0</v>
      </c>
      <c r="R488" s="162"/>
      <c r="S488" s="162"/>
    </row>
    <row r="489" spans="1:19">
      <c r="A489" s="294"/>
      <c r="B489" s="164"/>
      <c r="C489" s="165"/>
      <c r="D489" s="165"/>
      <c r="E489" s="165"/>
      <c r="F489" s="165"/>
      <c r="G489" s="166"/>
      <c r="I489" s="295" t="s">
        <v>787</v>
      </c>
      <c r="J489" s="295"/>
      <c r="K489" s="170">
        <v>13</v>
      </c>
      <c r="L489" s="171">
        <v>10</v>
      </c>
      <c r="M489" s="50">
        <v>14</v>
      </c>
      <c r="N489" s="171">
        <v>19</v>
      </c>
      <c r="O489" s="202">
        <v>14</v>
      </c>
      <c r="P489" s="202">
        <v>14</v>
      </c>
      <c r="Q489" s="202">
        <v>19</v>
      </c>
      <c r="R489" s="162"/>
      <c r="S489" s="162"/>
    </row>
    <row r="490" spans="1:19">
      <c r="A490" s="294"/>
      <c r="B490" s="161"/>
      <c r="C490" s="162"/>
      <c r="D490" s="162"/>
      <c r="E490" s="162"/>
      <c r="F490" s="162"/>
      <c r="G490" s="163"/>
      <c r="I490" s="295" t="s">
        <v>788</v>
      </c>
      <c r="J490" s="295"/>
      <c r="K490" s="170">
        <v>0</v>
      </c>
      <c r="L490" s="171">
        <v>0</v>
      </c>
      <c r="M490" s="50">
        <v>0</v>
      </c>
      <c r="N490" s="171">
        <v>0</v>
      </c>
      <c r="O490" s="202">
        <v>0</v>
      </c>
      <c r="P490" s="202">
        <v>0</v>
      </c>
      <c r="Q490" s="202">
        <v>0</v>
      </c>
      <c r="R490" s="162"/>
      <c r="S490" s="162"/>
    </row>
    <row r="491" spans="1:19">
      <c r="A491" s="294"/>
      <c r="B491" s="164"/>
      <c r="C491" s="165"/>
      <c r="D491" s="165"/>
      <c r="E491" s="165"/>
      <c r="F491" s="165"/>
      <c r="G491" s="166"/>
      <c r="I491" s="295" t="s">
        <v>789</v>
      </c>
      <c r="J491" s="295"/>
      <c r="K491" s="170">
        <v>13</v>
      </c>
      <c r="L491" s="171">
        <v>11</v>
      </c>
      <c r="M491" s="50">
        <v>11</v>
      </c>
      <c r="N491" s="171">
        <v>10</v>
      </c>
      <c r="O491" s="202">
        <v>17</v>
      </c>
      <c r="P491" s="202">
        <v>12</v>
      </c>
      <c r="Q491" s="202">
        <v>10</v>
      </c>
      <c r="R491" s="162"/>
      <c r="S491" s="162"/>
    </row>
    <row r="492" spans="1:19">
      <c r="A492" s="63"/>
      <c r="B492" s="63"/>
      <c r="C492" s="63"/>
      <c r="D492" s="63"/>
      <c r="E492" s="63"/>
      <c r="F492" s="63"/>
      <c r="G492" s="63"/>
      <c r="I492" s="295" t="s">
        <v>790</v>
      </c>
      <c r="J492" s="295"/>
      <c r="K492" s="170">
        <v>2</v>
      </c>
      <c r="L492" s="171">
        <v>1</v>
      </c>
      <c r="M492" s="50">
        <v>1</v>
      </c>
      <c r="N492" s="171">
        <v>1</v>
      </c>
      <c r="O492" s="202">
        <v>3</v>
      </c>
      <c r="P492" s="202">
        <v>2</v>
      </c>
      <c r="Q492" s="202">
        <v>2</v>
      </c>
      <c r="R492" s="162"/>
      <c r="S492" s="162"/>
    </row>
    <row r="493" spans="1:19">
      <c r="A493" s="63"/>
      <c r="B493" s="63"/>
      <c r="C493" s="63"/>
      <c r="D493" s="63"/>
      <c r="E493" s="63"/>
      <c r="F493" s="63"/>
      <c r="G493" s="63"/>
      <c r="I493" s="295" t="s">
        <v>791</v>
      </c>
      <c r="J493" s="295"/>
      <c r="K493" s="170">
        <v>21</v>
      </c>
      <c r="L493" s="171">
        <v>22</v>
      </c>
      <c r="M493" s="50">
        <v>22</v>
      </c>
      <c r="N493" s="171">
        <v>24</v>
      </c>
      <c r="O493" s="202">
        <v>26</v>
      </c>
      <c r="P493" s="202">
        <v>23</v>
      </c>
      <c r="Q493" s="202">
        <v>23</v>
      </c>
      <c r="R493" s="162"/>
      <c r="S493" s="162"/>
    </row>
    <row r="494" spans="1:19">
      <c r="A494" s="63"/>
      <c r="B494" s="63"/>
      <c r="C494" s="63"/>
      <c r="D494" s="63"/>
      <c r="E494" s="63"/>
      <c r="F494" s="63"/>
      <c r="G494" s="63"/>
      <c r="I494" s="296" t="s">
        <v>792</v>
      </c>
      <c r="J494" s="296"/>
      <c r="K494" s="170">
        <v>2</v>
      </c>
      <c r="L494" s="171">
        <v>3</v>
      </c>
      <c r="M494" s="50">
        <v>3</v>
      </c>
      <c r="N494" s="171">
        <v>1</v>
      </c>
      <c r="O494" s="202">
        <v>4</v>
      </c>
      <c r="P494" s="202">
        <v>6</v>
      </c>
      <c r="Q494" s="202">
        <v>5</v>
      </c>
      <c r="R494" s="162"/>
      <c r="S494" s="162"/>
    </row>
    <row r="495" spans="1:19" ht="17.25" thickBot="1">
      <c r="A495" s="63"/>
      <c r="B495" s="63"/>
      <c r="C495" s="63"/>
      <c r="D495" s="63"/>
      <c r="E495" s="63"/>
      <c r="F495" s="63"/>
      <c r="G495" s="63"/>
      <c r="I495" s="297" t="s">
        <v>793</v>
      </c>
      <c r="J495" s="297"/>
      <c r="K495" s="172">
        <f t="shared" ref="K495:S495" si="159">SUM(K484:K494)</f>
        <v>72</v>
      </c>
      <c r="L495" s="205">
        <f t="shared" si="159"/>
        <v>71</v>
      </c>
      <c r="M495" s="205">
        <f t="shared" si="159"/>
        <v>79</v>
      </c>
      <c r="N495" s="205">
        <f t="shared" si="159"/>
        <v>86</v>
      </c>
      <c r="O495" s="174">
        <f t="shared" si="159"/>
        <v>98</v>
      </c>
      <c r="P495" s="174">
        <f t="shared" si="159"/>
        <v>89</v>
      </c>
      <c r="Q495" s="174">
        <f t="shared" si="159"/>
        <v>86</v>
      </c>
      <c r="R495" s="175">
        <f t="shared" si="159"/>
        <v>0</v>
      </c>
      <c r="S495" s="175">
        <f t="shared" si="159"/>
        <v>0</v>
      </c>
    </row>
    <row r="496" spans="1:19" ht="17.25" thickBot="1">
      <c r="A496" s="63"/>
      <c r="B496" s="63"/>
      <c r="C496" s="63"/>
      <c r="D496" s="63"/>
      <c r="E496" s="63"/>
      <c r="F496" s="63"/>
      <c r="G496" s="63"/>
      <c r="I496" s="298" t="s">
        <v>794</v>
      </c>
      <c r="J496" s="299"/>
      <c r="K496" s="176">
        <f t="shared" ref="K496" si="160">S475-K495</f>
        <v>-72</v>
      </c>
      <c r="L496" s="177">
        <f t="shared" ref="L496" si="161">K495-L495</f>
        <v>1</v>
      </c>
      <c r="M496" s="177">
        <f t="shared" ref="M496" si="162">K495-M495</f>
        <v>-7</v>
      </c>
      <c r="N496" s="177">
        <f t="shared" ref="N496" si="163">K495-N495</f>
        <v>-14</v>
      </c>
      <c r="O496" s="178">
        <f t="shared" ref="O496" si="164">K495-O495</f>
        <v>-26</v>
      </c>
      <c r="P496" s="178">
        <f t="shared" ref="P496" si="165">K495-P495</f>
        <v>-17</v>
      </c>
      <c r="Q496" s="178">
        <f t="shared" ref="Q496" si="166">K495-Q495</f>
        <v>-14</v>
      </c>
      <c r="R496" s="179">
        <f t="shared" ref="R496" si="167">K495-R495</f>
        <v>72</v>
      </c>
      <c r="S496" s="180">
        <f t="shared" ref="S496" si="168">L495-S495</f>
        <v>71</v>
      </c>
    </row>
    <row r="497" spans="1:19">
      <c r="A497" s="63"/>
      <c r="B497" s="63"/>
      <c r="C497" s="63"/>
      <c r="D497" s="63"/>
      <c r="E497" s="63"/>
      <c r="F497" s="63"/>
      <c r="G497" s="63"/>
      <c r="I497" s="300" t="s">
        <v>795</v>
      </c>
      <c r="J497" s="301"/>
      <c r="K497" s="181">
        <v>211</v>
      </c>
      <c r="L497" s="182">
        <v>225</v>
      </c>
      <c r="M497" s="182">
        <v>229</v>
      </c>
      <c r="N497" s="182">
        <v>237</v>
      </c>
      <c r="O497" s="183">
        <v>227</v>
      </c>
      <c r="P497" s="182">
        <v>232</v>
      </c>
      <c r="Q497" s="182">
        <v>235</v>
      </c>
      <c r="R497" s="182"/>
      <c r="S497" s="182"/>
    </row>
    <row r="498" spans="1:19">
      <c r="A498" s="63"/>
      <c r="B498" s="63"/>
      <c r="C498" s="63"/>
      <c r="D498" s="63"/>
      <c r="E498" s="63"/>
      <c r="F498" s="63"/>
      <c r="G498" s="63"/>
      <c r="I498" s="302" t="s">
        <v>796</v>
      </c>
      <c r="J498" s="302"/>
      <c r="K498" s="184">
        <v>63</v>
      </c>
      <c r="L498" s="203">
        <v>77</v>
      </c>
      <c r="M498" s="203">
        <v>55</v>
      </c>
      <c r="N498" s="203">
        <v>73</v>
      </c>
      <c r="O498" s="203">
        <v>65</v>
      </c>
      <c r="P498" s="203">
        <v>68</v>
      </c>
      <c r="Q498" s="203">
        <v>81</v>
      </c>
      <c r="R498" s="203"/>
      <c r="S498" s="203"/>
    </row>
    <row r="499" spans="1:19">
      <c r="A499" s="63"/>
      <c r="B499" s="63"/>
      <c r="C499" s="63"/>
      <c r="D499" s="63"/>
      <c r="E499" s="63"/>
      <c r="F499" s="63"/>
      <c r="G499" s="63"/>
      <c r="I499" s="302" t="s">
        <v>797</v>
      </c>
      <c r="J499" s="302"/>
      <c r="K499" s="184">
        <v>148</v>
      </c>
      <c r="L499" s="203">
        <v>148</v>
      </c>
      <c r="M499" s="203">
        <v>174</v>
      </c>
      <c r="N499" s="203">
        <v>164</v>
      </c>
      <c r="O499" s="203">
        <v>162</v>
      </c>
      <c r="P499" s="203">
        <v>164</v>
      </c>
      <c r="Q499" s="203">
        <v>154</v>
      </c>
      <c r="R499" s="203"/>
      <c r="S499" s="203"/>
    </row>
    <row r="500" spans="1:19">
      <c r="A500" s="63"/>
      <c r="B500" s="63"/>
      <c r="C500" s="63"/>
      <c r="D500" s="63"/>
      <c r="E500" s="63"/>
      <c r="F500" s="63"/>
      <c r="G500" s="63"/>
      <c r="I500" s="303" t="s">
        <v>798</v>
      </c>
      <c r="J500" s="303"/>
      <c r="K500" s="184"/>
      <c r="L500" s="185"/>
      <c r="M500" s="185"/>
      <c r="N500" s="185"/>
      <c r="O500" s="185"/>
      <c r="P500" s="204"/>
      <c r="Q500" s="204"/>
      <c r="R500" s="204"/>
      <c r="S500" s="204"/>
    </row>
    <row r="501" spans="1:19">
      <c r="A501" s="3" t="s">
        <v>801</v>
      </c>
      <c r="B501" s="201" t="s">
        <v>802</v>
      </c>
      <c r="C501" s="201" t="s">
        <v>803</v>
      </c>
      <c r="D501" s="201" t="s">
        <v>119</v>
      </c>
      <c r="E501" s="201" t="s">
        <v>148</v>
      </c>
      <c r="F501" s="201" t="s">
        <v>806</v>
      </c>
      <c r="G501" s="201" t="s">
        <v>81</v>
      </c>
      <c r="I501" s="187"/>
      <c r="J501" s="187"/>
      <c r="K501" s="187"/>
      <c r="L501" s="188"/>
      <c r="M501" s="188"/>
      <c r="N501" s="188"/>
      <c r="O501" s="188"/>
      <c r="P501" s="187"/>
      <c r="Q501" s="187"/>
      <c r="R501" s="187"/>
      <c r="S501" s="187"/>
    </row>
    <row r="502" spans="1:19">
      <c r="A502" s="293">
        <v>44064</v>
      </c>
      <c r="B502" s="161">
        <v>0.30416666666666664</v>
      </c>
      <c r="C502" s="162">
        <v>81</v>
      </c>
      <c r="D502" s="162">
        <v>97</v>
      </c>
      <c r="E502" s="162">
        <v>106</v>
      </c>
      <c r="F502" s="162">
        <v>9</v>
      </c>
      <c r="G502" s="163">
        <v>0.82809999999999995</v>
      </c>
      <c r="I502" s="191"/>
      <c r="J502" s="190"/>
      <c r="K502" s="190"/>
      <c r="L502" s="190"/>
      <c r="M502" s="190">
        <v>44064</v>
      </c>
      <c r="N502" s="189" t="s">
        <v>864</v>
      </c>
      <c r="O502" s="189"/>
      <c r="P502" s="189"/>
      <c r="Q502" s="189"/>
      <c r="R502" s="189"/>
      <c r="S502" s="189"/>
    </row>
    <row r="503" spans="1:19">
      <c r="A503" s="294"/>
      <c r="B503" s="164">
        <v>0.47083333333333338</v>
      </c>
      <c r="C503" s="165">
        <v>77</v>
      </c>
      <c r="D503" s="165">
        <v>17</v>
      </c>
      <c r="E503" s="165">
        <v>19</v>
      </c>
      <c r="F503" s="165">
        <v>2</v>
      </c>
      <c r="G503" s="166">
        <v>0.82420000000000004</v>
      </c>
      <c r="I503" s="304"/>
      <c r="J503" s="304"/>
      <c r="K503" s="167">
        <v>0.30416666666666664</v>
      </c>
      <c r="L503" s="168">
        <v>0.47083333333333338</v>
      </c>
      <c r="M503" s="168">
        <v>0.63750000000000007</v>
      </c>
      <c r="N503" s="168">
        <v>0.8041666666666667</v>
      </c>
      <c r="O503" s="169">
        <v>0.97083333333333333</v>
      </c>
      <c r="P503" s="169">
        <v>0.13749999999999998</v>
      </c>
      <c r="Q503" s="169">
        <v>0.30416666666666664</v>
      </c>
      <c r="R503" s="161"/>
      <c r="S503" s="161"/>
    </row>
    <row r="504" spans="1:19">
      <c r="A504" s="294"/>
      <c r="B504" s="161">
        <v>0.63750000000000007</v>
      </c>
      <c r="C504" s="162">
        <v>57</v>
      </c>
      <c r="D504" s="162">
        <v>41</v>
      </c>
      <c r="E504" s="162">
        <v>35</v>
      </c>
      <c r="F504" s="162">
        <v>-6</v>
      </c>
      <c r="G504" s="163">
        <v>0.82210000000000005</v>
      </c>
      <c r="I504" s="295" t="s">
        <v>782</v>
      </c>
      <c r="J504" s="296"/>
      <c r="K504" s="170">
        <v>13</v>
      </c>
      <c r="L504" s="171">
        <v>19</v>
      </c>
      <c r="M504" s="50">
        <v>23</v>
      </c>
      <c r="N504" s="171">
        <v>19</v>
      </c>
      <c r="O504" s="202">
        <v>18</v>
      </c>
      <c r="P504" s="202">
        <v>12</v>
      </c>
      <c r="Q504" s="202">
        <v>13</v>
      </c>
      <c r="R504" s="162"/>
      <c r="S504" s="162"/>
    </row>
    <row r="505" spans="1:19">
      <c r="A505" s="294"/>
      <c r="B505" s="164">
        <v>0.8041666666666667</v>
      </c>
      <c r="C505" s="165">
        <v>54</v>
      </c>
      <c r="D505" s="165">
        <v>54</v>
      </c>
      <c r="E505" s="165">
        <v>58</v>
      </c>
      <c r="F505" s="165">
        <v>4</v>
      </c>
      <c r="G505" s="166">
        <v>0.80969999999999998</v>
      </c>
      <c r="I505" s="295" t="s">
        <v>783</v>
      </c>
      <c r="J505" s="295"/>
      <c r="K505" s="170">
        <v>0</v>
      </c>
      <c r="L505" s="171">
        <v>0</v>
      </c>
      <c r="M505" s="50">
        <v>1</v>
      </c>
      <c r="N505" s="171">
        <v>1</v>
      </c>
      <c r="O505" s="202">
        <v>4</v>
      </c>
      <c r="P505" s="202">
        <v>0</v>
      </c>
      <c r="Q505" s="202">
        <v>1</v>
      </c>
      <c r="R505" s="162"/>
      <c r="S505" s="162"/>
    </row>
    <row r="506" spans="1:19">
      <c r="A506" s="294"/>
      <c r="B506" s="161">
        <v>0.97083333333333333</v>
      </c>
      <c r="C506" s="162">
        <v>79</v>
      </c>
      <c r="D506" s="162">
        <v>70</v>
      </c>
      <c r="E506" s="162">
        <v>76</v>
      </c>
      <c r="F506" s="162">
        <v>6</v>
      </c>
      <c r="G506" s="163">
        <v>0.81899999999999995</v>
      </c>
      <c r="I506" s="295" t="s">
        <v>784</v>
      </c>
      <c r="J506" s="295"/>
      <c r="K506" s="170">
        <v>3</v>
      </c>
      <c r="L506" s="171">
        <v>4</v>
      </c>
      <c r="M506" s="50">
        <v>2</v>
      </c>
      <c r="N506" s="171">
        <v>4</v>
      </c>
      <c r="O506" s="202">
        <v>3</v>
      </c>
      <c r="P506" s="202">
        <v>3</v>
      </c>
      <c r="Q506" s="202">
        <v>3</v>
      </c>
      <c r="R506" s="162"/>
      <c r="S506" s="162"/>
    </row>
    <row r="507" spans="1:19">
      <c r="A507" s="294"/>
      <c r="B507" s="164">
        <v>0.13749999999999998</v>
      </c>
      <c r="C507" s="165">
        <v>90</v>
      </c>
      <c r="D507" s="165">
        <v>87</v>
      </c>
      <c r="E507" s="165">
        <v>97</v>
      </c>
      <c r="F507" s="165">
        <v>10</v>
      </c>
      <c r="G507" s="166">
        <v>0.83940000000000003</v>
      </c>
      <c r="I507" s="295" t="s">
        <v>785</v>
      </c>
      <c r="J507" s="295"/>
      <c r="K507" s="170">
        <v>11</v>
      </c>
      <c r="L507" s="171">
        <v>7</v>
      </c>
      <c r="M507" s="50">
        <v>4</v>
      </c>
      <c r="N507" s="171">
        <v>3</v>
      </c>
      <c r="O507" s="202">
        <v>3</v>
      </c>
      <c r="P507" s="202">
        <v>3</v>
      </c>
      <c r="Q507" s="202">
        <v>4</v>
      </c>
      <c r="R507" s="162"/>
      <c r="S507" s="162"/>
    </row>
    <row r="508" spans="1:19">
      <c r="A508" s="294"/>
      <c r="B508" s="161">
        <v>0.30416666666666664</v>
      </c>
      <c r="C508" s="162">
        <v>89</v>
      </c>
      <c r="D508" s="162">
        <v>104</v>
      </c>
      <c r="E508" s="162">
        <v>115</v>
      </c>
      <c r="F508" s="162">
        <v>11</v>
      </c>
      <c r="G508" s="163">
        <v>0.83560000000000001</v>
      </c>
      <c r="I508" s="295" t="s">
        <v>786</v>
      </c>
      <c r="J508" s="295"/>
      <c r="K508" s="170">
        <v>0</v>
      </c>
      <c r="L508" s="171">
        <v>2</v>
      </c>
      <c r="M508" s="50">
        <v>1</v>
      </c>
      <c r="N508" s="171">
        <v>2</v>
      </c>
      <c r="O508" s="202">
        <v>0</v>
      </c>
      <c r="P508" s="202">
        <v>1</v>
      </c>
      <c r="Q508" s="202">
        <v>2</v>
      </c>
      <c r="R508" s="162"/>
      <c r="S508" s="162"/>
    </row>
    <row r="509" spans="1:19">
      <c r="A509" s="294"/>
      <c r="B509" s="164"/>
      <c r="C509" s="165"/>
      <c r="D509" s="165"/>
      <c r="E509" s="165"/>
      <c r="F509" s="165"/>
      <c r="G509" s="166"/>
      <c r="I509" s="295" t="s">
        <v>787</v>
      </c>
      <c r="J509" s="295"/>
      <c r="K509" s="170">
        <v>19</v>
      </c>
      <c r="L509" s="171">
        <v>18</v>
      </c>
      <c r="M509" s="50">
        <v>24</v>
      </c>
      <c r="N509" s="171">
        <v>15</v>
      </c>
      <c r="O509" s="202">
        <v>10</v>
      </c>
      <c r="P509" s="202">
        <v>11</v>
      </c>
      <c r="Q509" s="202">
        <v>12</v>
      </c>
      <c r="R509" s="162"/>
      <c r="S509" s="162"/>
    </row>
    <row r="510" spans="1:19">
      <c r="A510" s="294"/>
      <c r="B510" s="161"/>
      <c r="C510" s="162"/>
      <c r="D510" s="162"/>
      <c r="E510" s="162"/>
      <c r="F510" s="162"/>
      <c r="G510" s="163"/>
      <c r="I510" s="295" t="s">
        <v>788</v>
      </c>
      <c r="J510" s="295"/>
      <c r="K510" s="170">
        <v>0</v>
      </c>
      <c r="L510" s="171">
        <v>0</v>
      </c>
      <c r="M510" s="50">
        <v>0</v>
      </c>
      <c r="N510" s="171">
        <v>0</v>
      </c>
      <c r="O510" s="202">
        <v>1</v>
      </c>
      <c r="P510" s="202">
        <v>1</v>
      </c>
      <c r="Q510" s="202">
        <v>1</v>
      </c>
      <c r="R510" s="162"/>
      <c r="S510" s="162"/>
    </row>
    <row r="511" spans="1:19">
      <c r="A511" s="294"/>
      <c r="B511" s="164"/>
      <c r="C511" s="165"/>
      <c r="D511" s="165"/>
      <c r="E511" s="165"/>
      <c r="F511" s="165"/>
      <c r="G511" s="166"/>
      <c r="I511" s="295" t="s">
        <v>789</v>
      </c>
      <c r="J511" s="295"/>
      <c r="K511" s="170">
        <v>10</v>
      </c>
      <c r="L511" s="171">
        <v>12</v>
      </c>
      <c r="M511" s="50">
        <v>12</v>
      </c>
      <c r="N511" s="171">
        <v>16</v>
      </c>
      <c r="O511" s="202">
        <v>21</v>
      </c>
      <c r="P511" s="202">
        <v>13</v>
      </c>
      <c r="Q511" s="202">
        <v>12</v>
      </c>
      <c r="R511" s="162"/>
      <c r="S511" s="162"/>
    </row>
    <row r="512" spans="1:19">
      <c r="A512" s="63"/>
      <c r="B512" s="63"/>
      <c r="C512" s="63"/>
      <c r="D512" s="63"/>
      <c r="E512" s="63"/>
      <c r="F512" s="63"/>
      <c r="G512" s="63"/>
      <c r="I512" s="295" t="s">
        <v>790</v>
      </c>
      <c r="J512" s="295"/>
      <c r="K512" s="170">
        <v>2</v>
      </c>
      <c r="L512" s="171">
        <v>2</v>
      </c>
      <c r="M512" s="50">
        <v>3</v>
      </c>
      <c r="N512" s="171">
        <v>6</v>
      </c>
      <c r="O512" s="202">
        <v>7</v>
      </c>
      <c r="P512" s="202">
        <v>4</v>
      </c>
      <c r="Q512" s="202">
        <v>3</v>
      </c>
      <c r="R512" s="162"/>
      <c r="S512" s="162"/>
    </row>
    <row r="513" spans="1:19">
      <c r="A513" s="63"/>
      <c r="B513" s="63"/>
      <c r="C513" s="63"/>
      <c r="D513" s="63"/>
      <c r="E513" s="63"/>
      <c r="F513" s="63"/>
      <c r="G513" s="63"/>
      <c r="I513" s="295" t="s">
        <v>791</v>
      </c>
      <c r="J513" s="295"/>
      <c r="K513" s="170">
        <v>23</v>
      </c>
      <c r="L513" s="171">
        <v>27</v>
      </c>
      <c r="M513" s="50">
        <v>29</v>
      </c>
      <c r="N513" s="171">
        <v>30</v>
      </c>
      <c r="O513" s="202">
        <v>21</v>
      </c>
      <c r="P513" s="202">
        <v>21</v>
      </c>
      <c r="Q513" s="202">
        <v>28</v>
      </c>
      <c r="R513" s="162"/>
      <c r="S513" s="162"/>
    </row>
    <row r="514" spans="1:19">
      <c r="A514" s="63"/>
      <c r="B514" s="63"/>
      <c r="C514" s="63"/>
      <c r="D514" s="63"/>
      <c r="E514" s="63"/>
      <c r="F514" s="63"/>
      <c r="G514" s="63"/>
      <c r="I514" s="296" t="s">
        <v>792</v>
      </c>
      <c r="J514" s="296"/>
      <c r="K514" s="170">
        <v>5</v>
      </c>
      <c r="L514" s="171">
        <v>5</v>
      </c>
      <c r="M514" s="50">
        <v>3</v>
      </c>
      <c r="N514" s="171">
        <v>7</v>
      </c>
      <c r="O514" s="202">
        <v>14</v>
      </c>
      <c r="P514" s="202">
        <v>9</v>
      </c>
      <c r="Q514" s="202">
        <v>3</v>
      </c>
      <c r="R514" s="162"/>
      <c r="S514" s="162"/>
    </row>
    <row r="515" spans="1:19" ht="17.25" thickBot="1">
      <c r="A515" s="63"/>
      <c r="B515" s="63"/>
      <c r="C515" s="63"/>
      <c r="D515" s="63"/>
      <c r="E515" s="63"/>
      <c r="F515" s="63"/>
      <c r="G515" s="63"/>
      <c r="I515" s="297" t="s">
        <v>793</v>
      </c>
      <c r="J515" s="297"/>
      <c r="K515" s="172">
        <f t="shared" ref="K515:S515" si="169">SUM(K504:K514)</f>
        <v>86</v>
      </c>
      <c r="L515" s="205">
        <f t="shared" si="169"/>
        <v>96</v>
      </c>
      <c r="M515" s="205">
        <f t="shared" si="169"/>
        <v>102</v>
      </c>
      <c r="N515" s="205">
        <f t="shared" si="169"/>
        <v>103</v>
      </c>
      <c r="O515" s="174">
        <f t="shared" si="169"/>
        <v>102</v>
      </c>
      <c r="P515" s="174">
        <f t="shared" si="169"/>
        <v>78</v>
      </c>
      <c r="Q515" s="174">
        <f t="shared" si="169"/>
        <v>82</v>
      </c>
      <c r="R515" s="175">
        <f t="shared" si="169"/>
        <v>0</v>
      </c>
      <c r="S515" s="175">
        <f t="shared" si="169"/>
        <v>0</v>
      </c>
    </row>
    <row r="516" spans="1:19" ht="17.25" thickBot="1">
      <c r="A516" s="63"/>
      <c r="B516" s="63"/>
      <c r="C516" s="63"/>
      <c r="D516" s="63"/>
      <c r="E516" s="63"/>
      <c r="F516" s="63"/>
      <c r="G516" s="63"/>
      <c r="I516" s="298" t="s">
        <v>794</v>
      </c>
      <c r="J516" s="299"/>
      <c r="K516" s="176">
        <f t="shared" ref="K516" si="170">S495-K515</f>
        <v>-86</v>
      </c>
      <c r="L516" s="177">
        <f t="shared" ref="L516" si="171">K515-L515</f>
        <v>-10</v>
      </c>
      <c r="M516" s="177">
        <f t="shared" ref="M516" si="172">K515-M515</f>
        <v>-16</v>
      </c>
      <c r="N516" s="177">
        <f t="shared" ref="N516" si="173">K515-N515</f>
        <v>-17</v>
      </c>
      <c r="O516" s="178">
        <f t="shared" ref="O516" si="174">K515-O515</f>
        <v>-16</v>
      </c>
      <c r="P516" s="178">
        <f t="shared" ref="P516" si="175">K515-P515</f>
        <v>8</v>
      </c>
      <c r="Q516" s="178">
        <f t="shared" ref="Q516" si="176">K515-Q515</f>
        <v>4</v>
      </c>
      <c r="R516" s="179">
        <f t="shared" ref="R516" si="177">K515-R515</f>
        <v>86</v>
      </c>
      <c r="S516" s="180">
        <f t="shared" ref="S516" si="178">L515-S515</f>
        <v>96</v>
      </c>
    </row>
    <row r="517" spans="1:19">
      <c r="A517" s="63"/>
      <c r="B517" s="63"/>
      <c r="C517" s="63"/>
      <c r="D517" s="63"/>
      <c r="E517" s="63"/>
      <c r="F517" s="63"/>
      <c r="G517" s="63"/>
      <c r="I517" s="300" t="s">
        <v>795</v>
      </c>
      <c r="J517" s="301"/>
      <c r="K517" s="181">
        <v>235</v>
      </c>
      <c r="L517" s="182">
        <v>229</v>
      </c>
      <c r="M517" s="182">
        <v>209</v>
      </c>
      <c r="N517" s="182">
        <v>210</v>
      </c>
      <c r="O517" s="183">
        <v>235</v>
      </c>
      <c r="P517" s="182">
        <v>243</v>
      </c>
      <c r="Q517" s="182">
        <v>231</v>
      </c>
      <c r="R517" s="182"/>
      <c r="S517" s="182"/>
    </row>
    <row r="518" spans="1:19">
      <c r="A518" s="63"/>
      <c r="B518" s="63"/>
      <c r="C518" s="63"/>
      <c r="D518" s="63"/>
      <c r="E518" s="63"/>
      <c r="F518" s="63"/>
      <c r="G518" s="63"/>
      <c r="I518" s="302" t="s">
        <v>796</v>
      </c>
      <c r="J518" s="302"/>
      <c r="K518" s="184">
        <v>81</v>
      </c>
      <c r="L518" s="203">
        <v>76</v>
      </c>
      <c r="M518" s="203">
        <v>63</v>
      </c>
      <c r="N518" s="203">
        <v>55</v>
      </c>
      <c r="O518" s="203">
        <v>79</v>
      </c>
      <c r="P518" s="203">
        <v>90</v>
      </c>
      <c r="Q518" s="203">
        <v>88</v>
      </c>
      <c r="R518" s="203"/>
      <c r="S518" s="203"/>
    </row>
    <row r="519" spans="1:19">
      <c r="A519" s="63"/>
      <c r="B519" s="63"/>
      <c r="C519" s="63"/>
      <c r="D519" s="63"/>
      <c r="E519" s="63"/>
      <c r="F519" s="63"/>
      <c r="G519" s="63"/>
      <c r="I519" s="302" t="s">
        <v>797</v>
      </c>
      <c r="J519" s="302"/>
      <c r="K519" s="184">
        <v>154</v>
      </c>
      <c r="L519" s="203">
        <v>153</v>
      </c>
      <c r="M519" s="203">
        <v>146</v>
      </c>
      <c r="N519" s="203">
        <v>155</v>
      </c>
      <c r="O519" s="203">
        <v>156</v>
      </c>
      <c r="P519" s="203">
        <v>153</v>
      </c>
      <c r="Q519" s="203">
        <v>143</v>
      </c>
      <c r="R519" s="203"/>
      <c r="S519" s="203"/>
    </row>
    <row r="520" spans="1:19">
      <c r="A520" s="63"/>
      <c r="B520" s="63"/>
      <c r="C520" s="63"/>
      <c r="D520" s="63"/>
      <c r="E520" s="63"/>
      <c r="F520" s="63"/>
      <c r="G520" s="63"/>
      <c r="I520" s="303" t="s">
        <v>798</v>
      </c>
      <c r="J520" s="303"/>
      <c r="K520" s="184"/>
      <c r="L520" s="185"/>
      <c r="M520" s="185"/>
      <c r="N520" s="185"/>
      <c r="O520" s="185"/>
      <c r="P520" s="204"/>
      <c r="Q520" s="204"/>
      <c r="R520" s="204"/>
      <c r="S520" s="204"/>
    </row>
    <row r="521" spans="1:19">
      <c r="A521" s="3" t="s">
        <v>801</v>
      </c>
      <c r="B521" s="201" t="s">
        <v>802</v>
      </c>
      <c r="C521" s="201" t="s">
        <v>803</v>
      </c>
      <c r="D521" s="201" t="s">
        <v>119</v>
      </c>
      <c r="E521" s="201" t="s">
        <v>148</v>
      </c>
      <c r="F521" s="201" t="s">
        <v>806</v>
      </c>
      <c r="G521" s="201" t="s">
        <v>81</v>
      </c>
      <c r="I521" s="187"/>
      <c r="J521" s="187"/>
      <c r="K521" s="187"/>
      <c r="L521" s="188"/>
      <c r="M521" s="188"/>
      <c r="N521" s="188"/>
      <c r="O521" s="188"/>
      <c r="P521" s="187"/>
      <c r="Q521" s="187"/>
      <c r="R521" s="187"/>
      <c r="S521" s="187"/>
    </row>
    <row r="522" spans="1:19">
      <c r="A522" s="293">
        <v>44065</v>
      </c>
      <c r="B522" s="161">
        <v>0.30416666666666664</v>
      </c>
      <c r="C522" s="162">
        <v>89</v>
      </c>
      <c r="D522" s="162">
        <v>104</v>
      </c>
      <c r="E522" s="162">
        <v>115</v>
      </c>
      <c r="F522" s="162">
        <v>11</v>
      </c>
      <c r="G522" s="163">
        <v>0.83560000000000001</v>
      </c>
      <c r="I522" s="191"/>
      <c r="J522" s="190"/>
      <c r="K522" s="190"/>
      <c r="L522" s="190"/>
      <c r="M522" s="190">
        <v>44065</v>
      </c>
      <c r="N522" s="189" t="s">
        <v>864</v>
      </c>
      <c r="O522" s="189"/>
      <c r="P522" s="189"/>
      <c r="Q522" s="189"/>
      <c r="R522" s="189"/>
      <c r="S522" s="189"/>
    </row>
    <row r="523" spans="1:19">
      <c r="A523" s="294"/>
      <c r="B523" s="164">
        <v>0.47083333333333338</v>
      </c>
      <c r="C523" s="165">
        <v>76</v>
      </c>
      <c r="D523" s="165">
        <v>18</v>
      </c>
      <c r="E523" s="165">
        <v>17</v>
      </c>
      <c r="F523" s="165">
        <v>-1</v>
      </c>
      <c r="G523" s="166">
        <v>0.83489999999999998</v>
      </c>
      <c r="I523" s="304"/>
      <c r="J523" s="304"/>
      <c r="K523" s="167">
        <v>0.30416666666666664</v>
      </c>
      <c r="L523" s="168">
        <v>0.47083333333333338</v>
      </c>
      <c r="M523" s="168">
        <v>0.6381944444444444</v>
      </c>
      <c r="N523" s="168">
        <v>0.8041666666666667</v>
      </c>
      <c r="O523" s="169">
        <v>0.97152777777777777</v>
      </c>
      <c r="P523" s="169">
        <v>0.14375000000000002</v>
      </c>
      <c r="Q523" s="169">
        <v>0.31666666666666665</v>
      </c>
      <c r="R523" s="161"/>
      <c r="S523" s="161"/>
    </row>
    <row r="524" spans="1:19">
      <c r="A524" s="294"/>
      <c r="B524" s="161">
        <v>0.6381944444444444</v>
      </c>
      <c r="C524" s="162">
        <v>85</v>
      </c>
      <c r="D524" s="162">
        <v>39</v>
      </c>
      <c r="E524" s="162">
        <v>41</v>
      </c>
      <c r="F524" s="162">
        <v>2</v>
      </c>
      <c r="G524" s="163">
        <v>0.83509999999999995</v>
      </c>
      <c r="I524" s="295" t="s">
        <v>782</v>
      </c>
      <c r="J524" s="296"/>
      <c r="K524" s="170">
        <v>13</v>
      </c>
      <c r="L524" s="171">
        <v>15</v>
      </c>
      <c r="M524" s="50">
        <v>13</v>
      </c>
      <c r="N524" s="171">
        <v>12</v>
      </c>
      <c r="O524" s="202">
        <v>10</v>
      </c>
      <c r="P524" s="202">
        <v>9</v>
      </c>
      <c r="Q524" s="202">
        <v>10</v>
      </c>
      <c r="R524" s="162"/>
      <c r="S524" s="162"/>
    </row>
    <row r="525" spans="1:19">
      <c r="A525" s="294"/>
      <c r="B525" s="164">
        <v>0.8041666666666667</v>
      </c>
      <c r="C525" s="165">
        <v>76</v>
      </c>
      <c r="D525" s="165">
        <v>56</v>
      </c>
      <c r="E525" s="165">
        <v>50</v>
      </c>
      <c r="F525" s="165">
        <v>-6</v>
      </c>
      <c r="G525" s="166">
        <v>0.83289999999999997</v>
      </c>
      <c r="I525" s="295" t="s">
        <v>783</v>
      </c>
      <c r="J525" s="295"/>
      <c r="K525" s="170">
        <v>1</v>
      </c>
      <c r="L525" s="171">
        <v>4</v>
      </c>
      <c r="M525" s="50">
        <v>2</v>
      </c>
      <c r="N525" s="171">
        <v>1</v>
      </c>
      <c r="O525" s="202">
        <v>1</v>
      </c>
      <c r="P525" s="202">
        <v>1</v>
      </c>
      <c r="Q525" s="202">
        <v>1</v>
      </c>
      <c r="R525" s="162"/>
      <c r="S525" s="162"/>
    </row>
    <row r="526" spans="1:19">
      <c r="A526" s="294"/>
      <c r="B526" s="161">
        <v>0.97152777777777777</v>
      </c>
      <c r="C526" s="162">
        <v>57</v>
      </c>
      <c r="D526" s="162">
        <v>82</v>
      </c>
      <c r="E526" s="162">
        <v>56</v>
      </c>
      <c r="F526" s="162">
        <v>-26</v>
      </c>
      <c r="G526" s="163">
        <v>0.82809999999999995</v>
      </c>
      <c r="I526" s="295" t="s">
        <v>784</v>
      </c>
      <c r="J526" s="295"/>
      <c r="K526" s="170">
        <v>3</v>
      </c>
      <c r="L526" s="171">
        <v>4</v>
      </c>
      <c r="M526" s="50">
        <v>4</v>
      </c>
      <c r="N526" s="171">
        <v>4</v>
      </c>
      <c r="O526" s="202">
        <v>4</v>
      </c>
      <c r="P526" s="202">
        <v>4</v>
      </c>
      <c r="Q526" s="202">
        <v>4</v>
      </c>
      <c r="R526" s="162"/>
      <c r="S526" s="162"/>
    </row>
    <row r="527" spans="1:19">
      <c r="A527" s="294"/>
      <c r="B527" s="164">
        <v>0.14375000000000002</v>
      </c>
      <c r="C527" s="165">
        <v>60</v>
      </c>
      <c r="D527" s="165">
        <v>101</v>
      </c>
      <c r="E527" s="165">
        <v>76</v>
      </c>
      <c r="F527" s="165">
        <v>-25</v>
      </c>
      <c r="G527" s="166">
        <v>0.83509999999999995</v>
      </c>
      <c r="I527" s="295" t="s">
        <v>785</v>
      </c>
      <c r="J527" s="295"/>
      <c r="K527" s="170">
        <v>4</v>
      </c>
      <c r="L527" s="171">
        <v>6</v>
      </c>
      <c r="M527" s="50">
        <v>5</v>
      </c>
      <c r="N527" s="171">
        <v>6</v>
      </c>
      <c r="O527" s="202">
        <v>9</v>
      </c>
      <c r="P527" s="202">
        <v>4</v>
      </c>
      <c r="Q527" s="202">
        <v>4</v>
      </c>
      <c r="R527" s="162"/>
      <c r="S527" s="162"/>
    </row>
    <row r="528" spans="1:19">
      <c r="A528" s="294"/>
      <c r="B528" s="161">
        <v>0.31666666666666665</v>
      </c>
      <c r="C528" s="162">
        <v>68</v>
      </c>
      <c r="D528" s="162">
        <v>0</v>
      </c>
      <c r="E528" s="162">
        <v>1</v>
      </c>
      <c r="F528" s="162">
        <v>1</v>
      </c>
      <c r="G528" s="163">
        <v>0.83189999999999997</v>
      </c>
      <c r="I528" s="295" t="s">
        <v>786</v>
      </c>
      <c r="J528" s="295"/>
      <c r="K528" s="170">
        <v>2</v>
      </c>
      <c r="L528" s="171">
        <v>2</v>
      </c>
      <c r="M528" s="50">
        <v>0</v>
      </c>
      <c r="N528" s="171">
        <v>3</v>
      </c>
      <c r="O528" s="202">
        <v>4</v>
      </c>
      <c r="P528" s="202">
        <v>1</v>
      </c>
      <c r="Q528" s="202">
        <v>2</v>
      </c>
      <c r="R528" s="162"/>
      <c r="S528" s="162"/>
    </row>
    <row r="529" spans="1:19">
      <c r="A529" s="294"/>
      <c r="B529" s="164"/>
      <c r="C529" s="165"/>
      <c r="D529" s="165"/>
      <c r="E529" s="165"/>
      <c r="F529" s="165"/>
      <c r="G529" s="166"/>
      <c r="I529" s="295" t="s">
        <v>787</v>
      </c>
      <c r="J529" s="295"/>
      <c r="K529" s="170">
        <v>12</v>
      </c>
      <c r="L529" s="171">
        <v>8</v>
      </c>
      <c r="M529" s="50">
        <v>11</v>
      </c>
      <c r="N529" s="171">
        <v>12</v>
      </c>
      <c r="O529" s="202">
        <v>12</v>
      </c>
      <c r="P529" s="202">
        <v>13</v>
      </c>
      <c r="Q529" s="202">
        <v>12</v>
      </c>
      <c r="R529" s="162"/>
      <c r="S529" s="162"/>
    </row>
    <row r="530" spans="1:19">
      <c r="A530" s="294"/>
      <c r="B530" s="161"/>
      <c r="C530" s="162"/>
      <c r="D530" s="162"/>
      <c r="E530" s="162"/>
      <c r="F530" s="162"/>
      <c r="G530" s="163"/>
      <c r="I530" s="295" t="s">
        <v>788</v>
      </c>
      <c r="J530" s="295"/>
      <c r="K530" s="170">
        <v>1</v>
      </c>
      <c r="L530" s="171">
        <v>1</v>
      </c>
      <c r="M530" s="50">
        <v>1</v>
      </c>
      <c r="N530" s="171">
        <v>1</v>
      </c>
      <c r="O530" s="202">
        <v>1</v>
      </c>
      <c r="P530" s="202">
        <v>1</v>
      </c>
      <c r="Q530" s="202">
        <v>1</v>
      </c>
      <c r="R530" s="162"/>
      <c r="S530" s="162"/>
    </row>
    <row r="531" spans="1:19">
      <c r="A531" s="294"/>
      <c r="B531" s="164"/>
      <c r="C531" s="165"/>
      <c r="D531" s="165"/>
      <c r="E531" s="165"/>
      <c r="F531" s="165"/>
      <c r="G531" s="166"/>
      <c r="I531" s="295" t="s">
        <v>789</v>
      </c>
      <c r="J531" s="295"/>
      <c r="K531" s="170">
        <v>12</v>
      </c>
      <c r="L531" s="171">
        <v>12</v>
      </c>
      <c r="M531" s="50">
        <v>15</v>
      </c>
      <c r="N531" s="171">
        <v>10</v>
      </c>
      <c r="O531" s="202">
        <v>9</v>
      </c>
      <c r="P531" s="202">
        <v>9</v>
      </c>
      <c r="Q531" s="202">
        <v>11</v>
      </c>
      <c r="R531" s="162"/>
      <c r="S531" s="162"/>
    </row>
    <row r="532" spans="1:19">
      <c r="A532" s="63"/>
      <c r="B532" s="63"/>
      <c r="C532" s="63"/>
      <c r="D532" s="63"/>
      <c r="E532" s="63"/>
      <c r="F532" s="63"/>
      <c r="G532" s="63"/>
      <c r="I532" s="295" t="s">
        <v>790</v>
      </c>
      <c r="J532" s="295"/>
      <c r="K532" s="170">
        <v>3</v>
      </c>
      <c r="L532" s="171">
        <v>1</v>
      </c>
      <c r="M532" s="50">
        <v>3</v>
      </c>
      <c r="N532" s="171">
        <v>4</v>
      </c>
      <c r="O532" s="202">
        <v>6</v>
      </c>
      <c r="P532" s="202">
        <v>3</v>
      </c>
      <c r="Q532" s="202">
        <v>4</v>
      </c>
      <c r="R532" s="162"/>
      <c r="S532" s="162"/>
    </row>
    <row r="533" spans="1:19">
      <c r="A533" s="63"/>
      <c r="B533" s="63"/>
      <c r="C533" s="63"/>
      <c r="D533" s="63"/>
      <c r="E533" s="63"/>
      <c r="F533" s="63"/>
      <c r="G533" s="63"/>
      <c r="I533" s="295" t="s">
        <v>791</v>
      </c>
      <c r="J533" s="295"/>
      <c r="K533" s="170">
        <v>28</v>
      </c>
      <c r="L533" s="171">
        <v>28</v>
      </c>
      <c r="M533" s="50">
        <v>28</v>
      </c>
      <c r="N533" s="171">
        <v>26</v>
      </c>
      <c r="O533" s="202">
        <v>28</v>
      </c>
      <c r="P533" s="202">
        <v>26</v>
      </c>
      <c r="Q533" s="202">
        <v>28</v>
      </c>
      <c r="R533" s="162"/>
      <c r="S533" s="162"/>
    </row>
    <row r="534" spans="1:19">
      <c r="A534" s="63"/>
      <c r="B534" s="63"/>
      <c r="C534" s="63"/>
      <c r="D534" s="63"/>
      <c r="E534" s="63"/>
      <c r="F534" s="63"/>
      <c r="G534" s="63"/>
      <c r="I534" s="296" t="s">
        <v>792</v>
      </c>
      <c r="J534" s="296"/>
      <c r="K534" s="170">
        <v>3</v>
      </c>
      <c r="L534" s="171">
        <v>2</v>
      </c>
      <c r="M534" s="50">
        <v>2</v>
      </c>
      <c r="N534" s="171">
        <v>4</v>
      </c>
      <c r="O534" s="202">
        <v>1</v>
      </c>
      <c r="P534" s="202">
        <v>3</v>
      </c>
      <c r="Q534" s="202">
        <v>3</v>
      </c>
      <c r="R534" s="162"/>
      <c r="S534" s="162"/>
    </row>
    <row r="535" spans="1:19" ht="17.25" thickBot="1">
      <c r="A535" s="63"/>
      <c r="B535" s="63"/>
      <c r="C535" s="63"/>
      <c r="D535" s="63"/>
      <c r="E535" s="63"/>
      <c r="F535" s="63"/>
      <c r="G535" s="63"/>
      <c r="I535" s="297" t="s">
        <v>793</v>
      </c>
      <c r="J535" s="297"/>
      <c r="K535" s="172">
        <f t="shared" ref="K535:S535" si="179">SUM(K524:K534)</f>
        <v>82</v>
      </c>
      <c r="L535" s="205">
        <f t="shared" si="179"/>
        <v>83</v>
      </c>
      <c r="M535" s="205">
        <f t="shared" si="179"/>
        <v>84</v>
      </c>
      <c r="N535" s="205">
        <f t="shared" si="179"/>
        <v>83</v>
      </c>
      <c r="O535" s="174">
        <f t="shared" si="179"/>
        <v>85</v>
      </c>
      <c r="P535" s="174">
        <f t="shared" si="179"/>
        <v>74</v>
      </c>
      <c r="Q535" s="174">
        <f t="shared" si="179"/>
        <v>80</v>
      </c>
      <c r="R535" s="175">
        <f t="shared" si="179"/>
        <v>0</v>
      </c>
      <c r="S535" s="175">
        <f t="shared" si="179"/>
        <v>0</v>
      </c>
    </row>
    <row r="536" spans="1:19" ht="17.25" thickBot="1">
      <c r="A536" s="63"/>
      <c r="B536" s="63"/>
      <c r="C536" s="63"/>
      <c r="D536" s="63"/>
      <c r="E536" s="63"/>
      <c r="F536" s="63"/>
      <c r="G536" s="63"/>
      <c r="I536" s="298" t="s">
        <v>794</v>
      </c>
      <c r="J536" s="299"/>
      <c r="K536" s="176">
        <f t="shared" ref="K536" si="180">S515-K535</f>
        <v>-82</v>
      </c>
      <c r="L536" s="177">
        <f t="shared" ref="L536" si="181">K535-L535</f>
        <v>-1</v>
      </c>
      <c r="M536" s="177">
        <f t="shared" ref="M536" si="182">K535-M535</f>
        <v>-2</v>
      </c>
      <c r="N536" s="177">
        <f t="shared" ref="N536" si="183">K535-N535</f>
        <v>-1</v>
      </c>
      <c r="O536" s="178">
        <f t="shared" ref="O536" si="184">K535-O535</f>
        <v>-3</v>
      </c>
      <c r="P536" s="178">
        <f t="shared" ref="P536" si="185">K535-P535</f>
        <v>8</v>
      </c>
      <c r="Q536" s="178">
        <f t="shared" ref="Q536" si="186">K535-Q535</f>
        <v>2</v>
      </c>
      <c r="R536" s="179">
        <f t="shared" ref="R536" si="187">K535-R535</f>
        <v>82</v>
      </c>
      <c r="S536" s="180">
        <f t="shared" ref="S536" si="188">L535-S535</f>
        <v>83</v>
      </c>
    </row>
    <row r="537" spans="1:19">
      <c r="A537" s="63"/>
      <c r="B537" s="63"/>
      <c r="C537" s="63"/>
      <c r="D537" s="63"/>
      <c r="E537" s="63"/>
      <c r="F537" s="63"/>
      <c r="G537" s="63"/>
      <c r="I537" s="300" t="s">
        <v>795</v>
      </c>
      <c r="J537" s="301"/>
      <c r="K537" s="181">
        <v>231</v>
      </c>
      <c r="L537" s="182">
        <v>232</v>
      </c>
      <c r="M537" s="182">
        <v>226</v>
      </c>
      <c r="N537" s="182">
        <v>222</v>
      </c>
      <c r="O537" s="183">
        <v>193</v>
      </c>
      <c r="P537" s="182">
        <v>206</v>
      </c>
      <c r="Q537" s="182">
        <v>214</v>
      </c>
      <c r="R537" s="182"/>
      <c r="S537" s="182"/>
    </row>
    <row r="538" spans="1:19">
      <c r="A538" s="63"/>
      <c r="B538" s="63"/>
      <c r="C538" s="63"/>
      <c r="D538" s="63"/>
      <c r="E538" s="63"/>
      <c r="F538" s="63"/>
      <c r="G538" s="63"/>
      <c r="I538" s="302" t="s">
        <v>796</v>
      </c>
      <c r="J538" s="302"/>
      <c r="K538" s="184">
        <v>88</v>
      </c>
      <c r="L538" s="203">
        <v>76</v>
      </c>
      <c r="M538" s="203">
        <v>85</v>
      </c>
      <c r="N538" s="203">
        <v>77</v>
      </c>
      <c r="O538" s="203">
        <v>56</v>
      </c>
      <c r="P538" s="203">
        <v>61</v>
      </c>
      <c r="Q538" s="203">
        <v>68</v>
      </c>
      <c r="R538" s="203"/>
      <c r="S538" s="203"/>
    </row>
    <row r="539" spans="1:19">
      <c r="A539" s="63"/>
      <c r="B539" s="63"/>
      <c r="C539" s="63"/>
      <c r="D539" s="63"/>
      <c r="E539" s="63"/>
      <c r="F539" s="63"/>
      <c r="G539" s="63"/>
      <c r="I539" s="302" t="s">
        <v>797</v>
      </c>
      <c r="J539" s="302"/>
      <c r="K539" s="184">
        <v>143</v>
      </c>
      <c r="L539" s="203">
        <v>156</v>
      </c>
      <c r="M539" s="203">
        <v>141</v>
      </c>
      <c r="N539" s="203">
        <v>145</v>
      </c>
      <c r="O539" s="203">
        <v>137</v>
      </c>
      <c r="P539" s="203">
        <v>145</v>
      </c>
      <c r="Q539" s="203">
        <v>146</v>
      </c>
      <c r="R539" s="203"/>
      <c r="S539" s="203"/>
    </row>
    <row r="540" spans="1:19">
      <c r="A540" s="63"/>
      <c r="B540" s="63"/>
      <c r="C540" s="63"/>
      <c r="D540" s="63"/>
      <c r="E540" s="63"/>
      <c r="F540" s="63"/>
      <c r="G540" s="63"/>
      <c r="I540" s="303" t="s">
        <v>798</v>
      </c>
      <c r="J540" s="303"/>
      <c r="K540" s="184"/>
      <c r="L540" s="185"/>
      <c r="M540" s="185"/>
      <c r="N540" s="185"/>
      <c r="O540" s="185"/>
      <c r="P540" s="204"/>
      <c r="Q540" s="204"/>
      <c r="R540" s="204"/>
      <c r="S540" s="204"/>
    </row>
    <row r="541" spans="1:19">
      <c r="A541" s="3" t="s">
        <v>801</v>
      </c>
      <c r="B541" s="201" t="s">
        <v>802</v>
      </c>
      <c r="C541" s="201" t="s">
        <v>803</v>
      </c>
      <c r="D541" s="201" t="s">
        <v>119</v>
      </c>
      <c r="E541" s="201" t="s">
        <v>148</v>
      </c>
      <c r="F541" s="201" t="s">
        <v>806</v>
      </c>
      <c r="G541" s="201" t="s">
        <v>81</v>
      </c>
      <c r="I541" s="187"/>
      <c r="J541" s="187"/>
      <c r="K541" s="187"/>
      <c r="L541" s="188"/>
      <c r="M541" s="188"/>
      <c r="N541" s="188"/>
      <c r="O541" s="188"/>
      <c r="P541" s="187"/>
      <c r="Q541" s="187"/>
      <c r="R541" s="187"/>
      <c r="S541" s="187"/>
    </row>
    <row r="542" spans="1:19">
      <c r="A542" s="293">
        <v>44066</v>
      </c>
      <c r="B542" s="161">
        <v>0.31666666666666665</v>
      </c>
      <c r="C542" s="162">
        <v>68</v>
      </c>
      <c r="D542" s="162">
        <v>0</v>
      </c>
      <c r="E542" s="162">
        <v>1</v>
      </c>
      <c r="F542" s="162">
        <v>1</v>
      </c>
      <c r="G542" s="163">
        <v>0.83189999999999997</v>
      </c>
      <c r="I542" s="191"/>
      <c r="J542" s="190"/>
      <c r="K542" s="190"/>
      <c r="L542" s="190"/>
      <c r="M542" s="190">
        <v>44066</v>
      </c>
      <c r="N542" s="189" t="s">
        <v>864</v>
      </c>
      <c r="O542" s="189"/>
      <c r="P542" s="189"/>
      <c r="Q542" s="189"/>
      <c r="R542" s="189"/>
      <c r="S542" s="189"/>
    </row>
    <row r="543" spans="1:19">
      <c r="A543" s="294"/>
      <c r="B543" s="164">
        <v>0.48333333333333334</v>
      </c>
      <c r="C543" s="165">
        <v>70</v>
      </c>
      <c r="D543" s="165">
        <v>24</v>
      </c>
      <c r="E543" s="165">
        <v>29</v>
      </c>
      <c r="F543" s="165">
        <v>5</v>
      </c>
      <c r="G543" s="166">
        <v>0.84240000000000004</v>
      </c>
      <c r="I543" s="304"/>
      <c r="J543" s="304"/>
      <c r="K543" s="167">
        <v>0.31666666666666665</v>
      </c>
      <c r="L543" s="168">
        <v>0.48333333333333334</v>
      </c>
      <c r="M543" s="168">
        <v>0.65</v>
      </c>
      <c r="N543" s="168">
        <v>0.81666666666666676</v>
      </c>
      <c r="O543" s="169">
        <v>0.98333333333333339</v>
      </c>
      <c r="P543" s="169">
        <v>0.15</v>
      </c>
      <c r="Q543" s="169">
        <v>0.31666666666666665</v>
      </c>
      <c r="R543" s="161"/>
      <c r="S543" s="161"/>
    </row>
    <row r="544" spans="1:19">
      <c r="A544" s="294"/>
      <c r="B544" s="161">
        <v>0.65</v>
      </c>
      <c r="C544" s="162">
        <v>60</v>
      </c>
      <c r="D544" s="162">
        <v>42</v>
      </c>
      <c r="E544" s="162">
        <v>47</v>
      </c>
      <c r="F544" s="162">
        <v>5</v>
      </c>
      <c r="G544" s="163">
        <v>0.83979999999999999</v>
      </c>
      <c r="I544" s="295" t="s">
        <v>782</v>
      </c>
      <c r="J544" s="296"/>
      <c r="K544" s="170">
        <v>10</v>
      </c>
      <c r="L544" s="171">
        <v>8</v>
      </c>
      <c r="M544" s="50">
        <v>10</v>
      </c>
      <c r="N544" s="171">
        <v>11</v>
      </c>
      <c r="O544" s="202">
        <v>10</v>
      </c>
      <c r="P544" s="202">
        <v>11</v>
      </c>
      <c r="Q544" s="202">
        <v>12</v>
      </c>
      <c r="R544" s="162"/>
      <c r="S544" s="162"/>
    </row>
    <row r="545" spans="1:19">
      <c r="A545" s="294"/>
      <c r="B545" s="164">
        <v>0.81666666666666676</v>
      </c>
      <c r="C545" s="165">
        <v>71</v>
      </c>
      <c r="D545" s="165">
        <v>62</v>
      </c>
      <c r="E545" s="165">
        <v>62</v>
      </c>
      <c r="F545" s="165">
        <v>0</v>
      </c>
      <c r="G545" s="166">
        <v>0.83609999999999995</v>
      </c>
      <c r="I545" s="295" t="s">
        <v>783</v>
      </c>
      <c r="J545" s="295"/>
      <c r="K545" s="170">
        <v>1</v>
      </c>
      <c r="L545" s="171">
        <v>1</v>
      </c>
      <c r="M545" s="50">
        <v>0</v>
      </c>
      <c r="N545" s="171">
        <v>0</v>
      </c>
      <c r="O545" s="202">
        <v>0</v>
      </c>
      <c r="P545" s="202">
        <v>2</v>
      </c>
      <c r="Q545" s="202">
        <v>0</v>
      </c>
      <c r="R545" s="162"/>
      <c r="S545" s="162"/>
    </row>
    <row r="546" spans="1:19">
      <c r="A546" s="294"/>
      <c r="B546" s="161">
        <v>0.98333333333333339</v>
      </c>
      <c r="C546" s="162">
        <v>74</v>
      </c>
      <c r="D546" s="162">
        <v>81</v>
      </c>
      <c r="E546" s="162">
        <v>80</v>
      </c>
      <c r="F546" s="162">
        <v>-1</v>
      </c>
      <c r="G546" s="163">
        <v>0.83560000000000001</v>
      </c>
      <c r="I546" s="295" t="s">
        <v>784</v>
      </c>
      <c r="J546" s="295"/>
      <c r="K546" s="170">
        <v>4</v>
      </c>
      <c r="L546" s="171">
        <v>4</v>
      </c>
      <c r="M546" s="50">
        <v>5</v>
      </c>
      <c r="N546" s="171">
        <v>4</v>
      </c>
      <c r="O546" s="202">
        <v>5</v>
      </c>
      <c r="P546" s="202">
        <v>7</v>
      </c>
      <c r="Q546" s="202">
        <v>6</v>
      </c>
      <c r="R546" s="162"/>
      <c r="S546" s="162"/>
    </row>
    <row r="547" spans="1:19">
      <c r="A547" s="294"/>
      <c r="B547" s="164">
        <v>0.15</v>
      </c>
      <c r="C547" s="165">
        <v>60</v>
      </c>
      <c r="D547" s="165">
        <v>93</v>
      </c>
      <c r="E547" s="165">
        <v>103</v>
      </c>
      <c r="F547" s="165">
        <v>10</v>
      </c>
      <c r="G547" s="166">
        <v>0.82150000000000001</v>
      </c>
      <c r="I547" s="295" t="s">
        <v>785</v>
      </c>
      <c r="J547" s="295"/>
      <c r="K547" s="170">
        <v>4</v>
      </c>
      <c r="L547" s="171">
        <v>4</v>
      </c>
      <c r="M547" s="50">
        <v>4</v>
      </c>
      <c r="N547" s="171">
        <v>5</v>
      </c>
      <c r="O547" s="202">
        <v>3</v>
      </c>
      <c r="P547" s="202">
        <v>2</v>
      </c>
      <c r="Q547" s="202">
        <v>4</v>
      </c>
      <c r="R547" s="162"/>
      <c r="S547" s="162"/>
    </row>
    <row r="548" spans="1:19">
      <c r="A548" s="294"/>
      <c r="B548" s="161">
        <v>0.31666666666666665</v>
      </c>
      <c r="C548" s="162">
        <v>47</v>
      </c>
      <c r="D548" s="162">
        <v>0</v>
      </c>
      <c r="E548" s="162">
        <v>1</v>
      </c>
      <c r="F548" s="162">
        <v>1</v>
      </c>
      <c r="G548" s="163">
        <v>0.82730000000000004</v>
      </c>
      <c r="I548" s="295" t="s">
        <v>786</v>
      </c>
      <c r="J548" s="295"/>
      <c r="K548" s="170">
        <v>2</v>
      </c>
      <c r="L548" s="171">
        <v>2</v>
      </c>
      <c r="M548" s="50">
        <v>2</v>
      </c>
      <c r="N548" s="171">
        <v>3</v>
      </c>
      <c r="O548" s="202">
        <v>2</v>
      </c>
      <c r="P548" s="202">
        <v>1</v>
      </c>
      <c r="Q548" s="202">
        <v>3</v>
      </c>
      <c r="R548" s="162"/>
      <c r="S548" s="162"/>
    </row>
    <row r="549" spans="1:19">
      <c r="A549" s="294"/>
      <c r="B549" s="164"/>
      <c r="C549" s="165"/>
      <c r="D549" s="165"/>
      <c r="E549" s="165"/>
      <c r="F549" s="165"/>
      <c r="G549" s="166"/>
      <c r="I549" s="295" t="s">
        <v>787</v>
      </c>
      <c r="J549" s="295"/>
      <c r="K549" s="170">
        <v>12</v>
      </c>
      <c r="L549" s="171">
        <v>6</v>
      </c>
      <c r="M549" s="50">
        <v>9</v>
      </c>
      <c r="N549" s="171">
        <v>10</v>
      </c>
      <c r="O549" s="202">
        <v>12</v>
      </c>
      <c r="P549" s="202">
        <v>15</v>
      </c>
      <c r="Q549" s="202">
        <v>11</v>
      </c>
      <c r="R549" s="162"/>
      <c r="S549" s="162"/>
    </row>
    <row r="550" spans="1:19">
      <c r="A550" s="294"/>
      <c r="B550" s="161"/>
      <c r="C550" s="162"/>
      <c r="D550" s="162"/>
      <c r="E550" s="162"/>
      <c r="F550" s="162"/>
      <c r="G550" s="163"/>
      <c r="I550" s="295" t="s">
        <v>788</v>
      </c>
      <c r="J550" s="295"/>
      <c r="K550" s="170">
        <v>1</v>
      </c>
      <c r="L550" s="171">
        <v>1</v>
      </c>
      <c r="M550" s="50">
        <v>1</v>
      </c>
      <c r="N550" s="171">
        <v>1</v>
      </c>
      <c r="O550" s="202">
        <v>1</v>
      </c>
      <c r="P550" s="202">
        <v>1</v>
      </c>
      <c r="Q550" s="202">
        <v>1</v>
      </c>
      <c r="R550" s="162"/>
      <c r="S550" s="162"/>
    </row>
    <row r="551" spans="1:19">
      <c r="A551" s="294"/>
      <c r="B551" s="164"/>
      <c r="C551" s="165"/>
      <c r="D551" s="165"/>
      <c r="E551" s="165"/>
      <c r="F551" s="165"/>
      <c r="G551" s="166"/>
      <c r="I551" s="295" t="s">
        <v>789</v>
      </c>
      <c r="J551" s="295"/>
      <c r="K551" s="170">
        <v>11</v>
      </c>
      <c r="L551" s="171">
        <v>11</v>
      </c>
      <c r="M551" s="50">
        <v>15</v>
      </c>
      <c r="N551" s="171">
        <v>12</v>
      </c>
      <c r="O551" s="202">
        <v>11</v>
      </c>
      <c r="P551" s="202">
        <v>14</v>
      </c>
      <c r="Q551" s="202">
        <v>9</v>
      </c>
      <c r="R551" s="162"/>
      <c r="S551" s="162"/>
    </row>
    <row r="552" spans="1:19">
      <c r="A552" s="63"/>
      <c r="B552" s="63"/>
      <c r="C552" s="63"/>
      <c r="D552" s="63"/>
      <c r="E552" s="63"/>
      <c r="F552" s="63"/>
      <c r="G552" s="63"/>
      <c r="I552" s="295" t="s">
        <v>790</v>
      </c>
      <c r="J552" s="295"/>
      <c r="K552" s="170">
        <v>4</v>
      </c>
      <c r="L552" s="171">
        <v>5</v>
      </c>
      <c r="M552" s="50">
        <v>5</v>
      </c>
      <c r="N552" s="171">
        <v>4</v>
      </c>
      <c r="O552" s="202">
        <v>5</v>
      </c>
      <c r="P552" s="202">
        <v>5</v>
      </c>
      <c r="Q552" s="202">
        <v>5</v>
      </c>
      <c r="R552" s="162"/>
      <c r="S552" s="162"/>
    </row>
    <row r="553" spans="1:19">
      <c r="A553" s="63"/>
      <c r="B553" s="63"/>
      <c r="C553" s="63"/>
      <c r="D553" s="63"/>
      <c r="E553" s="63"/>
      <c r="F553" s="63"/>
      <c r="G553" s="63"/>
      <c r="I553" s="295" t="s">
        <v>791</v>
      </c>
      <c r="J553" s="295"/>
      <c r="K553" s="170">
        <v>28</v>
      </c>
      <c r="L553" s="171">
        <v>27</v>
      </c>
      <c r="M553" s="50">
        <v>26</v>
      </c>
      <c r="N553" s="171">
        <v>26</v>
      </c>
      <c r="O553" s="202">
        <v>25</v>
      </c>
      <c r="P553" s="202">
        <v>29</v>
      </c>
      <c r="Q553" s="202">
        <v>27</v>
      </c>
      <c r="R553" s="162"/>
      <c r="S553" s="162"/>
    </row>
    <row r="554" spans="1:19">
      <c r="A554" s="63"/>
      <c r="B554" s="63"/>
      <c r="C554" s="63"/>
      <c r="D554" s="63"/>
      <c r="E554" s="63"/>
      <c r="F554" s="63"/>
      <c r="G554" s="63"/>
      <c r="I554" s="296" t="s">
        <v>792</v>
      </c>
      <c r="J554" s="296"/>
      <c r="K554" s="170">
        <v>3</v>
      </c>
      <c r="L554" s="171">
        <v>1</v>
      </c>
      <c r="M554" s="50">
        <v>1</v>
      </c>
      <c r="N554" s="171">
        <v>2</v>
      </c>
      <c r="O554" s="202">
        <v>0</v>
      </c>
      <c r="P554" s="202">
        <v>0</v>
      </c>
      <c r="Q554" s="202">
        <v>1</v>
      </c>
      <c r="R554" s="162"/>
      <c r="S554" s="162"/>
    </row>
    <row r="555" spans="1:19" ht="17.25" thickBot="1">
      <c r="A555" s="63"/>
      <c r="B555" s="63"/>
      <c r="C555" s="63"/>
      <c r="D555" s="63"/>
      <c r="E555" s="63"/>
      <c r="F555" s="63"/>
      <c r="G555" s="63"/>
      <c r="I555" s="297" t="s">
        <v>793</v>
      </c>
      <c r="J555" s="297"/>
      <c r="K555" s="172">
        <f t="shared" ref="K555:S555" si="189">SUM(K544:K554)</f>
        <v>80</v>
      </c>
      <c r="L555" s="205">
        <f t="shared" si="189"/>
        <v>70</v>
      </c>
      <c r="M555" s="205">
        <f t="shared" si="189"/>
        <v>78</v>
      </c>
      <c r="N555" s="205">
        <f t="shared" si="189"/>
        <v>78</v>
      </c>
      <c r="O555" s="174">
        <f t="shared" si="189"/>
        <v>74</v>
      </c>
      <c r="P555" s="174">
        <f t="shared" si="189"/>
        <v>87</v>
      </c>
      <c r="Q555" s="174">
        <f t="shared" si="189"/>
        <v>79</v>
      </c>
      <c r="R555" s="175">
        <f t="shared" si="189"/>
        <v>0</v>
      </c>
      <c r="S555" s="175">
        <f t="shared" si="189"/>
        <v>0</v>
      </c>
    </row>
    <row r="556" spans="1:19" ht="17.25" thickBot="1">
      <c r="A556" s="63"/>
      <c r="B556" s="63"/>
      <c r="C556" s="63"/>
      <c r="D556" s="63"/>
      <c r="E556" s="63"/>
      <c r="F556" s="63"/>
      <c r="G556" s="63"/>
      <c r="I556" s="298" t="s">
        <v>794</v>
      </c>
      <c r="J556" s="299"/>
      <c r="K556" s="176">
        <f t="shared" ref="K556" si="190">S535-K555</f>
        <v>-80</v>
      </c>
      <c r="L556" s="177">
        <f t="shared" ref="L556" si="191">K555-L555</f>
        <v>10</v>
      </c>
      <c r="M556" s="177">
        <f t="shared" ref="M556" si="192">K555-M555</f>
        <v>2</v>
      </c>
      <c r="N556" s="177">
        <f t="shared" ref="N556" si="193">K555-N555</f>
        <v>2</v>
      </c>
      <c r="O556" s="178">
        <f t="shared" ref="O556" si="194">K555-O555</f>
        <v>6</v>
      </c>
      <c r="P556" s="178">
        <f t="shared" ref="P556" si="195">K555-P555</f>
        <v>-7</v>
      </c>
      <c r="Q556" s="178">
        <f t="shared" ref="Q556" si="196">K555-Q555</f>
        <v>1</v>
      </c>
      <c r="R556" s="179">
        <f t="shared" ref="R556" si="197">K555-R555</f>
        <v>80</v>
      </c>
      <c r="S556" s="180">
        <f t="shared" ref="S556" si="198">L555-S555</f>
        <v>70</v>
      </c>
    </row>
    <row r="557" spans="1:19">
      <c r="A557" s="63"/>
      <c r="B557" s="63"/>
      <c r="C557" s="63"/>
      <c r="D557" s="63"/>
      <c r="E557" s="63"/>
      <c r="F557" s="63"/>
      <c r="G557" s="63"/>
      <c r="I557" s="300" t="s">
        <v>795</v>
      </c>
      <c r="J557" s="301"/>
      <c r="K557" s="181">
        <v>214</v>
      </c>
      <c r="L557" s="182">
        <v>229</v>
      </c>
      <c r="M557" s="182">
        <v>220</v>
      </c>
      <c r="N557" s="182">
        <v>208</v>
      </c>
      <c r="O557" s="183">
        <v>225</v>
      </c>
      <c r="P557" s="182">
        <v>208</v>
      </c>
      <c r="Q557" s="182">
        <v>194</v>
      </c>
      <c r="R557" s="182"/>
      <c r="S557" s="182"/>
    </row>
    <row r="558" spans="1:19">
      <c r="A558" s="63"/>
      <c r="B558" s="63"/>
      <c r="C558" s="63"/>
      <c r="D558" s="63"/>
      <c r="E558" s="63"/>
      <c r="F558" s="63"/>
      <c r="G558" s="63"/>
      <c r="I558" s="302" t="s">
        <v>796</v>
      </c>
      <c r="J558" s="302"/>
      <c r="K558" s="184">
        <v>68</v>
      </c>
      <c r="L558" s="203">
        <v>76</v>
      </c>
      <c r="M558" s="203">
        <v>61</v>
      </c>
      <c r="N558" s="203">
        <v>71</v>
      </c>
      <c r="O558" s="203">
        <v>73</v>
      </c>
      <c r="P558" s="203">
        <v>59</v>
      </c>
      <c r="Q558" s="203">
        <v>49</v>
      </c>
      <c r="R558" s="203"/>
      <c r="S558" s="203"/>
    </row>
    <row r="559" spans="1:19">
      <c r="A559" s="63"/>
      <c r="B559" s="63"/>
      <c r="C559" s="63"/>
      <c r="D559" s="63"/>
      <c r="E559" s="63"/>
      <c r="F559" s="63"/>
      <c r="G559" s="63"/>
      <c r="I559" s="302" t="s">
        <v>797</v>
      </c>
      <c r="J559" s="302"/>
      <c r="K559" s="184">
        <v>146</v>
      </c>
      <c r="L559" s="203">
        <v>153</v>
      </c>
      <c r="M559" s="203">
        <v>159</v>
      </c>
      <c r="N559" s="203">
        <v>137</v>
      </c>
      <c r="O559" s="203">
        <v>152</v>
      </c>
      <c r="P559" s="203">
        <v>149</v>
      </c>
      <c r="Q559" s="203">
        <v>145</v>
      </c>
      <c r="R559" s="203"/>
      <c r="S559" s="203"/>
    </row>
    <row r="560" spans="1:19">
      <c r="A560" s="63"/>
      <c r="B560" s="63"/>
      <c r="C560" s="63"/>
      <c r="D560" s="63"/>
      <c r="E560" s="63"/>
      <c r="F560" s="63"/>
      <c r="G560" s="63"/>
      <c r="I560" s="303" t="s">
        <v>798</v>
      </c>
      <c r="J560" s="303"/>
      <c r="K560" s="184"/>
      <c r="L560" s="185"/>
      <c r="M560" s="185"/>
      <c r="N560" s="185"/>
      <c r="O560" s="185"/>
      <c r="P560" s="204"/>
      <c r="Q560" s="204"/>
      <c r="R560" s="204"/>
      <c r="S560" s="204"/>
    </row>
    <row r="561" spans="1:19">
      <c r="A561" s="3" t="s">
        <v>801</v>
      </c>
      <c r="B561" s="201" t="s">
        <v>802</v>
      </c>
      <c r="C561" s="201" t="s">
        <v>803</v>
      </c>
      <c r="D561" s="201" t="s">
        <v>119</v>
      </c>
      <c r="E561" s="201" t="s">
        <v>148</v>
      </c>
      <c r="F561" s="201" t="s">
        <v>806</v>
      </c>
      <c r="G561" s="201" t="s">
        <v>81</v>
      </c>
      <c r="I561" s="187"/>
      <c r="J561" s="187"/>
      <c r="K561" s="187"/>
      <c r="L561" s="188"/>
      <c r="M561" s="188"/>
      <c r="N561" s="188"/>
      <c r="O561" s="188"/>
      <c r="P561" s="187"/>
      <c r="Q561" s="187"/>
      <c r="R561" s="187"/>
      <c r="S561" s="187"/>
    </row>
    <row r="562" spans="1:19">
      <c r="A562" s="293">
        <v>44067</v>
      </c>
      <c r="B562" s="161">
        <v>0.31666666666666665</v>
      </c>
      <c r="C562" s="162">
        <v>47</v>
      </c>
      <c r="D562" s="162">
        <v>0</v>
      </c>
      <c r="E562" s="162">
        <v>1</v>
      </c>
      <c r="F562" s="162">
        <v>1</v>
      </c>
      <c r="G562" s="163">
        <v>0.82730000000000004</v>
      </c>
      <c r="I562" s="191"/>
      <c r="J562" s="190"/>
      <c r="K562" s="190"/>
      <c r="L562" s="190"/>
      <c r="M562" s="190">
        <v>44067</v>
      </c>
      <c r="N562" s="189" t="s">
        <v>864</v>
      </c>
      <c r="O562" s="189"/>
      <c r="P562" s="189"/>
      <c r="Q562" s="189"/>
      <c r="R562" s="189"/>
      <c r="S562" s="189"/>
    </row>
    <row r="563" spans="1:19">
      <c r="A563" s="294"/>
      <c r="B563" s="164">
        <v>0.47847222222222219</v>
      </c>
      <c r="C563" s="165">
        <v>62</v>
      </c>
      <c r="D563" s="165">
        <v>13</v>
      </c>
      <c r="E563" s="165">
        <v>11</v>
      </c>
      <c r="F563" s="165">
        <v>-2</v>
      </c>
      <c r="G563" s="166">
        <v>0.8306</v>
      </c>
      <c r="I563" s="304"/>
      <c r="J563" s="304"/>
      <c r="K563" s="167">
        <v>0.31666666666666665</v>
      </c>
      <c r="L563" s="168">
        <v>0.47847222222222219</v>
      </c>
      <c r="M563" s="168">
        <v>0.65069444444444446</v>
      </c>
      <c r="N563" s="168">
        <v>0.81805555555555554</v>
      </c>
      <c r="O563" s="169">
        <v>0.98402777777777783</v>
      </c>
      <c r="P563" s="169">
        <v>0.15069444444444444</v>
      </c>
      <c r="Q563" s="169"/>
      <c r="R563" s="161"/>
      <c r="S563" s="161"/>
    </row>
    <row r="564" spans="1:19">
      <c r="A564" s="294"/>
      <c r="B564" s="161">
        <v>0.65069444444444446</v>
      </c>
      <c r="C564" s="162">
        <v>55</v>
      </c>
      <c r="D564" s="162">
        <v>33</v>
      </c>
      <c r="E564" s="162">
        <v>30</v>
      </c>
      <c r="F564" s="162">
        <v>-3</v>
      </c>
      <c r="G564" s="163">
        <v>0.83689999999999998</v>
      </c>
      <c r="I564" s="295" t="s">
        <v>782</v>
      </c>
      <c r="J564" s="296"/>
      <c r="K564" s="170">
        <v>12</v>
      </c>
      <c r="L564" s="171">
        <v>10</v>
      </c>
      <c r="M564" s="50">
        <v>12</v>
      </c>
      <c r="N564" s="171">
        <v>13</v>
      </c>
      <c r="O564" s="202">
        <v>12</v>
      </c>
      <c r="P564" s="202">
        <v>10</v>
      </c>
      <c r="Q564" s="202"/>
      <c r="R564" s="162"/>
      <c r="S564" s="162"/>
    </row>
    <row r="565" spans="1:19">
      <c r="A565" s="294"/>
      <c r="B565" s="164">
        <v>0.81805555555555554</v>
      </c>
      <c r="C565" s="165">
        <v>49</v>
      </c>
      <c r="D565" s="165">
        <v>54</v>
      </c>
      <c r="E565" s="165">
        <v>45</v>
      </c>
      <c r="F565" s="165">
        <v>-9</v>
      </c>
      <c r="G565" s="166">
        <v>0.82130000000000003</v>
      </c>
      <c r="I565" s="295" t="s">
        <v>783</v>
      </c>
      <c r="J565" s="295"/>
      <c r="K565" s="170">
        <v>0</v>
      </c>
      <c r="L565" s="171">
        <v>0</v>
      </c>
      <c r="M565" s="50">
        <v>0</v>
      </c>
      <c r="N565" s="171">
        <v>0</v>
      </c>
      <c r="O565" s="202">
        <v>0</v>
      </c>
      <c r="P565" s="202">
        <v>0</v>
      </c>
      <c r="Q565" s="202"/>
      <c r="R565" s="162"/>
      <c r="S565" s="162"/>
    </row>
    <row r="566" spans="1:19">
      <c r="A566" s="294"/>
      <c r="B566" s="161">
        <v>0.98402777777777783</v>
      </c>
      <c r="C566" s="162">
        <v>41</v>
      </c>
      <c r="D566" s="162">
        <v>76</v>
      </c>
      <c r="E566" s="162">
        <v>68</v>
      </c>
      <c r="F566" s="162">
        <v>-8</v>
      </c>
      <c r="G566" s="163">
        <v>0.81510000000000005</v>
      </c>
      <c r="I566" s="295" t="s">
        <v>784</v>
      </c>
      <c r="J566" s="295"/>
      <c r="K566" s="170">
        <v>6</v>
      </c>
      <c r="L566" s="171">
        <v>5</v>
      </c>
      <c r="M566" s="50">
        <v>2</v>
      </c>
      <c r="N566" s="171">
        <v>3</v>
      </c>
      <c r="O566" s="202">
        <v>5</v>
      </c>
      <c r="P566" s="202">
        <v>3</v>
      </c>
      <c r="Q566" s="202"/>
      <c r="R566" s="162"/>
      <c r="S566" s="162"/>
    </row>
    <row r="567" spans="1:19">
      <c r="A567" s="294"/>
      <c r="B567" s="164">
        <v>0.15069444444444444</v>
      </c>
      <c r="C567" s="165">
        <v>52</v>
      </c>
      <c r="D567" s="165">
        <v>89</v>
      </c>
      <c r="E567" s="165">
        <v>93</v>
      </c>
      <c r="F567" s="165">
        <v>4</v>
      </c>
      <c r="G567" s="166">
        <v>0.82130000000000003</v>
      </c>
      <c r="I567" s="295" t="s">
        <v>785</v>
      </c>
      <c r="J567" s="295"/>
      <c r="K567" s="170">
        <v>4</v>
      </c>
      <c r="L567" s="171">
        <v>8</v>
      </c>
      <c r="M567" s="50">
        <v>2</v>
      </c>
      <c r="N567" s="171">
        <v>4</v>
      </c>
      <c r="O567" s="202">
        <v>4</v>
      </c>
      <c r="P567" s="202">
        <v>4</v>
      </c>
      <c r="Q567" s="202"/>
      <c r="R567" s="162"/>
      <c r="S567" s="162"/>
    </row>
    <row r="568" spans="1:19">
      <c r="A568" s="294"/>
      <c r="B568" s="161"/>
      <c r="C568" s="162"/>
      <c r="D568" s="162"/>
      <c r="E568" s="162"/>
      <c r="F568" s="162"/>
      <c r="G568" s="163"/>
      <c r="I568" s="295" t="s">
        <v>786</v>
      </c>
      <c r="J568" s="295"/>
      <c r="K568" s="170">
        <v>3</v>
      </c>
      <c r="L568" s="171">
        <v>3</v>
      </c>
      <c r="M568" s="50">
        <v>4</v>
      </c>
      <c r="N568" s="171">
        <v>4</v>
      </c>
      <c r="O568" s="202">
        <v>5</v>
      </c>
      <c r="P568" s="202">
        <v>3</v>
      </c>
      <c r="Q568" s="202"/>
      <c r="R568" s="162"/>
      <c r="S568" s="162"/>
    </row>
    <row r="569" spans="1:19">
      <c r="A569" s="294"/>
      <c r="B569" s="164"/>
      <c r="C569" s="165"/>
      <c r="D569" s="165"/>
      <c r="E569" s="165"/>
      <c r="F569" s="165"/>
      <c r="G569" s="166"/>
      <c r="I569" s="295" t="s">
        <v>787</v>
      </c>
      <c r="J569" s="295"/>
      <c r="K569" s="170">
        <v>11</v>
      </c>
      <c r="L569" s="171">
        <v>5</v>
      </c>
      <c r="M569" s="50">
        <v>8</v>
      </c>
      <c r="N569" s="171">
        <v>8</v>
      </c>
      <c r="O569" s="202">
        <v>14</v>
      </c>
      <c r="P569" s="202">
        <v>11</v>
      </c>
      <c r="Q569" s="202"/>
      <c r="R569" s="162"/>
      <c r="S569" s="162"/>
    </row>
    <row r="570" spans="1:19">
      <c r="A570" s="294"/>
      <c r="B570" s="161"/>
      <c r="C570" s="162"/>
      <c r="D570" s="162"/>
      <c r="E570" s="162"/>
      <c r="F570" s="162"/>
      <c r="G570" s="163"/>
      <c r="I570" s="295" t="s">
        <v>788</v>
      </c>
      <c r="J570" s="295"/>
      <c r="K570" s="170">
        <v>1</v>
      </c>
      <c r="L570" s="171">
        <v>1</v>
      </c>
      <c r="M570" s="50">
        <v>1</v>
      </c>
      <c r="N570" s="171">
        <v>1</v>
      </c>
      <c r="O570" s="202">
        <v>1</v>
      </c>
      <c r="P570" s="202">
        <v>1</v>
      </c>
      <c r="Q570" s="202"/>
      <c r="R570" s="162"/>
      <c r="S570" s="162"/>
    </row>
    <row r="571" spans="1:19">
      <c r="A571" s="294"/>
      <c r="B571" s="164"/>
      <c r="C571" s="165"/>
      <c r="D571" s="165"/>
      <c r="E571" s="165"/>
      <c r="F571" s="165"/>
      <c r="G571" s="166"/>
      <c r="I571" s="295" t="s">
        <v>789</v>
      </c>
      <c r="J571" s="295"/>
      <c r="K571" s="170">
        <v>9</v>
      </c>
      <c r="L571" s="171">
        <v>11</v>
      </c>
      <c r="M571" s="50">
        <v>12</v>
      </c>
      <c r="N571" s="171">
        <v>11</v>
      </c>
      <c r="O571" s="202">
        <v>12</v>
      </c>
      <c r="P571" s="202">
        <v>11</v>
      </c>
      <c r="Q571" s="202"/>
      <c r="R571" s="162"/>
      <c r="S571" s="162"/>
    </row>
    <row r="572" spans="1:19">
      <c r="A572" s="63"/>
      <c r="B572" s="63"/>
      <c r="C572" s="63"/>
      <c r="D572" s="63"/>
      <c r="E572" s="63"/>
      <c r="F572" s="63"/>
      <c r="G572" s="63"/>
      <c r="I572" s="295" t="s">
        <v>790</v>
      </c>
      <c r="J572" s="295"/>
      <c r="K572" s="170">
        <v>5</v>
      </c>
      <c r="L572" s="171">
        <v>6</v>
      </c>
      <c r="M572" s="50">
        <v>5</v>
      </c>
      <c r="N572" s="171">
        <v>5</v>
      </c>
      <c r="O572" s="202">
        <v>3</v>
      </c>
      <c r="P572" s="202">
        <v>5</v>
      </c>
      <c r="Q572" s="202"/>
      <c r="R572" s="162"/>
      <c r="S572" s="162"/>
    </row>
    <row r="573" spans="1:19">
      <c r="A573" s="63"/>
      <c r="B573" s="63"/>
      <c r="C573" s="63"/>
      <c r="D573" s="63"/>
      <c r="E573" s="63"/>
      <c r="F573" s="63"/>
      <c r="G573" s="63"/>
      <c r="I573" s="295" t="s">
        <v>791</v>
      </c>
      <c r="J573" s="295"/>
      <c r="K573" s="170">
        <v>27</v>
      </c>
      <c r="L573" s="171">
        <v>26</v>
      </c>
      <c r="M573" s="50">
        <v>26</v>
      </c>
      <c r="N573" s="171">
        <v>28</v>
      </c>
      <c r="O573" s="202">
        <v>27</v>
      </c>
      <c r="P573" s="202">
        <v>31</v>
      </c>
      <c r="Q573" s="202"/>
      <c r="R573" s="162"/>
      <c r="S573" s="162"/>
    </row>
    <row r="574" spans="1:19">
      <c r="A574" s="63"/>
      <c r="B574" s="63"/>
      <c r="C574" s="63"/>
      <c r="D574" s="63"/>
      <c r="E574" s="63"/>
      <c r="F574" s="63"/>
      <c r="G574" s="63"/>
      <c r="I574" s="296" t="s">
        <v>792</v>
      </c>
      <c r="J574" s="296"/>
      <c r="K574" s="170">
        <v>1</v>
      </c>
      <c r="L574" s="171">
        <v>1</v>
      </c>
      <c r="M574" s="50">
        <v>1</v>
      </c>
      <c r="N574" s="171">
        <v>1</v>
      </c>
      <c r="O574" s="202">
        <v>2</v>
      </c>
      <c r="P574" s="202">
        <v>1</v>
      </c>
      <c r="Q574" s="202"/>
      <c r="R574" s="162"/>
      <c r="S574" s="162"/>
    </row>
    <row r="575" spans="1:19" ht="17.25" thickBot="1">
      <c r="A575" s="63"/>
      <c r="B575" s="63"/>
      <c r="C575" s="63"/>
      <c r="D575" s="63"/>
      <c r="E575" s="63"/>
      <c r="F575" s="63"/>
      <c r="G575" s="63"/>
      <c r="I575" s="297" t="s">
        <v>793</v>
      </c>
      <c r="J575" s="297"/>
      <c r="K575" s="172">
        <f t="shared" ref="K575:S575" si="199">SUM(K564:K574)</f>
        <v>79</v>
      </c>
      <c r="L575" s="205">
        <f t="shared" si="199"/>
        <v>76</v>
      </c>
      <c r="M575" s="205">
        <f t="shared" si="199"/>
        <v>73</v>
      </c>
      <c r="N575" s="205">
        <f t="shared" si="199"/>
        <v>78</v>
      </c>
      <c r="O575" s="174">
        <f t="shared" si="199"/>
        <v>85</v>
      </c>
      <c r="P575" s="174">
        <f t="shared" si="199"/>
        <v>80</v>
      </c>
      <c r="Q575" s="174">
        <f t="shared" si="199"/>
        <v>0</v>
      </c>
      <c r="R575" s="175">
        <f t="shared" si="199"/>
        <v>0</v>
      </c>
      <c r="S575" s="175">
        <f t="shared" si="199"/>
        <v>0</v>
      </c>
    </row>
    <row r="576" spans="1:19" ht="17.25" thickBot="1">
      <c r="A576" s="63"/>
      <c r="B576" s="63"/>
      <c r="C576" s="63"/>
      <c r="D576" s="63"/>
      <c r="E576" s="63"/>
      <c r="F576" s="63"/>
      <c r="G576" s="63"/>
      <c r="I576" s="298" t="s">
        <v>794</v>
      </c>
      <c r="J576" s="299"/>
      <c r="K576" s="176">
        <f t="shared" ref="K576" si="200">S555-K575</f>
        <v>-79</v>
      </c>
      <c r="L576" s="177">
        <f t="shared" ref="L576" si="201">K575-L575</f>
        <v>3</v>
      </c>
      <c r="M576" s="177">
        <f t="shared" ref="M576" si="202">K575-M575</f>
        <v>6</v>
      </c>
      <c r="N576" s="177">
        <f t="shared" ref="N576" si="203">K575-N575</f>
        <v>1</v>
      </c>
      <c r="O576" s="178">
        <f t="shared" ref="O576" si="204">K575-O575</f>
        <v>-6</v>
      </c>
      <c r="P576" s="178">
        <f t="shared" ref="P576" si="205">K575-P575</f>
        <v>-1</v>
      </c>
      <c r="Q576" s="178">
        <f t="shared" ref="Q576" si="206">K575-Q575</f>
        <v>79</v>
      </c>
      <c r="R576" s="179">
        <f t="shared" ref="R576" si="207">K575-R575</f>
        <v>79</v>
      </c>
      <c r="S576" s="180">
        <f t="shared" ref="S576" si="208">L575-S575</f>
        <v>76</v>
      </c>
    </row>
    <row r="577" spans="1:19">
      <c r="A577" s="63"/>
      <c r="B577" s="63"/>
      <c r="C577" s="63"/>
      <c r="D577" s="63"/>
      <c r="E577" s="63"/>
      <c r="F577" s="63"/>
      <c r="G577" s="63"/>
      <c r="I577" s="300" t="s">
        <v>795</v>
      </c>
      <c r="J577" s="301"/>
      <c r="K577" s="181">
        <v>194</v>
      </c>
      <c r="L577" s="182">
        <v>205</v>
      </c>
      <c r="M577" s="182">
        <v>197</v>
      </c>
      <c r="N577" s="182">
        <v>192</v>
      </c>
      <c r="O577" s="183">
        <v>195</v>
      </c>
      <c r="P577" s="182">
        <v>209</v>
      </c>
      <c r="Q577" s="182"/>
      <c r="R577" s="182"/>
      <c r="S577" s="182"/>
    </row>
    <row r="578" spans="1:19">
      <c r="A578" s="63"/>
      <c r="B578" s="63"/>
      <c r="C578" s="63"/>
      <c r="D578" s="63"/>
      <c r="E578" s="63"/>
      <c r="F578" s="63"/>
      <c r="G578" s="63"/>
      <c r="I578" s="302" t="s">
        <v>796</v>
      </c>
      <c r="J578" s="302"/>
      <c r="K578" s="184">
        <v>49</v>
      </c>
      <c r="L578" s="203">
        <v>64</v>
      </c>
      <c r="M578" s="203">
        <v>58</v>
      </c>
      <c r="N578" s="203">
        <v>51</v>
      </c>
      <c r="O578" s="203">
        <v>38</v>
      </c>
      <c r="P578" s="203">
        <v>51</v>
      </c>
      <c r="Q578" s="203"/>
      <c r="R578" s="203"/>
      <c r="S578" s="203"/>
    </row>
    <row r="579" spans="1:19">
      <c r="A579" s="63"/>
      <c r="B579" s="63"/>
      <c r="C579" s="63"/>
      <c r="D579" s="63"/>
      <c r="E579" s="63"/>
      <c r="F579" s="63"/>
      <c r="G579" s="63"/>
      <c r="I579" s="302" t="s">
        <v>797</v>
      </c>
      <c r="J579" s="302"/>
      <c r="K579" s="184">
        <v>145</v>
      </c>
      <c r="L579" s="203">
        <v>141</v>
      </c>
      <c r="M579" s="203">
        <v>139</v>
      </c>
      <c r="N579" s="203">
        <v>141</v>
      </c>
      <c r="O579" s="203">
        <v>157</v>
      </c>
      <c r="P579" s="203">
        <v>158</v>
      </c>
      <c r="Q579" s="203"/>
      <c r="R579" s="203"/>
      <c r="S579" s="203"/>
    </row>
    <row r="580" spans="1:19">
      <c r="A580" s="63"/>
      <c r="B580" s="63"/>
      <c r="C580" s="63"/>
      <c r="D580" s="63"/>
      <c r="E580" s="63"/>
      <c r="F580" s="63"/>
      <c r="G580" s="63"/>
      <c r="I580" s="303" t="s">
        <v>798</v>
      </c>
      <c r="J580" s="303"/>
      <c r="K580" s="184"/>
      <c r="L580" s="185"/>
      <c r="M580" s="185"/>
      <c r="N580" s="185"/>
      <c r="O580" s="185"/>
      <c r="P580" s="204"/>
      <c r="Q580" s="204"/>
      <c r="R580" s="204"/>
      <c r="S580" s="204"/>
    </row>
    <row r="581" spans="1:19">
      <c r="A581" s="3" t="s">
        <v>801</v>
      </c>
      <c r="B581" s="201" t="s">
        <v>802</v>
      </c>
      <c r="C581" s="201" t="s">
        <v>803</v>
      </c>
      <c r="D581" s="201" t="s">
        <v>119</v>
      </c>
      <c r="E581" s="201" t="s">
        <v>148</v>
      </c>
      <c r="F581" s="201" t="s">
        <v>806</v>
      </c>
      <c r="G581" s="201" t="s">
        <v>81</v>
      </c>
      <c r="I581" s="187"/>
      <c r="J581" s="187"/>
      <c r="K581" s="187"/>
      <c r="L581" s="188"/>
      <c r="M581" s="188"/>
      <c r="N581" s="188"/>
      <c r="O581" s="188"/>
      <c r="P581" s="187"/>
      <c r="Q581" s="187"/>
      <c r="R581" s="187"/>
      <c r="S581" s="187"/>
    </row>
    <row r="582" spans="1:19">
      <c r="A582" s="293">
        <v>44068</v>
      </c>
      <c r="B582" s="161">
        <v>0.56388888888888888</v>
      </c>
      <c r="C582" s="162">
        <v>55</v>
      </c>
      <c r="D582" s="162">
        <v>16</v>
      </c>
      <c r="E582" s="162">
        <v>23</v>
      </c>
      <c r="F582" s="162">
        <v>7</v>
      </c>
      <c r="G582" s="163">
        <v>0.84209999999999996</v>
      </c>
      <c r="I582" s="191"/>
      <c r="J582" s="190"/>
      <c r="K582" s="190"/>
      <c r="L582" s="190"/>
      <c r="M582" s="190">
        <v>44068</v>
      </c>
      <c r="N582" s="189" t="s">
        <v>864</v>
      </c>
      <c r="O582" s="189"/>
      <c r="P582" s="189"/>
      <c r="Q582" s="189"/>
      <c r="R582" s="189"/>
      <c r="S582" s="189"/>
    </row>
    <row r="583" spans="1:19">
      <c r="A583" s="294"/>
      <c r="B583" s="164">
        <v>0.64513888888888882</v>
      </c>
      <c r="C583" s="165">
        <v>50</v>
      </c>
      <c r="D583" s="165">
        <v>18</v>
      </c>
      <c r="E583" s="165">
        <v>28</v>
      </c>
      <c r="F583" s="165">
        <v>10</v>
      </c>
      <c r="G583" s="166">
        <v>0.83150000000000002</v>
      </c>
      <c r="I583" s="304"/>
      <c r="J583" s="304"/>
      <c r="K583" s="167"/>
      <c r="L583" s="168">
        <v>0.56388888888888888</v>
      </c>
      <c r="M583" s="168">
        <v>0.64513888888888882</v>
      </c>
      <c r="N583" s="168">
        <v>0.8125</v>
      </c>
      <c r="O583" s="169">
        <v>0.9784722222222223</v>
      </c>
      <c r="P583" s="169">
        <v>0.14583333333333334</v>
      </c>
      <c r="Q583" s="169"/>
      <c r="R583" s="161"/>
      <c r="S583" s="161"/>
    </row>
    <row r="584" spans="1:19">
      <c r="A584" s="294"/>
      <c r="B584" s="161">
        <v>0.8125</v>
      </c>
      <c r="C584" s="162">
        <v>55</v>
      </c>
      <c r="D584" s="162">
        <v>32</v>
      </c>
      <c r="E584" s="162">
        <v>52</v>
      </c>
      <c r="F584" s="162">
        <v>20</v>
      </c>
      <c r="G584" s="163">
        <v>0.82430000000000003</v>
      </c>
      <c r="I584" s="295" t="s">
        <v>782</v>
      </c>
      <c r="J584" s="296"/>
      <c r="K584" s="170"/>
      <c r="L584" s="171">
        <v>10</v>
      </c>
      <c r="M584" s="50">
        <v>11</v>
      </c>
      <c r="N584" s="171">
        <v>15</v>
      </c>
      <c r="O584" s="202">
        <v>13</v>
      </c>
      <c r="P584" s="202">
        <v>10</v>
      </c>
      <c r="Q584" s="202"/>
      <c r="R584" s="162"/>
      <c r="S584" s="162"/>
    </row>
    <row r="585" spans="1:19">
      <c r="A585" s="294"/>
      <c r="B585" s="164">
        <v>0.9784722222222223</v>
      </c>
      <c r="C585" s="165">
        <v>50</v>
      </c>
      <c r="D585" s="165">
        <v>56</v>
      </c>
      <c r="E585" s="165">
        <v>75</v>
      </c>
      <c r="F585" s="165">
        <v>19</v>
      </c>
      <c r="G585" s="166">
        <v>0.83650000000000002</v>
      </c>
      <c r="I585" s="295" t="s">
        <v>783</v>
      </c>
      <c r="J585" s="295"/>
      <c r="K585" s="170"/>
      <c r="L585" s="171">
        <v>0</v>
      </c>
      <c r="M585" s="50">
        <v>1</v>
      </c>
      <c r="N585" s="171">
        <v>2</v>
      </c>
      <c r="O585" s="202">
        <v>1</v>
      </c>
      <c r="P585" s="202">
        <v>0</v>
      </c>
      <c r="Q585" s="202"/>
      <c r="R585" s="162"/>
      <c r="S585" s="162"/>
    </row>
    <row r="586" spans="1:19">
      <c r="A586" s="294"/>
      <c r="B586" s="161">
        <v>0.14583333333333334</v>
      </c>
      <c r="C586" s="162">
        <v>67</v>
      </c>
      <c r="D586" s="162">
        <v>81</v>
      </c>
      <c r="E586" s="162">
        <v>101</v>
      </c>
      <c r="F586" s="162">
        <v>20</v>
      </c>
      <c r="G586" s="163">
        <v>0.84519999999999995</v>
      </c>
      <c r="I586" s="295" t="s">
        <v>784</v>
      </c>
      <c r="J586" s="295"/>
      <c r="K586" s="170"/>
      <c r="L586" s="171">
        <v>1</v>
      </c>
      <c r="M586" s="50">
        <v>2</v>
      </c>
      <c r="N586" s="171">
        <v>1</v>
      </c>
      <c r="O586" s="202">
        <v>1</v>
      </c>
      <c r="P586" s="202">
        <v>1</v>
      </c>
      <c r="Q586" s="202"/>
      <c r="R586" s="162"/>
      <c r="S586" s="162"/>
    </row>
    <row r="587" spans="1:19">
      <c r="A587" s="294"/>
      <c r="B587" s="164"/>
      <c r="C587" s="165"/>
      <c r="D587" s="165"/>
      <c r="E587" s="165"/>
      <c r="F587" s="165"/>
      <c r="G587" s="166"/>
      <c r="I587" s="295" t="s">
        <v>785</v>
      </c>
      <c r="J587" s="295"/>
      <c r="K587" s="170"/>
      <c r="L587" s="171">
        <v>3</v>
      </c>
      <c r="M587" s="50">
        <v>4</v>
      </c>
      <c r="N587" s="171">
        <v>3</v>
      </c>
      <c r="O587" s="202">
        <v>6</v>
      </c>
      <c r="P587" s="202">
        <v>7</v>
      </c>
      <c r="Q587" s="202"/>
      <c r="R587" s="162"/>
      <c r="S587" s="162"/>
    </row>
    <row r="588" spans="1:19">
      <c r="A588" s="294"/>
      <c r="B588" s="161"/>
      <c r="C588" s="162"/>
      <c r="D588" s="162"/>
      <c r="E588" s="162"/>
      <c r="F588" s="162"/>
      <c r="G588" s="163"/>
      <c r="I588" s="295" t="s">
        <v>786</v>
      </c>
      <c r="J588" s="295"/>
      <c r="K588" s="170"/>
      <c r="L588" s="171">
        <v>1</v>
      </c>
      <c r="M588" s="50">
        <v>1</v>
      </c>
      <c r="N588" s="171">
        <v>3</v>
      </c>
      <c r="O588" s="202">
        <v>0</v>
      </c>
      <c r="P588" s="202">
        <v>2</v>
      </c>
      <c r="Q588" s="202"/>
      <c r="R588" s="162"/>
      <c r="S588" s="162"/>
    </row>
    <row r="589" spans="1:19">
      <c r="A589" s="294"/>
      <c r="B589" s="164"/>
      <c r="C589" s="165"/>
      <c r="D589" s="165"/>
      <c r="E589" s="165"/>
      <c r="F589" s="165"/>
      <c r="G589" s="166"/>
      <c r="I589" s="295" t="s">
        <v>787</v>
      </c>
      <c r="J589" s="295"/>
      <c r="K589" s="170"/>
      <c r="L589" s="171">
        <v>9</v>
      </c>
      <c r="M589" s="50">
        <v>8</v>
      </c>
      <c r="N589" s="171">
        <v>11</v>
      </c>
      <c r="O589" s="202">
        <v>7</v>
      </c>
      <c r="P589" s="202">
        <v>8</v>
      </c>
      <c r="Q589" s="202"/>
      <c r="R589" s="162"/>
      <c r="S589" s="162"/>
    </row>
    <row r="590" spans="1:19">
      <c r="A590" s="294"/>
      <c r="B590" s="161"/>
      <c r="C590" s="162"/>
      <c r="D590" s="162"/>
      <c r="E590" s="162"/>
      <c r="F590" s="162"/>
      <c r="G590" s="163"/>
      <c r="I590" s="295" t="s">
        <v>788</v>
      </c>
      <c r="J590" s="295"/>
      <c r="K590" s="170"/>
      <c r="L590" s="171">
        <v>0</v>
      </c>
      <c r="M590" s="50">
        <v>0</v>
      </c>
      <c r="N590" s="171">
        <v>0</v>
      </c>
      <c r="O590" s="202">
        <v>0</v>
      </c>
      <c r="P590" s="202">
        <v>0</v>
      </c>
      <c r="Q590" s="202"/>
      <c r="R590" s="162"/>
      <c r="S590" s="162"/>
    </row>
    <row r="591" spans="1:19">
      <c r="A591" s="294"/>
      <c r="B591" s="164"/>
      <c r="C591" s="165"/>
      <c r="D591" s="165"/>
      <c r="E591" s="165"/>
      <c r="F591" s="165"/>
      <c r="G591" s="166"/>
      <c r="I591" s="295" t="s">
        <v>789</v>
      </c>
      <c r="J591" s="295"/>
      <c r="K591" s="170"/>
      <c r="L591" s="171">
        <v>10</v>
      </c>
      <c r="M591" s="50">
        <v>14</v>
      </c>
      <c r="N591" s="171">
        <v>10</v>
      </c>
      <c r="O591" s="202">
        <v>9</v>
      </c>
      <c r="P591" s="202">
        <v>10</v>
      </c>
      <c r="Q591" s="202"/>
      <c r="R591" s="162"/>
      <c r="S591" s="162"/>
    </row>
    <row r="592" spans="1:19">
      <c r="A592" s="63"/>
      <c r="B592" s="63"/>
      <c r="C592" s="63"/>
      <c r="D592" s="63"/>
      <c r="E592" s="63"/>
      <c r="F592" s="63"/>
      <c r="G592" s="63"/>
      <c r="I592" s="295" t="s">
        <v>790</v>
      </c>
      <c r="J592" s="295"/>
      <c r="K592" s="170"/>
      <c r="L592" s="171">
        <v>7</v>
      </c>
      <c r="M592" s="50">
        <v>7</v>
      </c>
      <c r="N592" s="171">
        <v>8</v>
      </c>
      <c r="O592" s="202">
        <v>5</v>
      </c>
      <c r="P592" s="202">
        <v>3</v>
      </c>
      <c r="Q592" s="202"/>
      <c r="R592" s="162"/>
      <c r="S592" s="162"/>
    </row>
    <row r="593" spans="1:19">
      <c r="A593" s="63"/>
      <c r="B593" s="63"/>
      <c r="C593" s="63"/>
      <c r="D593" s="63"/>
      <c r="E593" s="63"/>
      <c r="F593" s="63"/>
      <c r="G593" s="63"/>
      <c r="I593" s="295" t="s">
        <v>791</v>
      </c>
      <c r="J593" s="295"/>
      <c r="K593" s="170"/>
      <c r="L593" s="171">
        <v>29</v>
      </c>
      <c r="M593" s="50">
        <v>28</v>
      </c>
      <c r="N593" s="171">
        <v>32</v>
      </c>
      <c r="O593" s="202">
        <v>28</v>
      </c>
      <c r="P593" s="202">
        <v>28</v>
      </c>
      <c r="Q593" s="202"/>
      <c r="R593" s="162"/>
      <c r="S593" s="162"/>
    </row>
    <row r="594" spans="1:19">
      <c r="A594" s="63"/>
      <c r="B594" s="63"/>
      <c r="C594" s="63"/>
      <c r="D594" s="63"/>
      <c r="E594" s="63"/>
      <c r="F594" s="63"/>
      <c r="G594" s="63"/>
      <c r="I594" s="296" t="s">
        <v>792</v>
      </c>
      <c r="J594" s="296"/>
      <c r="K594" s="170"/>
      <c r="L594" s="171">
        <v>3</v>
      </c>
      <c r="M594" s="50">
        <v>3</v>
      </c>
      <c r="N594" s="171">
        <v>5</v>
      </c>
      <c r="O594" s="202">
        <v>8</v>
      </c>
      <c r="P594" s="202">
        <v>4</v>
      </c>
      <c r="Q594" s="202"/>
      <c r="R594" s="162"/>
      <c r="S594" s="162"/>
    </row>
    <row r="595" spans="1:19" ht="17.25" thickBot="1">
      <c r="A595" s="63"/>
      <c r="B595" s="63"/>
      <c r="C595" s="63"/>
      <c r="D595" s="63"/>
      <c r="E595" s="63"/>
      <c r="F595" s="63"/>
      <c r="G595" s="63"/>
      <c r="I595" s="297" t="s">
        <v>793</v>
      </c>
      <c r="J595" s="297"/>
      <c r="K595" s="172">
        <f t="shared" ref="K595:S595" si="209">SUM(K584:K594)</f>
        <v>0</v>
      </c>
      <c r="L595" s="205">
        <f t="shared" si="209"/>
        <v>73</v>
      </c>
      <c r="M595" s="205">
        <f t="shared" si="209"/>
        <v>79</v>
      </c>
      <c r="N595" s="205">
        <f t="shared" si="209"/>
        <v>90</v>
      </c>
      <c r="O595" s="174">
        <f t="shared" si="209"/>
        <v>78</v>
      </c>
      <c r="P595" s="174">
        <f t="shared" si="209"/>
        <v>73</v>
      </c>
      <c r="Q595" s="174">
        <f t="shared" si="209"/>
        <v>0</v>
      </c>
      <c r="R595" s="175">
        <f t="shared" si="209"/>
        <v>0</v>
      </c>
      <c r="S595" s="175">
        <f t="shared" si="209"/>
        <v>0</v>
      </c>
    </row>
    <row r="596" spans="1:19" ht="17.25" thickBot="1">
      <c r="A596" s="63"/>
      <c r="B596" s="63"/>
      <c r="C596" s="63"/>
      <c r="D596" s="63"/>
      <c r="E596" s="63"/>
      <c r="F596" s="63"/>
      <c r="G596" s="63"/>
      <c r="I596" s="298" t="s">
        <v>794</v>
      </c>
      <c r="J596" s="299"/>
      <c r="K596" s="176">
        <f t="shared" ref="K596" si="210">S575-K595</f>
        <v>0</v>
      </c>
      <c r="L596" s="177">
        <f t="shared" ref="L596" si="211">K595-L595</f>
        <v>-73</v>
      </c>
      <c r="M596" s="177">
        <f t="shared" ref="M596" si="212">K595-M595</f>
        <v>-79</v>
      </c>
      <c r="N596" s="177">
        <f t="shared" ref="N596" si="213">K595-N595</f>
        <v>-90</v>
      </c>
      <c r="O596" s="178">
        <f t="shared" ref="O596" si="214">K595-O595</f>
        <v>-78</v>
      </c>
      <c r="P596" s="178">
        <f t="shared" ref="P596" si="215">K595-P595</f>
        <v>-73</v>
      </c>
      <c r="Q596" s="178">
        <f t="shared" ref="Q596" si="216">K595-Q595</f>
        <v>0</v>
      </c>
      <c r="R596" s="179">
        <f t="shared" ref="R596" si="217">K595-R595</f>
        <v>0</v>
      </c>
      <c r="S596" s="180">
        <f t="shared" ref="S596" si="218">L595-S595</f>
        <v>73</v>
      </c>
    </row>
    <row r="597" spans="1:19">
      <c r="A597" s="63"/>
      <c r="B597" s="63"/>
      <c r="C597" s="63"/>
      <c r="D597" s="63"/>
      <c r="E597" s="63"/>
      <c r="F597" s="63"/>
      <c r="G597" s="63"/>
      <c r="I597" s="300" t="s">
        <v>795</v>
      </c>
      <c r="J597" s="301"/>
      <c r="K597" s="181"/>
      <c r="L597" s="182">
        <v>204</v>
      </c>
      <c r="M597" s="182">
        <v>195</v>
      </c>
      <c r="N597" s="182">
        <v>213</v>
      </c>
      <c r="O597" s="183">
        <v>205</v>
      </c>
      <c r="P597" s="182">
        <v>228</v>
      </c>
      <c r="Q597" s="182"/>
      <c r="R597" s="182"/>
      <c r="S597" s="182"/>
    </row>
    <row r="598" spans="1:19">
      <c r="A598" s="63"/>
      <c r="B598" s="63"/>
      <c r="C598" s="63"/>
      <c r="D598" s="63"/>
      <c r="E598" s="63"/>
      <c r="F598" s="63"/>
      <c r="G598" s="63"/>
      <c r="I598" s="302" t="s">
        <v>796</v>
      </c>
      <c r="J598" s="302"/>
      <c r="K598" s="184"/>
      <c r="L598" s="203">
        <v>56</v>
      </c>
      <c r="M598" s="203">
        <v>50</v>
      </c>
      <c r="N598" s="203">
        <v>57</v>
      </c>
      <c r="O598" s="203">
        <v>52</v>
      </c>
      <c r="P598" s="203">
        <v>64</v>
      </c>
      <c r="Q598" s="203"/>
      <c r="R598" s="203"/>
      <c r="S598" s="203"/>
    </row>
    <row r="599" spans="1:19">
      <c r="A599" s="63"/>
      <c r="B599" s="63"/>
      <c r="C599" s="63"/>
      <c r="D599" s="63"/>
      <c r="E599" s="63"/>
      <c r="F599" s="63"/>
      <c r="G599" s="63"/>
      <c r="I599" s="302" t="s">
        <v>797</v>
      </c>
      <c r="J599" s="302"/>
      <c r="K599" s="184"/>
      <c r="L599" s="203">
        <v>148</v>
      </c>
      <c r="M599" s="203">
        <v>145</v>
      </c>
      <c r="N599" s="203">
        <v>156</v>
      </c>
      <c r="O599" s="203">
        <v>153</v>
      </c>
      <c r="P599" s="203">
        <v>164</v>
      </c>
      <c r="Q599" s="203"/>
      <c r="R599" s="203"/>
      <c r="S599" s="203"/>
    </row>
    <row r="600" spans="1:19">
      <c r="A600" s="63"/>
      <c r="B600" s="63"/>
      <c r="C600" s="63"/>
      <c r="D600" s="63"/>
      <c r="E600" s="63"/>
      <c r="F600" s="63"/>
      <c r="G600" s="63"/>
      <c r="I600" s="303" t="s">
        <v>798</v>
      </c>
      <c r="J600" s="303"/>
      <c r="K600" s="184"/>
      <c r="L600" s="185"/>
      <c r="M600" s="185"/>
      <c r="N600" s="185"/>
      <c r="O600" s="185"/>
      <c r="P600" s="204"/>
      <c r="Q600" s="204"/>
      <c r="R600" s="204"/>
      <c r="S600" s="204"/>
    </row>
    <row r="601" spans="1:19">
      <c r="A601" s="3" t="s">
        <v>801</v>
      </c>
      <c r="B601" s="201" t="s">
        <v>802</v>
      </c>
      <c r="C601" s="201" t="s">
        <v>803</v>
      </c>
      <c r="D601" s="201" t="s">
        <v>119</v>
      </c>
      <c r="E601" s="201" t="s">
        <v>148</v>
      </c>
      <c r="F601" s="201" t="s">
        <v>806</v>
      </c>
      <c r="G601" s="201" t="s">
        <v>81</v>
      </c>
      <c r="I601" s="187"/>
      <c r="J601" s="187"/>
      <c r="K601" s="187"/>
      <c r="L601" s="188"/>
      <c r="M601" s="188"/>
      <c r="N601" s="188"/>
      <c r="O601" s="188"/>
      <c r="P601" s="187"/>
      <c r="Q601" s="187"/>
      <c r="R601" s="187"/>
      <c r="S601" s="187"/>
    </row>
    <row r="602" spans="1:19">
      <c r="A602" s="293">
        <v>44069</v>
      </c>
      <c r="B602" s="161">
        <v>0.36180555555555555</v>
      </c>
      <c r="C602" s="162">
        <v>60</v>
      </c>
      <c r="D602" s="162">
        <v>4</v>
      </c>
      <c r="E602" s="162">
        <v>5</v>
      </c>
      <c r="F602" s="162">
        <v>1</v>
      </c>
      <c r="G602" s="163">
        <v>0.84399999999999997</v>
      </c>
      <c r="I602" s="191"/>
      <c r="J602" s="190"/>
      <c r="K602" s="190"/>
      <c r="L602" s="190"/>
      <c r="M602" s="190">
        <v>44069</v>
      </c>
      <c r="N602" s="189" t="s">
        <v>864</v>
      </c>
      <c r="O602" s="189"/>
      <c r="P602" s="189"/>
      <c r="Q602" s="189"/>
      <c r="R602" s="189"/>
      <c r="S602" s="189"/>
    </row>
    <row r="603" spans="1:19">
      <c r="A603" s="294"/>
      <c r="B603" s="164">
        <v>0.49027777777777781</v>
      </c>
      <c r="C603" s="165">
        <v>53</v>
      </c>
      <c r="D603" s="165">
        <v>23</v>
      </c>
      <c r="E603" s="165">
        <v>22</v>
      </c>
      <c r="F603" s="165">
        <v>-1</v>
      </c>
      <c r="G603" s="166">
        <v>0.83630000000000004</v>
      </c>
      <c r="I603" s="304"/>
      <c r="J603" s="304"/>
      <c r="K603" s="167">
        <v>0.36180555555555555</v>
      </c>
      <c r="L603" s="168">
        <v>0.49027777777777781</v>
      </c>
      <c r="M603" s="168">
        <v>0.63263888888888886</v>
      </c>
      <c r="N603" s="168">
        <v>0.79999999999999993</v>
      </c>
      <c r="O603" s="169">
        <v>0.96597222222222223</v>
      </c>
      <c r="P603" s="169">
        <v>0.13263888888888889</v>
      </c>
      <c r="Q603" s="169">
        <v>0.29930555555555555</v>
      </c>
      <c r="R603" s="161"/>
      <c r="S603" s="161"/>
    </row>
    <row r="604" spans="1:19">
      <c r="A604" s="294"/>
      <c r="B604" s="161">
        <v>0.63263888888888886</v>
      </c>
      <c r="C604" s="162">
        <v>43</v>
      </c>
      <c r="D604" s="162">
        <v>38</v>
      </c>
      <c r="E604" s="162">
        <v>45</v>
      </c>
      <c r="F604" s="162">
        <v>7</v>
      </c>
      <c r="G604" s="163">
        <v>0.8357</v>
      </c>
      <c r="I604" s="295" t="s">
        <v>782</v>
      </c>
      <c r="J604" s="296"/>
      <c r="K604" s="170">
        <v>13</v>
      </c>
      <c r="L604" s="50">
        <v>14</v>
      </c>
      <c r="M604" s="171">
        <v>13</v>
      </c>
      <c r="N604" s="171">
        <v>14</v>
      </c>
      <c r="O604" s="202">
        <v>14</v>
      </c>
      <c r="P604" s="202">
        <v>15</v>
      </c>
      <c r="Q604" s="202">
        <v>13</v>
      </c>
      <c r="R604" s="162"/>
      <c r="S604" s="162"/>
    </row>
    <row r="605" spans="1:19">
      <c r="A605" s="294"/>
      <c r="B605" s="164">
        <v>0.79999999999999993</v>
      </c>
      <c r="C605" s="165">
        <v>47</v>
      </c>
      <c r="D605" s="165">
        <v>49</v>
      </c>
      <c r="E605" s="165">
        <v>52</v>
      </c>
      <c r="F605" s="165">
        <v>3</v>
      </c>
      <c r="G605" s="166">
        <v>0.84230000000000005</v>
      </c>
      <c r="I605" s="295" t="s">
        <v>783</v>
      </c>
      <c r="J605" s="295"/>
      <c r="K605" s="170">
        <v>0</v>
      </c>
      <c r="L605" s="50">
        <v>1</v>
      </c>
      <c r="M605" s="171">
        <v>2</v>
      </c>
      <c r="N605" s="171">
        <v>2</v>
      </c>
      <c r="O605" s="202">
        <v>2</v>
      </c>
      <c r="P605" s="202">
        <v>2</v>
      </c>
      <c r="Q605" s="202">
        <v>2</v>
      </c>
      <c r="R605" s="162"/>
      <c r="S605" s="162"/>
    </row>
    <row r="606" spans="1:19">
      <c r="A606" s="294"/>
      <c r="B606" s="161">
        <v>0.96597222222222223</v>
      </c>
      <c r="C606" s="162">
        <v>41</v>
      </c>
      <c r="D606" s="162">
        <v>76</v>
      </c>
      <c r="E606" s="162">
        <v>64</v>
      </c>
      <c r="F606" s="162">
        <v>-12</v>
      </c>
      <c r="G606" s="163">
        <v>0.85050000000000003</v>
      </c>
      <c r="I606" s="295" t="s">
        <v>784</v>
      </c>
      <c r="J606" s="295"/>
      <c r="K606" s="170">
        <v>2</v>
      </c>
      <c r="L606" s="50">
        <v>2</v>
      </c>
      <c r="M606" s="171">
        <v>2</v>
      </c>
      <c r="N606" s="171">
        <v>2</v>
      </c>
      <c r="O606" s="202">
        <v>2</v>
      </c>
      <c r="P606" s="202">
        <v>1</v>
      </c>
      <c r="Q606" s="202">
        <v>2</v>
      </c>
      <c r="R606" s="162"/>
      <c r="S606" s="162"/>
    </row>
    <row r="607" spans="1:19">
      <c r="A607" s="294"/>
      <c r="B607" s="164">
        <v>0.13263888888888889</v>
      </c>
      <c r="C607" s="165">
        <v>43</v>
      </c>
      <c r="D607" s="165">
        <v>91</v>
      </c>
      <c r="E607" s="165">
        <v>82</v>
      </c>
      <c r="F607" s="165">
        <v>-9</v>
      </c>
      <c r="G607" s="166">
        <v>0.84309999999999996</v>
      </c>
      <c r="I607" s="295" t="s">
        <v>785</v>
      </c>
      <c r="J607" s="295"/>
      <c r="K607" s="170">
        <v>8</v>
      </c>
      <c r="L607" s="50">
        <v>7</v>
      </c>
      <c r="M607" s="171">
        <v>7</v>
      </c>
      <c r="N607" s="171">
        <v>6</v>
      </c>
      <c r="O607" s="202">
        <v>3</v>
      </c>
      <c r="P607" s="202">
        <v>7</v>
      </c>
      <c r="Q607" s="202">
        <v>6</v>
      </c>
      <c r="R607" s="162"/>
      <c r="S607" s="162"/>
    </row>
    <row r="608" spans="1:19">
      <c r="A608" s="294"/>
      <c r="B608" s="161">
        <v>0.29930555555555555</v>
      </c>
      <c r="C608" s="162">
        <v>49</v>
      </c>
      <c r="D608" s="162">
        <v>116</v>
      </c>
      <c r="E608" s="162">
        <v>91</v>
      </c>
      <c r="F608" s="162">
        <v>-25</v>
      </c>
      <c r="G608" s="163">
        <v>0.8528</v>
      </c>
      <c r="I608" s="295" t="s">
        <v>786</v>
      </c>
      <c r="J608" s="295"/>
      <c r="K608" s="170">
        <v>1</v>
      </c>
      <c r="L608" s="50">
        <v>0</v>
      </c>
      <c r="M608" s="171">
        <v>0</v>
      </c>
      <c r="N608" s="171">
        <v>0</v>
      </c>
      <c r="O608" s="202">
        <v>1</v>
      </c>
      <c r="P608" s="202">
        <v>0</v>
      </c>
      <c r="Q608" s="202">
        <v>0</v>
      </c>
      <c r="R608" s="162"/>
      <c r="S608" s="162"/>
    </row>
    <row r="609" spans="1:19">
      <c r="A609" s="294"/>
      <c r="B609" s="164"/>
      <c r="C609" s="165"/>
      <c r="D609" s="165"/>
      <c r="E609" s="165"/>
      <c r="F609" s="165"/>
      <c r="G609" s="166"/>
      <c r="I609" s="295" t="s">
        <v>787</v>
      </c>
      <c r="J609" s="295"/>
      <c r="K609" s="170">
        <v>9</v>
      </c>
      <c r="L609" s="50">
        <v>9</v>
      </c>
      <c r="M609" s="171">
        <v>7</v>
      </c>
      <c r="N609" s="171">
        <v>10</v>
      </c>
      <c r="O609" s="202">
        <v>10</v>
      </c>
      <c r="P609" s="202">
        <v>15</v>
      </c>
      <c r="Q609" s="202">
        <v>13</v>
      </c>
      <c r="R609" s="162"/>
      <c r="S609" s="162"/>
    </row>
    <row r="610" spans="1:19">
      <c r="A610" s="294"/>
      <c r="B610" s="161"/>
      <c r="C610" s="162"/>
      <c r="D610" s="162"/>
      <c r="E610" s="162"/>
      <c r="F610" s="162"/>
      <c r="G610" s="163"/>
      <c r="I610" s="295" t="s">
        <v>788</v>
      </c>
      <c r="J610" s="295"/>
      <c r="K610" s="170">
        <v>0</v>
      </c>
      <c r="L610" s="50">
        <v>0</v>
      </c>
      <c r="M610" s="171">
        <v>0</v>
      </c>
      <c r="N610" s="171">
        <v>0</v>
      </c>
      <c r="O610" s="202">
        <v>0</v>
      </c>
      <c r="P610" s="202">
        <v>0</v>
      </c>
      <c r="Q610" s="202">
        <v>0</v>
      </c>
      <c r="R610" s="162"/>
      <c r="S610" s="162"/>
    </row>
    <row r="611" spans="1:19">
      <c r="A611" s="294"/>
      <c r="B611" s="164"/>
      <c r="C611" s="165"/>
      <c r="D611" s="165"/>
      <c r="E611" s="165"/>
      <c r="F611" s="165"/>
      <c r="G611" s="166"/>
      <c r="I611" s="295" t="s">
        <v>789</v>
      </c>
      <c r="J611" s="295"/>
      <c r="K611" s="170">
        <v>8</v>
      </c>
      <c r="L611" s="50">
        <v>11</v>
      </c>
      <c r="M611" s="171">
        <v>9</v>
      </c>
      <c r="N611" s="171">
        <v>7</v>
      </c>
      <c r="O611" s="202">
        <v>7</v>
      </c>
      <c r="P611" s="202">
        <v>13</v>
      </c>
      <c r="Q611" s="202">
        <v>6</v>
      </c>
      <c r="R611" s="162"/>
      <c r="S611" s="162"/>
    </row>
    <row r="612" spans="1:19">
      <c r="A612" s="63"/>
      <c r="B612" s="63"/>
      <c r="C612" s="63"/>
      <c r="D612" s="63"/>
      <c r="E612" s="63"/>
      <c r="F612" s="63"/>
      <c r="G612" s="63"/>
      <c r="I612" s="295" t="s">
        <v>790</v>
      </c>
      <c r="J612" s="295"/>
      <c r="K612" s="170">
        <v>2</v>
      </c>
      <c r="L612" s="50">
        <v>3</v>
      </c>
      <c r="M612" s="171">
        <v>4</v>
      </c>
      <c r="N612" s="171">
        <v>2</v>
      </c>
      <c r="O612" s="202">
        <v>2</v>
      </c>
      <c r="P612" s="202">
        <v>4</v>
      </c>
      <c r="Q612" s="202">
        <v>2</v>
      </c>
      <c r="R612" s="162"/>
      <c r="S612" s="162"/>
    </row>
    <row r="613" spans="1:19">
      <c r="A613" s="63"/>
      <c r="B613" s="63"/>
      <c r="C613" s="63"/>
      <c r="D613" s="63"/>
      <c r="E613" s="63"/>
      <c r="F613" s="63"/>
      <c r="G613" s="63"/>
      <c r="I613" s="295" t="s">
        <v>791</v>
      </c>
      <c r="J613" s="295"/>
      <c r="K613" s="170">
        <v>30</v>
      </c>
      <c r="L613" s="50">
        <v>31</v>
      </c>
      <c r="M613" s="171">
        <v>29</v>
      </c>
      <c r="N613" s="171">
        <v>31</v>
      </c>
      <c r="O613" s="202">
        <v>26</v>
      </c>
      <c r="P613" s="202">
        <v>27</v>
      </c>
      <c r="Q613" s="202">
        <v>28</v>
      </c>
      <c r="R613" s="162"/>
      <c r="S613" s="162"/>
    </row>
    <row r="614" spans="1:19">
      <c r="A614" s="63"/>
      <c r="B614" s="63"/>
      <c r="C614" s="63"/>
      <c r="D614" s="63"/>
      <c r="E614" s="63"/>
      <c r="F614" s="63"/>
      <c r="G614" s="63"/>
      <c r="I614" s="296" t="s">
        <v>792</v>
      </c>
      <c r="J614" s="296"/>
      <c r="K614" s="170">
        <v>1</v>
      </c>
      <c r="L614" s="50">
        <v>3</v>
      </c>
      <c r="M614" s="171">
        <v>5</v>
      </c>
      <c r="N614" s="171">
        <v>4</v>
      </c>
      <c r="O614" s="202">
        <v>6</v>
      </c>
      <c r="P614" s="202">
        <v>5</v>
      </c>
      <c r="Q614" s="202">
        <v>6</v>
      </c>
      <c r="R614" s="162"/>
      <c r="S614" s="162"/>
    </row>
    <row r="615" spans="1:19" ht="17.25" thickBot="1">
      <c r="A615" s="63"/>
      <c r="B615" s="63"/>
      <c r="C615" s="63"/>
      <c r="D615" s="63"/>
      <c r="E615" s="63"/>
      <c r="F615" s="63"/>
      <c r="G615" s="63"/>
      <c r="I615" s="297" t="s">
        <v>793</v>
      </c>
      <c r="J615" s="297"/>
      <c r="K615" s="172">
        <f t="shared" ref="K615:S615" si="219">SUM(K604:K614)</f>
        <v>74</v>
      </c>
      <c r="L615" s="205">
        <f t="shared" si="219"/>
        <v>81</v>
      </c>
      <c r="M615" s="205">
        <f t="shared" si="219"/>
        <v>78</v>
      </c>
      <c r="N615" s="205">
        <f t="shared" si="219"/>
        <v>78</v>
      </c>
      <c r="O615" s="174">
        <f t="shared" si="219"/>
        <v>73</v>
      </c>
      <c r="P615" s="174">
        <f t="shared" si="219"/>
        <v>89</v>
      </c>
      <c r="Q615" s="174">
        <f t="shared" si="219"/>
        <v>78</v>
      </c>
      <c r="R615" s="175">
        <f t="shared" si="219"/>
        <v>0</v>
      </c>
      <c r="S615" s="175">
        <f t="shared" si="219"/>
        <v>0</v>
      </c>
    </row>
    <row r="616" spans="1:19" ht="17.25" thickBot="1">
      <c r="A616" s="63"/>
      <c r="B616" s="63"/>
      <c r="C616" s="63"/>
      <c r="D616" s="63"/>
      <c r="E616" s="63"/>
      <c r="F616" s="63"/>
      <c r="G616" s="63"/>
      <c r="I616" s="298" t="s">
        <v>794</v>
      </c>
      <c r="J616" s="299"/>
      <c r="K616" s="176">
        <f t="shared" ref="K616" si="220">S595-K615</f>
        <v>-74</v>
      </c>
      <c r="L616" s="177">
        <f t="shared" ref="L616" si="221">K615-L615</f>
        <v>-7</v>
      </c>
      <c r="M616" s="177">
        <f t="shared" ref="M616" si="222">K615-M615</f>
        <v>-4</v>
      </c>
      <c r="N616" s="177">
        <f t="shared" ref="N616" si="223">K615-N615</f>
        <v>-4</v>
      </c>
      <c r="O616" s="178">
        <f t="shared" ref="O616" si="224">K615-O615</f>
        <v>1</v>
      </c>
      <c r="P616" s="178">
        <f t="shared" ref="P616" si="225">K615-P615</f>
        <v>-15</v>
      </c>
      <c r="Q616" s="178">
        <f t="shared" ref="Q616" si="226">K615-Q615</f>
        <v>-4</v>
      </c>
      <c r="R616" s="179">
        <f t="shared" ref="R616" si="227">K615-R615</f>
        <v>74</v>
      </c>
      <c r="S616" s="180">
        <f t="shared" ref="S616" si="228">L615-S615</f>
        <v>81</v>
      </c>
    </row>
    <row r="617" spans="1:19">
      <c r="A617" s="63"/>
      <c r="B617" s="63"/>
      <c r="C617" s="63"/>
      <c r="D617" s="63"/>
      <c r="E617" s="63"/>
      <c r="F617" s="63"/>
      <c r="G617" s="63"/>
      <c r="I617" s="300" t="s">
        <v>795</v>
      </c>
      <c r="J617" s="301"/>
      <c r="K617" s="182">
        <v>214</v>
      </c>
      <c r="L617" s="182">
        <v>199</v>
      </c>
      <c r="M617" s="182">
        <v>184</v>
      </c>
      <c r="N617" s="182">
        <v>194</v>
      </c>
      <c r="O617" s="183">
        <v>194</v>
      </c>
      <c r="P617" s="182">
        <v>186</v>
      </c>
      <c r="Q617" s="182">
        <v>182</v>
      </c>
      <c r="R617" s="182"/>
      <c r="S617" s="182"/>
    </row>
    <row r="618" spans="1:19">
      <c r="A618" s="63"/>
      <c r="B618" s="63"/>
      <c r="C618" s="63"/>
      <c r="D618" s="63"/>
      <c r="E618" s="63"/>
      <c r="F618" s="63"/>
      <c r="G618" s="63"/>
      <c r="I618" s="302" t="s">
        <v>796</v>
      </c>
      <c r="J618" s="302"/>
      <c r="K618" s="208">
        <v>57</v>
      </c>
      <c r="L618" s="208">
        <v>52</v>
      </c>
      <c r="M618" s="208">
        <v>40</v>
      </c>
      <c r="N618" s="203">
        <v>46</v>
      </c>
      <c r="O618" s="203">
        <v>41</v>
      </c>
      <c r="P618" s="203">
        <v>40</v>
      </c>
      <c r="Q618" s="203">
        <v>48</v>
      </c>
      <c r="R618" s="203"/>
      <c r="S618" s="203"/>
    </row>
    <row r="619" spans="1:19">
      <c r="A619" s="63"/>
      <c r="B619" s="63"/>
      <c r="C619" s="63"/>
      <c r="D619" s="63"/>
      <c r="E619" s="63"/>
      <c r="F619" s="63"/>
      <c r="G619" s="63"/>
      <c r="I619" s="302" t="s">
        <v>797</v>
      </c>
      <c r="J619" s="302"/>
      <c r="K619" s="208">
        <v>157</v>
      </c>
      <c r="L619" s="208">
        <v>147</v>
      </c>
      <c r="M619" s="208">
        <v>144</v>
      </c>
      <c r="N619" s="203">
        <v>148</v>
      </c>
      <c r="O619" s="203">
        <v>153</v>
      </c>
      <c r="P619" s="203">
        <v>146</v>
      </c>
      <c r="Q619" s="203">
        <v>134</v>
      </c>
      <c r="R619" s="203"/>
      <c r="S619" s="203"/>
    </row>
    <row r="620" spans="1:19">
      <c r="A620" s="63"/>
      <c r="B620" s="63"/>
      <c r="C620" s="63"/>
      <c r="D620" s="63"/>
      <c r="E620" s="63"/>
      <c r="F620" s="63"/>
      <c r="G620" s="63"/>
      <c r="I620" s="303" t="s">
        <v>798</v>
      </c>
      <c r="J620" s="303"/>
      <c r="K620" s="184"/>
      <c r="L620" s="185"/>
      <c r="M620" s="185"/>
      <c r="N620" s="185"/>
      <c r="O620" s="185"/>
      <c r="P620" s="204"/>
      <c r="Q620" s="204"/>
      <c r="R620" s="204"/>
      <c r="S620" s="204"/>
    </row>
    <row r="621" spans="1:19">
      <c r="A621" s="3" t="s">
        <v>801</v>
      </c>
      <c r="B621" s="201" t="s">
        <v>802</v>
      </c>
      <c r="C621" s="201" t="s">
        <v>803</v>
      </c>
      <c r="D621" s="201" t="s">
        <v>119</v>
      </c>
      <c r="E621" s="201" t="s">
        <v>148</v>
      </c>
      <c r="F621" s="201" t="s">
        <v>806</v>
      </c>
      <c r="G621" s="201" t="s">
        <v>81</v>
      </c>
      <c r="I621" s="187"/>
      <c r="J621" s="187"/>
      <c r="K621" s="187"/>
      <c r="L621" s="188"/>
      <c r="M621" s="188"/>
      <c r="N621" s="188"/>
      <c r="O621" s="188"/>
      <c r="P621" s="187"/>
      <c r="Q621" s="187"/>
      <c r="R621" s="187"/>
      <c r="S621" s="187"/>
    </row>
    <row r="622" spans="1:19">
      <c r="A622" s="293">
        <v>44070</v>
      </c>
      <c r="B622" s="161">
        <v>0.29930555555555555</v>
      </c>
      <c r="C622" s="162">
        <v>49</v>
      </c>
      <c r="D622" s="162">
        <v>116</v>
      </c>
      <c r="E622" s="162">
        <v>91</v>
      </c>
      <c r="F622" s="162">
        <v>-25</v>
      </c>
      <c r="G622" s="163">
        <v>0.8528</v>
      </c>
      <c r="I622" s="191"/>
      <c r="J622" s="190"/>
      <c r="K622" s="190"/>
      <c r="L622" s="190"/>
      <c r="M622" s="190">
        <v>44070</v>
      </c>
      <c r="N622" s="189" t="s">
        <v>864</v>
      </c>
      <c r="O622" s="189"/>
      <c r="P622" s="189"/>
      <c r="Q622" s="189"/>
      <c r="R622" s="189"/>
      <c r="S622" s="189"/>
    </row>
    <row r="623" spans="1:19">
      <c r="A623" s="294"/>
      <c r="B623" s="164">
        <v>0.46666666666666662</v>
      </c>
      <c r="C623" s="165">
        <v>45</v>
      </c>
      <c r="D623" s="165">
        <v>19</v>
      </c>
      <c r="E623" s="165">
        <v>29</v>
      </c>
      <c r="F623" s="165">
        <v>10</v>
      </c>
      <c r="G623" s="166">
        <v>0.86580000000000001</v>
      </c>
      <c r="I623" s="304"/>
      <c r="J623" s="304"/>
      <c r="K623" s="167">
        <v>0.29930555555555555</v>
      </c>
      <c r="L623" s="168">
        <v>0.46666666666666662</v>
      </c>
      <c r="M623" s="168">
        <v>0.63263888888888886</v>
      </c>
      <c r="N623" s="168">
        <v>0.80138888888888893</v>
      </c>
      <c r="O623" s="169">
        <v>0.96597222222222223</v>
      </c>
      <c r="P623" s="169">
        <v>0.13749999999999998</v>
      </c>
      <c r="Q623" s="169">
        <v>0.30555555555555552</v>
      </c>
      <c r="R623" s="161"/>
      <c r="S623" s="161"/>
    </row>
    <row r="624" spans="1:19">
      <c r="A624" s="294"/>
      <c r="B624" s="161">
        <v>0.63263888888888886</v>
      </c>
      <c r="C624" s="162">
        <v>52</v>
      </c>
      <c r="D624" s="162">
        <v>36</v>
      </c>
      <c r="E624" s="162">
        <v>54</v>
      </c>
      <c r="F624" s="162">
        <v>18</v>
      </c>
      <c r="G624" s="163">
        <v>0.85840000000000005</v>
      </c>
      <c r="I624" s="295" t="s">
        <v>782</v>
      </c>
      <c r="J624" s="296"/>
      <c r="K624" s="170">
        <v>13</v>
      </c>
      <c r="L624" s="171">
        <v>13</v>
      </c>
      <c r="M624" s="50">
        <v>8</v>
      </c>
      <c r="N624" s="171">
        <v>8</v>
      </c>
      <c r="O624" s="202">
        <v>6</v>
      </c>
      <c r="P624" s="202">
        <v>7</v>
      </c>
      <c r="Q624" s="202">
        <v>7</v>
      </c>
      <c r="R624" s="162"/>
      <c r="S624" s="162"/>
    </row>
    <row r="625" spans="1:19">
      <c r="A625" s="294"/>
      <c r="B625" s="164">
        <v>0.80138888888888893</v>
      </c>
      <c r="C625" s="165">
        <v>45</v>
      </c>
      <c r="D625" s="165">
        <v>66</v>
      </c>
      <c r="E625" s="165">
        <v>66</v>
      </c>
      <c r="F625" s="165">
        <v>0</v>
      </c>
      <c r="G625" s="166">
        <v>0.85050000000000003</v>
      </c>
      <c r="I625" s="295" t="s">
        <v>783</v>
      </c>
      <c r="J625" s="295"/>
      <c r="K625" s="170">
        <v>2</v>
      </c>
      <c r="L625" s="171">
        <v>0</v>
      </c>
      <c r="M625" s="50">
        <v>1</v>
      </c>
      <c r="N625" s="171">
        <v>1</v>
      </c>
      <c r="O625" s="202">
        <v>2</v>
      </c>
      <c r="P625" s="202">
        <v>1</v>
      </c>
      <c r="Q625" s="202">
        <v>1</v>
      </c>
      <c r="R625" s="162"/>
      <c r="S625" s="162"/>
    </row>
    <row r="626" spans="1:19">
      <c r="A626" s="294"/>
      <c r="B626" s="161">
        <v>0.96597222222222223</v>
      </c>
      <c r="C626" s="162">
        <v>51</v>
      </c>
      <c r="D626" s="162">
        <v>87</v>
      </c>
      <c r="E626" s="162">
        <v>89</v>
      </c>
      <c r="F626" s="162">
        <v>2</v>
      </c>
      <c r="G626" s="163">
        <v>0.85940000000000005</v>
      </c>
      <c r="I626" s="295" t="s">
        <v>784</v>
      </c>
      <c r="J626" s="295"/>
      <c r="K626" s="170">
        <v>2</v>
      </c>
      <c r="L626" s="171">
        <v>2</v>
      </c>
      <c r="M626" s="50">
        <v>2</v>
      </c>
      <c r="N626" s="171">
        <v>2</v>
      </c>
      <c r="O626" s="202">
        <v>4</v>
      </c>
      <c r="P626" s="202">
        <v>3</v>
      </c>
      <c r="Q626" s="202">
        <v>3</v>
      </c>
      <c r="R626" s="162"/>
      <c r="S626" s="162"/>
    </row>
    <row r="627" spans="1:19">
      <c r="A627" s="294"/>
      <c r="B627" s="164">
        <v>0.13749999999999998</v>
      </c>
      <c r="C627" s="165">
        <v>58</v>
      </c>
      <c r="D627" s="165">
        <v>107</v>
      </c>
      <c r="E627" s="165">
        <v>98</v>
      </c>
      <c r="F627" s="165">
        <v>-9</v>
      </c>
      <c r="G627" s="166">
        <v>0.85570000000000002</v>
      </c>
      <c r="I627" s="295" t="s">
        <v>785</v>
      </c>
      <c r="J627" s="295"/>
      <c r="K627" s="170">
        <v>6</v>
      </c>
      <c r="L627" s="171">
        <v>8</v>
      </c>
      <c r="M627" s="50">
        <v>8</v>
      </c>
      <c r="N627" s="171">
        <v>10</v>
      </c>
      <c r="O627" s="202">
        <v>8</v>
      </c>
      <c r="P627" s="202">
        <v>10</v>
      </c>
      <c r="Q627" s="202">
        <v>9</v>
      </c>
      <c r="R627" s="162"/>
      <c r="S627" s="162"/>
    </row>
    <row r="628" spans="1:19">
      <c r="A628" s="294"/>
      <c r="B628" s="161">
        <v>0.30555555555555552</v>
      </c>
      <c r="C628" s="162">
        <v>48</v>
      </c>
      <c r="D628" s="162">
        <v>135</v>
      </c>
      <c r="E628" s="162">
        <v>115</v>
      </c>
      <c r="F628" s="162">
        <v>-20</v>
      </c>
      <c r="G628" s="163">
        <v>0.86109999999999998</v>
      </c>
      <c r="I628" s="295" t="s">
        <v>786</v>
      </c>
      <c r="J628" s="295"/>
      <c r="K628" s="170">
        <v>0</v>
      </c>
      <c r="L628" s="171">
        <v>0</v>
      </c>
      <c r="M628" s="50">
        <v>0</v>
      </c>
      <c r="N628" s="171">
        <v>0</v>
      </c>
      <c r="O628" s="202">
        <v>1</v>
      </c>
      <c r="P628" s="202">
        <v>0</v>
      </c>
      <c r="Q628" s="202">
        <v>1</v>
      </c>
      <c r="R628" s="162"/>
      <c r="S628" s="162"/>
    </row>
    <row r="629" spans="1:19">
      <c r="A629" s="294"/>
      <c r="B629" s="164"/>
      <c r="C629" s="165"/>
      <c r="D629" s="165"/>
      <c r="E629" s="165"/>
      <c r="F629" s="165"/>
      <c r="G629" s="166"/>
      <c r="I629" s="295" t="s">
        <v>787</v>
      </c>
      <c r="J629" s="295"/>
      <c r="K629" s="170">
        <v>13</v>
      </c>
      <c r="L629" s="171">
        <v>8</v>
      </c>
      <c r="M629" s="50">
        <v>10</v>
      </c>
      <c r="N629" s="171">
        <v>12</v>
      </c>
      <c r="O629" s="202">
        <v>9</v>
      </c>
      <c r="P629" s="202">
        <v>12</v>
      </c>
      <c r="Q629" s="202">
        <v>11</v>
      </c>
      <c r="R629" s="162"/>
      <c r="S629" s="162"/>
    </row>
    <row r="630" spans="1:19">
      <c r="A630" s="294"/>
      <c r="B630" s="161"/>
      <c r="C630" s="162"/>
      <c r="D630" s="162"/>
      <c r="E630" s="162"/>
      <c r="F630" s="162"/>
      <c r="G630" s="163"/>
      <c r="I630" s="295" t="s">
        <v>788</v>
      </c>
      <c r="J630" s="295"/>
      <c r="K630" s="170">
        <v>0</v>
      </c>
      <c r="L630" s="171">
        <v>0</v>
      </c>
      <c r="M630" s="50">
        <v>0</v>
      </c>
      <c r="N630" s="171">
        <v>0</v>
      </c>
      <c r="O630" s="202">
        <v>0</v>
      </c>
      <c r="P630" s="202">
        <v>0</v>
      </c>
      <c r="Q630" s="202">
        <v>0</v>
      </c>
      <c r="R630" s="162"/>
      <c r="S630" s="162"/>
    </row>
    <row r="631" spans="1:19">
      <c r="A631" s="294"/>
      <c r="B631" s="164"/>
      <c r="C631" s="165"/>
      <c r="D631" s="165"/>
      <c r="E631" s="165"/>
      <c r="F631" s="165"/>
      <c r="G631" s="166"/>
      <c r="I631" s="295" t="s">
        <v>789</v>
      </c>
      <c r="J631" s="295"/>
      <c r="K631" s="170">
        <v>6</v>
      </c>
      <c r="L631" s="171">
        <v>3</v>
      </c>
      <c r="M631" s="50">
        <v>6</v>
      </c>
      <c r="N631" s="171">
        <v>5</v>
      </c>
      <c r="O631" s="202">
        <v>4</v>
      </c>
      <c r="P631" s="202">
        <v>6</v>
      </c>
      <c r="Q631" s="202">
        <v>5</v>
      </c>
      <c r="R631" s="162"/>
      <c r="S631" s="162"/>
    </row>
    <row r="632" spans="1:19">
      <c r="A632" s="63"/>
      <c r="B632" s="63"/>
      <c r="C632" s="63"/>
      <c r="D632" s="63"/>
      <c r="E632" s="63"/>
      <c r="F632" s="63"/>
      <c r="G632" s="63"/>
      <c r="I632" s="295" t="s">
        <v>790</v>
      </c>
      <c r="J632" s="295"/>
      <c r="K632" s="170">
        <v>2</v>
      </c>
      <c r="L632" s="171">
        <v>2</v>
      </c>
      <c r="M632" s="50">
        <v>2</v>
      </c>
      <c r="N632" s="171">
        <v>3</v>
      </c>
      <c r="O632" s="202">
        <v>2</v>
      </c>
      <c r="P632" s="202">
        <v>3</v>
      </c>
      <c r="Q632" s="202">
        <v>2</v>
      </c>
      <c r="R632" s="162"/>
      <c r="S632" s="162"/>
    </row>
    <row r="633" spans="1:19">
      <c r="A633" s="63"/>
      <c r="B633" s="63"/>
      <c r="C633" s="63"/>
      <c r="D633" s="63"/>
      <c r="E633" s="63"/>
      <c r="F633" s="63"/>
      <c r="G633" s="63"/>
      <c r="I633" s="295" t="s">
        <v>791</v>
      </c>
      <c r="J633" s="295"/>
      <c r="K633" s="170">
        <v>28</v>
      </c>
      <c r="L633" s="171">
        <v>27</v>
      </c>
      <c r="M633" s="50">
        <v>27</v>
      </c>
      <c r="N633" s="171">
        <v>27</v>
      </c>
      <c r="O633" s="202">
        <v>26</v>
      </c>
      <c r="P633" s="202">
        <v>26</v>
      </c>
      <c r="Q633" s="202">
        <v>27</v>
      </c>
      <c r="R633" s="162"/>
      <c r="S633" s="162"/>
    </row>
    <row r="634" spans="1:19">
      <c r="A634" s="63"/>
      <c r="B634" s="63"/>
      <c r="C634" s="63"/>
      <c r="D634" s="63"/>
      <c r="E634" s="63"/>
      <c r="F634" s="63"/>
      <c r="G634" s="63"/>
      <c r="I634" s="296" t="s">
        <v>792</v>
      </c>
      <c r="J634" s="296"/>
      <c r="K634" s="170">
        <v>6</v>
      </c>
      <c r="L634" s="171">
        <v>1</v>
      </c>
      <c r="M634" s="50">
        <v>1</v>
      </c>
      <c r="N634" s="171">
        <v>3</v>
      </c>
      <c r="O634" s="202">
        <v>1</v>
      </c>
      <c r="P634" s="202">
        <v>6</v>
      </c>
      <c r="Q634" s="202">
        <v>5</v>
      </c>
      <c r="R634" s="162"/>
      <c r="S634" s="162"/>
    </row>
    <row r="635" spans="1:19" ht="17.25" thickBot="1">
      <c r="A635" s="63"/>
      <c r="B635" s="63"/>
      <c r="C635" s="63"/>
      <c r="D635" s="63"/>
      <c r="E635" s="63"/>
      <c r="F635" s="63"/>
      <c r="G635" s="63"/>
      <c r="I635" s="297" t="s">
        <v>793</v>
      </c>
      <c r="J635" s="297"/>
      <c r="K635" s="172">
        <f t="shared" ref="K635:S635" si="229">SUM(K624:K634)</f>
        <v>78</v>
      </c>
      <c r="L635" s="205">
        <f t="shared" si="229"/>
        <v>64</v>
      </c>
      <c r="M635" s="205">
        <f t="shared" si="229"/>
        <v>65</v>
      </c>
      <c r="N635" s="205">
        <f t="shared" si="229"/>
        <v>71</v>
      </c>
      <c r="O635" s="174">
        <f t="shared" si="229"/>
        <v>63</v>
      </c>
      <c r="P635" s="174">
        <f t="shared" si="229"/>
        <v>74</v>
      </c>
      <c r="Q635" s="174">
        <f t="shared" si="229"/>
        <v>71</v>
      </c>
      <c r="R635" s="175">
        <f t="shared" si="229"/>
        <v>0</v>
      </c>
      <c r="S635" s="175">
        <f t="shared" si="229"/>
        <v>0</v>
      </c>
    </row>
    <row r="636" spans="1:19" ht="17.25" thickBot="1">
      <c r="A636" s="63"/>
      <c r="B636" s="63"/>
      <c r="C636" s="63"/>
      <c r="D636" s="63"/>
      <c r="E636" s="63"/>
      <c r="F636" s="63"/>
      <c r="G636" s="63"/>
      <c r="I636" s="298" t="s">
        <v>794</v>
      </c>
      <c r="J636" s="299"/>
      <c r="K636" s="176">
        <f t="shared" ref="K636" si="230">S615-K635</f>
        <v>-78</v>
      </c>
      <c r="L636" s="177">
        <f t="shared" ref="L636" si="231">K635-L635</f>
        <v>14</v>
      </c>
      <c r="M636" s="177">
        <f t="shared" ref="M636" si="232">K635-M635</f>
        <v>13</v>
      </c>
      <c r="N636" s="177">
        <f t="shared" ref="N636" si="233">K635-N635</f>
        <v>7</v>
      </c>
      <c r="O636" s="178">
        <f t="shared" ref="O636" si="234">K635-O635</f>
        <v>15</v>
      </c>
      <c r="P636" s="178">
        <f t="shared" ref="P636" si="235">K635-P635</f>
        <v>4</v>
      </c>
      <c r="Q636" s="178">
        <f t="shared" ref="Q636" si="236">K635-Q635</f>
        <v>7</v>
      </c>
      <c r="R636" s="179">
        <f t="shared" ref="R636" si="237">K635-R635</f>
        <v>78</v>
      </c>
      <c r="S636" s="180">
        <f t="shared" ref="S636" si="238">L635-S635</f>
        <v>64</v>
      </c>
    </row>
    <row r="637" spans="1:19">
      <c r="A637" s="63"/>
      <c r="B637" s="63"/>
      <c r="C637" s="63"/>
      <c r="D637" s="63"/>
      <c r="E637" s="63"/>
      <c r="F637" s="63"/>
      <c r="G637" s="63"/>
      <c r="I637" s="300" t="s">
        <v>795</v>
      </c>
      <c r="J637" s="301"/>
      <c r="K637" s="181">
        <v>182</v>
      </c>
      <c r="L637" s="182">
        <v>182</v>
      </c>
      <c r="M637" s="182">
        <v>206</v>
      </c>
      <c r="N637" s="182">
        <v>183</v>
      </c>
      <c r="O637" s="183">
        <v>204</v>
      </c>
      <c r="P637" s="182">
        <v>202</v>
      </c>
      <c r="Q637" s="182">
        <v>194</v>
      </c>
      <c r="R637" s="182"/>
      <c r="S637" s="182"/>
    </row>
    <row r="638" spans="1:19">
      <c r="A638" s="63"/>
      <c r="B638" s="63"/>
      <c r="C638" s="63"/>
      <c r="D638" s="63"/>
      <c r="E638" s="63"/>
      <c r="F638" s="63"/>
      <c r="G638" s="63"/>
      <c r="I638" s="302" t="s">
        <v>796</v>
      </c>
      <c r="J638" s="302"/>
      <c r="K638" s="184">
        <v>48</v>
      </c>
      <c r="L638" s="203">
        <v>46</v>
      </c>
      <c r="M638" s="203">
        <v>52</v>
      </c>
      <c r="N638" s="203">
        <v>43</v>
      </c>
      <c r="O638" s="203">
        <v>53</v>
      </c>
      <c r="P638" s="203">
        <v>55</v>
      </c>
      <c r="Q638" s="203">
        <v>50</v>
      </c>
      <c r="R638" s="203"/>
      <c r="S638" s="203"/>
    </row>
    <row r="639" spans="1:19">
      <c r="A639" s="63"/>
      <c r="B639" s="63"/>
      <c r="C639" s="63"/>
      <c r="D639" s="63"/>
      <c r="E639" s="63"/>
      <c r="F639" s="63"/>
      <c r="G639" s="63"/>
      <c r="I639" s="302" t="s">
        <v>797</v>
      </c>
      <c r="J639" s="302"/>
      <c r="K639" s="184">
        <v>134</v>
      </c>
      <c r="L639" s="203">
        <v>136</v>
      </c>
      <c r="M639" s="203">
        <v>154</v>
      </c>
      <c r="N639" s="203">
        <v>140</v>
      </c>
      <c r="O639" s="203">
        <v>151</v>
      </c>
      <c r="P639" s="203">
        <v>147</v>
      </c>
      <c r="Q639" s="203">
        <v>144</v>
      </c>
      <c r="R639" s="203"/>
      <c r="S639" s="203"/>
    </row>
    <row r="640" spans="1:19">
      <c r="A640" s="63"/>
      <c r="B640" s="63"/>
      <c r="C640" s="63"/>
      <c r="D640" s="63"/>
      <c r="E640" s="63"/>
      <c r="F640" s="63"/>
      <c r="G640" s="63"/>
      <c r="I640" s="303" t="s">
        <v>798</v>
      </c>
      <c r="J640" s="303"/>
      <c r="K640" s="184"/>
      <c r="L640" s="185"/>
      <c r="M640" s="185"/>
      <c r="N640" s="185"/>
      <c r="O640" s="185"/>
      <c r="P640" s="204"/>
      <c r="Q640" s="204"/>
      <c r="R640" s="204"/>
      <c r="S640" s="204"/>
    </row>
    <row r="641" spans="1:19">
      <c r="A641" s="3" t="s">
        <v>801</v>
      </c>
      <c r="B641" s="201" t="s">
        <v>802</v>
      </c>
      <c r="C641" s="201" t="s">
        <v>803</v>
      </c>
      <c r="D641" s="201" t="s">
        <v>119</v>
      </c>
      <c r="E641" s="201" t="s">
        <v>148</v>
      </c>
      <c r="F641" s="201" t="s">
        <v>806</v>
      </c>
      <c r="G641" s="201" t="s">
        <v>81</v>
      </c>
      <c r="I641" s="187"/>
      <c r="J641" s="187"/>
      <c r="K641" s="187"/>
      <c r="L641" s="188"/>
      <c r="M641" s="188"/>
      <c r="N641" s="188"/>
      <c r="O641" s="188"/>
      <c r="P641" s="187"/>
      <c r="Q641" s="187"/>
      <c r="R641" s="187"/>
      <c r="S641" s="187"/>
    </row>
    <row r="642" spans="1:19">
      <c r="A642" s="293">
        <v>44071</v>
      </c>
      <c r="B642" s="161">
        <v>0.30555555555555552</v>
      </c>
      <c r="C642" s="162">
        <v>48</v>
      </c>
      <c r="D642" s="162">
        <v>135</v>
      </c>
      <c r="E642" s="162">
        <v>115</v>
      </c>
      <c r="F642" s="162">
        <v>-20</v>
      </c>
      <c r="G642" s="163">
        <v>0.86109999999999998</v>
      </c>
      <c r="I642" s="191"/>
      <c r="J642" s="190"/>
      <c r="K642" s="190"/>
      <c r="L642" s="190"/>
      <c r="M642" s="190">
        <v>44071</v>
      </c>
      <c r="N642" s="189" t="s">
        <v>864</v>
      </c>
      <c r="O642" s="189"/>
      <c r="P642" s="189"/>
      <c r="Q642" s="189"/>
      <c r="R642" s="189"/>
      <c r="S642" s="189"/>
    </row>
    <row r="643" spans="1:19">
      <c r="A643" s="294"/>
      <c r="B643" s="164">
        <v>0.4861111111111111</v>
      </c>
      <c r="C643" s="165">
        <v>37</v>
      </c>
      <c r="D643" s="165">
        <v>22</v>
      </c>
      <c r="E643" s="165">
        <v>23</v>
      </c>
      <c r="F643" s="165">
        <v>1</v>
      </c>
      <c r="G643" s="166">
        <v>0.85650000000000004</v>
      </c>
      <c r="I643" s="304"/>
      <c r="J643" s="304"/>
      <c r="K643" s="167">
        <v>0.30555555555555552</v>
      </c>
      <c r="L643" s="168">
        <v>0.4861111111111111</v>
      </c>
      <c r="M643" s="168">
        <v>0.65277777777777779</v>
      </c>
      <c r="N643" s="168"/>
      <c r="O643" s="169"/>
      <c r="P643" s="169"/>
      <c r="Q643" s="169"/>
      <c r="R643" s="161"/>
      <c r="S643" s="161"/>
    </row>
    <row r="644" spans="1:19">
      <c r="A644" s="294"/>
      <c r="B644" s="161">
        <v>0.65277777777777779</v>
      </c>
      <c r="C644" s="162">
        <v>32</v>
      </c>
      <c r="D644" s="162">
        <v>45</v>
      </c>
      <c r="E644" s="162">
        <v>35</v>
      </c>
      <c r="F644" s="162">
        <v>-10</v>
      </c>
      <c r="G644" s="163">
        <v>0.85499999999999998</v>
      </c>
      <c r="I644" s="295" t="s">
        <v>782</v>
      </c>
      <c r="J644" s="296"/>
      <c r="K644" s="170">
        <v>7</v>
      </c>
      <c r="L644" s="171">
        <v>11</v>
      </c>
      <c r="M644" s="50">
        <v>9</v>
      </c>
      <c r="N644" s="171"/>
      <c r="O644" s="202"/>
      <c r="P644" s="202"/>
      <c r="Q644" s="202"/>
      <c r="R644" s="162"/>
      <c r="S644" s="162"/>
    </row>
    <row r="645" spans="1:19">
      <c r="A645" s="294"/>
      <c r="B645" s="164"/>
      <c r="C645" s="165"/>
      <c r="D645" s="165"/>
      <c r="E645" s="165"/>
      <c r="F645" s="165"/>
      <c r="G645" s="166"/>
      <c r="I645" s="295" t="s">
        <v>783</v>
      </c>
      <c r="J645" s="295"/>
      <c r="K645" s="170">
        <v>1</v>
      </c>
      <c r="L645" s="171">
        <v>1</v>
      </c>
      <c r="M645" s="50">
        <v>1</v>
      </c>
      <c r="N645" s="171"/>
      <c r="O645" s="202"/>
      <c r="P645" s="202"/>
      <c r="Q645" s="202"/>
      <c r="R645" s="162"/>
      <c r="S645" s="162"/>
    </row>
    <row r="646" spans="1:19">
      <c r="A646" s="294"/>
      <c r="B646" s="161"/>
      <c r="C646" s="162"/>
      <c r="D646" s="162"/>
      <c r="E646" s="162"/>
      <c r="F646" s="162"/>
      <c r="G646" s="163"/>
      <c r="I646" s="295" t="s">
        <v>784</v>
      </c>
      <c r="J646" s="295"/>
      <c r="K646" s="170">
        <v>3</v>
      </c>
      <c r="L646" s="171">
        <v>3</v>
      </c>
      <c r="M646" s="50">
        <v>3</v>
      </c>
      <c r="N646" s="171"/>
      <c r="O646" s="202"/>
      <c r="P646" s="202"/>
      <c r="Q646" s="202"/>
      <c r="R646" s="162"/>
      <c r="S646" s="162"/>
    </row>
    <row r="647" spans="1:19">
      <c r="A647" s="294"/>
      <c r="B647" s="164"/>
      <c r="C647" s="165"/>
      <c r="D647" s="165"/>
      <c r="E647" s="165"/>
      <c r="F647" s="165"/>
      <c r="G647" s="166"/>
      <c r="I647" s="295" t="s">
        <v>785</v>
      </c>
      <c r="J647" s="295"/>
      <c r="K647" s="170">
        <v>9</v>
      </c>
      <c r="L647" s="171">
        <v>10</v>
      </c>
      <c r="M647" s="50">
        <v>10</v>
      </c>
      <c r="N647" s="171"/>
      <c r="O647" s="202"/>
      <c r="P647" s="202"/>
      <c r="Q647" s="202"/>
      <c r="R647" s="162"/>
      <c r="S647" s="162"/>
    </row>
    <row r="648" spans="1:19">
      <c r="A648" s="294"/>
      <c r="B648" s="161"/>
      <c r="C648" s="162"/>
      <c r="D648" s="162"/>
      <c r="E648" s="162"/>
      <c r="F648" s="162"/>
      <c r="G648" s="163"/>
      <c r="I648" s="295" t="s">
        <v>786</v>
      </c>
      <c r="J648" s="295"/>
      <c r="K648" s="170">
        <v>1</v>
      </c>
      <c r="L648" s="171">
        <v>1</v>
      </c>
      <c r="M648" s="50">
        <v>1</v>
      </c>
      <c r="N648" s="171"/>
      <c r="O648" s="202"/>
      <c r="P648" s="202"/>
      <c r="Q648" s="202"/>
      <c r="R648" s="162"/>
      <c r="S648" s="162"/>
    </row>
    <row r="649" spans="1:19">
      <c r="A649" s="294"/>
      <c r="B649" s="164"/>
      <c r="C649" s="165"/>
      <c r="D649" s="165"/>
      <c r="E649" s="165"/>
      <c r="F649" s="165"/>
      <c r="G649" s="166"/>
      <c r="I649" s="295" t="s">
        <v>787</v>
      </c>
      <c r="J649" s="295"/>
      <c r="K649" s="170">
        <v>11</v>
      </c>
      <c r="L649" s="171">
        <v>13</v>
      </c>
      <c r="M649" s="50">
        <v>11</v>
      </c>
      <c r="N649" s="171"/>
      <c r="O649" s="202"/>
      <c r="P649" s="202"/>
      <c r="Q649" s="202"/>
      <c r="R649" s="162"/>
      <c r="S649" s="162"/>
    </row>
    <row r="650" spans="1:19">
      <c r="A650" s="294"/>
      <c r="B650" s="161"/>
      <c r="C650" s="162"/>
      <c r="D650" s="162"/>
      <c r="E650" s="162"/>
      <c r="F650" s="162"/>
      <c r="G650" s="163"/>
      <c r="I650" s="295" t="s">
        <v>788</v>
      </c>
      <c r="J650" s="295"/>
      <c r="K650" s="170">
        <v>0</v>
      </c>
      <c r="L650" s="171">
        <v>0</v>
      </c>
      <c r="M650" s="50">
        <v>0</v>
      </c>
      <c r="N650" s="171"/>
      <c r="O650" s="202"/>
      <c r="P650" s="202"/>
      <c r="Q650" s="202"/>
      <c r="R650" s="162"/>
      <c r="S650" s="162"/>
    </row>
    <row r="651" spans="1:19">
      <c r="A651" s="294"/>
      <c r="B651" s="164"/>
      <c r="C651" s="165"/>
      <c r="D651" s="165"/>
      <c r="E651" s="165"/>
      <c r="F651" s="165"/>
      <c r="G651" s="166"/>
      <c r="I651" s="295" t="s">
        <v>789</v>
      </c>
      <c r="J651" s="295"/>
      <c r="K651" s="170">
        <v>5</v>
      </c>
      <c r="L651" s="171">
        <v>6</v>
      </c>
      <c r="M651" s="50">
        <v>6</v>
      </c>
      <c r="N651" s="171"/>
      <c r="O651" s="202"/>
      <c r="P651" s="202"/>
      <c r="Q651" s="202"/>
      <c r="R651" s="162"/>
      <c r="S651" s="162"/>
    </row>
    <row r="652" spans="1:19">
      <c r="A652" s="63"/>
      <c r="B652" s="63"/>
      <c r="C652" s="63"/>
      <c r="D652" s="63"/>
      <c r="E652" s="63"/>
      <c r="F652" s="63"/>
      <c r="G652" s="63"/>
      <c r="I652" s="295" t="s">
        <v>790</v>
      </c>
      <c r="J652" s="295"/>
      <c r="K652" s="170">
        <v>2</v>
      </c>
      <c r="L652" s="171">
        <v>2</v>
      </c>
      <c r="M652" s="50">
        <v>2</v>
      </c>
      <c r="N652" s="171"/>
      <c r="O652" s="202"/>
      <c r="P652" s="202"/>
      <c r="Q652" s="202"/>
      <c r="R652" s="162"/>
      <c r="S652" s="162"/>
    </row>
    <row r="653" spans="1:19">
      <c r="A653" s="63"/>
      <c r="B653" s="63"/>
      <c r="C653" s="63"/>
      <c r="D653" s="63"/>
      <c r="E653" s="63"/>
      <c r="F653" s="63"/>
      <c r="G653" s="63"/>
      <c r="I653" s="295" t="s">
        <v>791</v>
      </c>
      <c r="J653" s="295"/>
      <c r="K653" s="170">
        <v>27</v>
      </c>
      <c r="L653" s="171">
        <v>25</v>
      </c>
      <c r="M653" s="50">
        <v>26</v>
      </c>
      <c r="N653" s="171"/>
      <c r="O653" s="202"/>
      <c r="P653" s="202"/>
      <c r="Q653" s="202"/>
      <c r="R653" s="162"/>
      <c r="S653" s="162"/>
    </row>
    <row r="654" spans="1:19">
      <c r="A654" s="63"/>
      <c r="B654" s="63"/>
      <c r="C654" s="63"/>
      <c r="D654" s="63"/>
      <c r="E654" s="63"/>
      <c r="F654" s="63"/>
      <c r="G654" s="63"/>
      <c r="I654" s="296" t="s">
        <v>792</v>
      </c>
      <c r="J654" s="296"/>
      <c r="K654" s="170">
        <v>5</v>
      </c>
      <c r="L654" s="171">
        <v>4</v>
      </c>
      <c r="M654" s="50">
        <v>8</v>
      </c>
      <c r="N654" s="171"/>
      <c r="O654" s="202"/>
      <c r="P654" s="202"/>
      <c r="Q654" s="202"/>
      <c r="R654" s="162"/>
      <c r="S654" s="162"/>
    </row>
    <row r="655" spans="1:19" ht="17.25" thickBot="1">
      <c r="A655" s="63"/>
      <c r="B655" s="63"/>
      <c r="C655" s="63"/>
      <c r="D655" s="63"/>
      <c r="E655" s="63"/>
      <c r="F655" s="63"/>
      <c r="G655" s="63"/>
      <c r="I655" s="297" t="s">
        <v>793</v>
      </c>
      <c r="J655" s="297"/>
      <c r="K655" s="172">
        <f t="shared" ref="K655:S655" si="239">SUM(K644:K654)</f>
        <v>71</v>
      </c>
      <c r="L655" s="205">
        <f t="shared" si="239"/>
        <v>76</v>
      </c>
      <c r="M655" s="205">
        <f t="shared" si="239"/>
        <v>77</v>
      </c>
      <c r="N655" s="205">
        <f t="shared" si="239"/>
        <v>0</v>
      </c>
      <c r="O655" s="174">
        <f t="shared" si="239"/>
        <v>0</v>
      </c>
      <c r="P655" s="174">
        <f t="shared" si="239"/>
        <v>0</v>
      </c>
      <c r="Q655" s="174">
        <f t="shared" si="239"/>
        <v>0</v>
      </c>
      <c r="R655" s="175">
        <f t="shared" si="239"/>
        <v>0</v>
      </c>
      <c r="S655" s="175">
        <f t="shared" si="239"/>
        <v>0</v>
      </c>
    </row>
    <row r="656" spans="1:19" ht="17.25" thickBot="1">
      <c r="A656" s="63"/>
      <c r="B656" s="63"/>
      <c r="C656" s="63"/>
      <c r="D656" s="63"/>
      <c r="E656" s="63"/>
      <c r="F656" s="63"/>
      <c r="G656" s="63"/>
      <c r="I656" s="298" t="s">
        <v>794</v>
      </c>
      <c r="J656" s="299"/>
      <c r="K656" s="176">
        <f t="shared" ref="K656" si="240">S635-K655</f>
        <v>-71</v>
      </c>
      <c r="L656" s="177">
        <f t="shared" ref="L656" si="241">K655-L655</f>
        <v>-5</v>
      </c>
      <c r="M656" s="177">
        <f t="shared" ref="M656" si="242">K655-M655</f>
        <v>-6</v>
      </c>
      <c r="N656" s="177">
        <f t="shared" ref="N656" si="243">K655-N655</f>
        <v>71</v>
      </c>
      <c r="O656" s="178">
        <f t="shared" ref="O656" si="244">K655-O655</f>
        <v>71</v>
      </c>
      <c r="P656" s="178">
        <f t="shared" ref="P656" si="245">K655-P655</f>
        <v>71</v>
      </c>
      <c r="Q656" s="178">
        <f t="shared" ref="Q656" si="246">K655-Q655</f>
        <v>71</v>
      </c>
      <c r="R656" s="179">
        <f t="shared" ref="R656" si="247">K655-R655</f>
        <v>71</v>
      </c>
      <c r="S656" s="180">
        <f t="shared" ref="S656" si="248">L655-S655</f>
        <v>76</v>
      </c>
    </row>
    <row r="657" spans="1:19">
      <c r="A657" s="63"/>
      <c r="B657" s="63"/>
      <c r="C657" s="63"/>
      <c r="D657" s="63"/>
      <c r="E657" s="63"/>
      <c r="F657" s="63"/>
      <c r="G657" s="63"/>
      <c r="I657" s="300" t="s">
        <v>795</v>
      </c>
      <c r="J657" s="301"/>
      <c r="K657" s="181">
        <v>194</v>
      </c>
      <c r="L657" s="182">
        <v>192</v>
      </c>
      <c r="M657" s="182">
        <v>183</v>
      </c>
      <c r="N657" s="182"/>
      <c r="O657" s="183"/>
      <c r="P657" s="182"/>
      <c r="Q657" s="182"/>
      <c r="R657" s="182"/>
      <c r="S657" s="182"/>
    </row>
    <row r="658" spans="1:19">
      <c r="A658" s="63"/>
      <c r="B658" s="63"/>
      <c r="C658" s="63"/>
      <c r="D658" s="63"/>
      <c r="E658" s="63"/>
      <c r="F658" s="63"/>
      <c r="G658" s="63"/>
      <c r="I658" s="302" t="s">
        <v>796</v>
      </c>
      <c r="J658" s="302"/>
      <c r="K658" s="184">
        <v>50</v>
      </c>
      <c r="L658" s="203">
        <v>37</v>
      </c>
      <c r="M658" s="203">
        <v>34</v>
      </c>
      <c r="N658" s="203"/>
      <c r="O658" s="203"/>
      <c r="P658" s="203"/>
      <c r="Q658" s="203"/>
      <c r="R658" s="203"/>
      <c r="S658" s="203"/>
    </row>
    <row r="659" spans="1:19">
      <c r="A659" s="63"/>
      <c r="B659" s="63"/>
      <c r="C659" s="63"/>
      <c r="D659" s="63"/>
      <c r="E659" s="63"/>
      <c r="F659" s="63"/>
      <c r="G659" s="63"/>
      <c r="I659" s="302" t="s">
        <v>797</v>
      </c>
      <c r="J659" s="302"/>
      <c r="K659" s="184">
        <v>144</v>
      </c>
      <c r="L659" s="203">
        <v>155</v>
      </c>
      <c r="M659" s="203">
        <v>149</v>
      </c>
      <c r="N659" s="203"/>
      <c r="O659" s="203"/>
      <c r="P659" s="203"/>
      <c r="Q659" s="203"/>
      <c r="R659" s="203"/>
      <c r="S659" s="203"/>
    </row>
    <row r="660" spans="1:19">
      <c r="A660" s="63"/>
      <c r="B660" s="63"/>
      <c r="C660" s="63"/>
      <c r="D660" s="63"/>
      <c r="E660" s="63"/>
      <c r="F660" s="63"/>
      <c r="G660" s="63"/>
      <c r="I660" s="303" t="s">
        <v>798</v>
      </c>
      <c r="J660" s="303"/>
      <c r="K660" s="184"/>
      <c r="L660" s="185"/>
      <c r="M660" s="185"/>
      <c r="N660" s="185"/>
      <c r="O660" s="185"/>
      <c r="P660" s="204"/>
      <c r="Q660" s="204"/>
      <c r="R660" s="204"/>
      <c r="S660" s="204"/>
    </row>
    <row r="661" spans="1:19">
      <c r="A661" s="3" t="s">
        <v>801</v>
      </c>
      <c r="B661" s="201" t="s">
        <v>802</v>
      </c>
      <c r="C661" s="201" t="s">
        <v>803</v>
      </c>
      <c r="D661" s="201" t="s">
        <v>119</v>
      </c>
      <c r="E661" s="201" t="s">
        <v>148</v>
      </c>
      <c r="F661" s="201" t="s">
        <v>806</v>
      </c>
      <c r="G661" s="201" t="s">
        <v>81</v>
      </c>
      <c r="I661" s="187"/>
      <c r="J661" s="187"/>
      <c r="K661" s="187"/>
      <c r="L661" s="188"/>
      <c r="M661" s="188"/>
      <c r="N661" s="188"/>
      <c r="O661" s="188"/>
      <c r="P661" s="187"/>
      <c r="Q661" s="187"/>
      <c r="R661" s="187"/>
      <c r="S661" s="187"/>
    </row>
    <row r="662" spans="1:19">
      <c r="A662" s="293">
        <v>44072</v>
      </c>
      <c r="B662" s="161"/>
      <c r="C662" s="162"/>
      <c r="D662" s="162"/>
      <c r="E662" s="162"/>
      <c r="F662" s="162"/>
      <c r="G662" s="163"/>
      <c r="I662" s="191"/>
      <c r="J662" s="190"/>
      <c r="K662" s="190"/>
      <c r="L662" s="190"/>
      <c r="M662" s="190">
        <v>44072</v>
      </c>
      <c r="N662" s="189" t="s">
        <v>864</v>
      </c>
      <c r="O662" s="189"/>
      <c r="P662" s="189"/>
      <c r="Q662" s="189"/>
      <c r="R662" s="189"/>
      <c r="S662" s="189"/>
    </row>
    <row r="663" spans="1:19">
      <c r="A663" s="294"/>
      <c r="B663" s="164"/>
      <c r="C663" s="165"/>
      <c r="D663" s="165"/>
      <c r="E663" s="165"/>
      <c r="F663" s="165"/>
      <c r="G663" s="166"/>
      <c r="I663" s="304"/>
      <c r="J663" s="304"/>
      <c r="K663" s="167"/>
      <c r="L663" s="168"/>
      <c r="M663" s="168"/>
      <c r="N663" s="168"/>
      <c r="O663" s="169"/>
      <c r="P663" s="169"/>
      <c r="Q663" s="169"/>
      <c r="R663" s="161"/>
      <c r="S663" s="161"/>
    </row>
    <row r="664" spans="1:19">
      <c r="A664" s="294"/>
      <c r="B664" s="161"/>
      <c r="C664" s="162"/>
      <c r="D664" s="162"/>
      <c r="E664" s="162"/>
      <c r="F664" s="162"/>
      <c r="G664" s="163"/>
      <c r="I664" s="295" t="s">
        <v>782</v>
      </c>
      <c r="J664" s="296"/>
      <c r="K664" s="170"/>
      <c r="L664" s="171"/>
      <c r="M664" s="50"/>
      <c r="N664" s="171"/>
      <c r="O664" s="202"/>
      <c r="P664" s="202"/>
      <c r="Q664" s="202"/>
      <c r="R664" s="162"/>
      <c r="S664" s="162"/>
    </row>
    <row r="665" spans="1:19">
      <c r="A665" s="294"/>
      <c r="B665" s="164"/>
      <c r="C665" s="165"/>
      <c r="D665" s="165"/>
      <c r="E665" s="165"/>
      <c r="F665" s="165"/>
      <c r="G665" s="166"/>
      <c r="I665" s="295" t="s">
        <v>783</v>
      </c>
      <c r="J665" s="295"/>
      <c r="K665" s="170"/>
      <c r="L665" s="171"/>
      <c r="M665" s="50"/>
      <c r="N665" s="171"/>
      <c r="O665" s="202"/>
      <c r="P665" s="202"/>
      <c r="Q665" s="202"/>
      <c r="R665" s="162"/>
      <c r="S665" s="162"/>
    </row>
    <row r="666" spans="1:19">
      <c r="A666" s="294"/>
      <c r="B666" s="161"/>
      <c r="C666" s="162"/>
      <c r="D666" s="162"/>
      <c r="E666" s="162"/>
      <c r="F666" s="162"/>
      <c r="G666" s="163"/>
      <c r="I666" s="295" t="s">
        <v>784</v>
      </c>
      <c r="J666" s="295"/>
      <c r="K666" s="170"/>
      <c r="L666" s="171"/>
      <c r="M666" s="50"/>
      <c r="N666" s="171"/>
      <c r="O666" s="202"/>
      <c r="P666" s="202"/>
      <c r="Q666" s="202"/>
      <c r="R666" s="162"/>
      <c r="S666" s="162"/>
    </row>
    <row r="667" spans="1:19">
      <c r="A667" s="294"/>
      <c r="B667" s="164"/>
      <c r="C667" s="165"/>
      <c r="D667" s="165"/>
      <c r="E667" s="165"/>
      <c r="F667" s="165"/>
      <c r="G667" s="166"/>
      <c r="I667" s="295" t="s">
        <v>785</v>
      </c>
      <c r="J667" s="295"/>
      <c r="K667" s="170"/>
      <c r="L667" s="171"/>
      <c r="M667" s="50"/>
      <c r="N667" s="171"/>
      <c r="O667" s="202"/>
      <c r="P667" s="202"/>
      <c r="Q667" s="202"/>
      <c r="R667" s="162"/>
      <c r="S667" s="162"/>
    </row>
    <row r="668" spans="1:19">
      <c r="A668" s="294"/>
      <c r="B668" s="161"/>
      <c r="C668" s="162"/>
      <c r="D668" s="162"/>
      <c r="E668" s="162"/>
      <c r="F668" s="162"/>
      <c r="G668" s="163"/>
      <c r="I668" s="295" t="s">
        <v>786</v>
      </c>
      <c r="J668" s="295"/>
      <c r="K668" s="170"/>
      <c r="L668" s="171"/>
      <c r="M668" s="50"/>
      <c r="N668" s="171"/>
      <c r="O668" s="202"/>
      <c r="P668" s="202"/>
      <c r="Q668" s="202"/>
      <c r="R668" s="162"/>
      <c r="S668" s="162"/>
    </row>
    <row r="669" spans="1:19">
      <c r="A669" s="294"/>
      <c r="B669" s="164"/>
      <c r="C669" s="165"/>
      <c r="D669" s="165"/>
      <c r="E669" s="165"/>
      <c r="F669" s="165"/>
      <c r="G669" s="166"/>
      <c r="I669" s="295" t="s">
        <v>787</v>
      </c>
      <c r="J669" s="295"/>
      <c r="K669" s="170"/>
      <c r="L669" s="171"/>
      <c r="M669" s="50"/>
      <c r="N669" s="171"/>
      <c r="O669" s="202"/>
      <c r="P669" s="202"/>
      <c r="Q669" s="202"/>
      <c r="R669" s="162"/>
      <c r="S669" s="162"/>
    </row>
    <row r="670" spans="1:19">
      <c r="A670" s="294"/>
      <c r="B670" s="161"/>
      <c r="C670" s="162"/>
      <c r="D670" s="162"/>
      <c r="E670" s="162"/>
      <c r="F670" s="162"/>
      <c r="G670" s="163"/>
      <c r="I670" s="295" t="s">
        <v>788</v>
      </c>
      <c r="J670" s="295"/>
      <c r="K670" s="170"/>
      <c r="L670" s="171"/>
      <c r="M670" s="50"/>
      <c r="N670" s="171"/>
      <c r="O670" s="202"/>
      <c r="P670" s="202"/>
      <c r="Q670" s="202"/>
      <c r="R670" s="162"/>
      <c r="S670" s="162"/>
    </row>
    <row r="671" spans="1:19">
      <c r="A671" s="294"/>
      <c r="B671" s="164"/>
      <c r="C671" s="165"/>
      <c r="D671" s="165"/>
      <c r="E671" s="165"/>
      <c r="F671" s="165"/>
      <c r="G671" s="166"/>
      <c r="I671" s="295" t="s">
        <v>789</v>
      </c>
      <c r="J671" s="295"/>
      <c r="K671" s="170"/>
      <c r="L671" s="171"/>
      <c r="M671" s="50"/>
      <c r="N671" s="171"/>
      <c r="O671" s="202"/>
      <c r="P671" s="202"/>
      <c r="Q671" s="202"/>
      <c r="R671" s="162"/>
      <c r="S671" s="162"/>
    </row>
    <row r="672" spans="1:19">
      <c r="A672" s="63"/>
      <c r="B672" s="63"/>
      <c r="C672" s="63"/>
      <c r="D672" s="63"/>
      <c r="E672" s="63"/>
      <c r="F672" s="63"/>
      <c r="G672" s="63"/>
      <c r="I672" s="295" t="s">
        <v>790</v>
      </c>
      <c r="J672" s="295"/>
      <c r="K672" s="170"/>
      <c r="L672" s="171"/>
      <c r="M672" s="50"/>
      <c r="N672" s="171"/>
      <c r="O672" s="202"/>
      <c r="P672" s="202"/>
      <c r="Q672" s="202"/>
      <c r="R672" s="162"/>
      <c r="S672" s="162"/>
    </row>
    <row r="673" spans="1:19">
      <c r="A673" s="63"/>
      <c r="B673" s="63"/>
      <c r="C673" s="63"/>
      <c r="D673" s="63"/>
      <c r="E673" s="63"/>
      <c r="F673" s="63"/>
      <c r="G673" s="63"/>
      <c r="I673" s="295" t="s">
        <v>791</v>
      </c>
      <c r="J673" s="295"/>
      <c r="K673" s="170"/>
      <c r="L673" s="171"/>
      <c r="M673" s="50"/>
      <c r="N673" s="171"/>
      <c r="O673" s="202"/>
      <c r="P673" s="202"/>
      <c r="Q673" s="202"/>
      <c r="R673" s="162"/>
      <c r="S673" s="162"/>
    </row>
    <row r="674" spans="1:19">
      <c r="A674" s="63"/>
      <c r="B674" s="63"/>
      <c r="C674" s="63"/>
      <c r="D674" s="63"/>
      <c r="E674" s="63"/>
      <c r="F674" s="63"/>
      <c r="G674" s="63"/>
      <c r="I674" s="296" t="s">
        <v>792</v>
      </c>
      <c r="J674" s="296"/>
      <c r="K674" s="170"/>
      <c r="L674" s="171"/>
      <c r="M674" s="50"/>
      <c r="N674" s="171"/>
      <c r="O674" s="202"/>
      <c r="P674" s="202"/>
      <c r="Q674" s="202"/>
      <c r="R674" s="162"/>
      <c r="S674" s="162"/>
    </row>
    <row r="675" spans="1:19" ht="17.25" thickBot="1">
      <c r="A675" s="63"/>
      <c r="B675" s="63"/>
      <c r="C675" s="63"/>
      <c r="D675" s="63"/>
      <c r="E675" s="63"/>
      <c r="F675" s="63"/>
      <c r="G675" s="63"/>
      <c r="I675" s="297" t="s">
        <v>793</v>
      </c>
      <c r="J675" s="297"/>
      <c r="K675" s="172">
        <f t="shared" ref="K675:S675" si="249">SUM(K664:K674)</f>
        <v>0</v>
      </c>
      <c r="L675" s="205">
        <f t="shared" si="249"/>
        <v>0</v>
      </c>
      <c r="M675" s="205">
        <f t="shared" si="249"/>
        <v>0</v>
      </c>
      <c r="N675" s="205">
        <f t="shared" si="249"/>
        <v>0</v>
      </c>
      <c r="O675" s="174">
        <f t="shared" si="249"/>
        <v>0</v>
      </c>
      <c r="P675" s="174">
        <f t="shared" si="249"/>
        <v>0</v>
      </c>
      <c r="Q675" s="174">
        <f t="shared" si="249"/>
        <v>0</v>
      </c>
      <c r="R675" s="175">
        <f t="shared" si="249"/>
        <v>0</v>
      </c>
      <c r="S675" s="175">
        <f t="shared" si="249"/>
        <v>0</v>
      </c>
    </row>
    <row r="676" spans="1:19" ht="17.25" thickBot="1">
      <c r="A676" s="63"/>
      <c r="B676" s="63"/>
      <c r="C676" s="63"/>
      <c r="D676" s="63"/>
      <c r="E676" s="63"/>
      <c r="F676" s="63"/>
      <c r="G676" s="63"/>
      <c r="I676" s="298" t="s">
        <v>794</v>
      </c>
      <c r="J676" s="299"/>
      <c r="K676" s="176">
        <f t="shared" ref="K676" si="250">S655-K675</f>
        <v>0</v>
      </c>
      <c r="L676" s="177">
        <f t="shared" ref="L676" si="251">K675-L675</f>
        <v>0</v>
      </c>
      <c r="M676" s="177">
        <f t="shared" ref="M676" si="252">K675-M675</f>
        <v>0</v>
      </c>
      <c r="N676" s="177">
        <f t="shared" ref="N676" si="253">K675-N675</f>
        <v>0</v>
      </c>
      <c r="O676" s="178">
        <f t="shared" ref="O676" si="254">K675-O675</f>
        <v>0</v>
      </c>
      <c r="P676" s="178">
        <f t="shared" ref="P676" si="255">K675-P675</f>
        <v>0</v>
      </c>
      <c r="Q676" s="178">
        <f t="shared" ref="Q676" si="256">K675-Q675</f>
        <v>0</v>
      </c>
      <c r="R676" s="179">
        <f t="shared" ref="R676" si="257">K675-R675</f>
        <v>0</v>
      </c>
      <c r="S676" s="180">
        <f t="shared" ref="S676" si="258">L675-S675</f>
        <v>0</v>
      </c>
    </row>
    <row r="677" spans="1:19">
      <c r="A677" s="63"/>
      <c r="B677" s="63"/>
      <c r="C677" s="63"/>
      <c r="D677" s="63"/>
      <c r="E677" s="63"/>
      <c r="F677" s="63"/>
      <c r="G677" s="63"/>
      <c r="I677" s="300" t="s">
        <v>795</v>
      </c>
      <c r="J677" s="301"/>
      <c r="K677" s="181"/>
      <c r="L677" s="182"/>
      <c r="M677" s="182"/>
      <c r="N677" s="182"/>
      <c r="O677" s="183"/>
      <c r="P677" s="182"/>
      <c r="Q677" s="182"/>
      <c r="R677" s="182"/>
      <c r="S677" s="182"/>
    </row>
    <row r="678" spans="1:19">
      <c r="A678" s="63"/>
      <c r="B678" s="63"/>
      <c r="C678" s="63"/>
      <c r="D678" s="63"/>
      <c r="E678" s="63"/>
      <c r="F678" s="63"/>
      <c r="G678" s="63"/>
      <c r="I678" s="302" t="s">
        <v>796</v>
      </c>
      <c r="J678" s="302"/>
      <c r="K678" s="184"/>
      <c r="L678" s="203"/>
      <c r="M678" s="203"/>
      <c r="N678" s="203"/>
      <c r="O678" s="203"/>
      <c r="P678" s="203"/>
      <c r="Q678" s="203"/>
      <c r="R678" s="203"/>
      <c r="S678" s="203"/>
    </row>
    <row r="679" spans="1:19">
      <c r="A679" s="63"/>
      <c r="B679" s="63"/>
      <c r="C679" s="63"/>
      <c r="D679" s="63"/>
      <c r="E679" s="63"/>
      <c r="F679" s="63"/>
      <c r="G679" s="63"/>
      <c r="I679" s="302" t="s">
        <v>797</v>
      </c>
      <c r="J679" s="302"/>
      <c r="K679" s="184"/>
      <c r="L679" s="203"/>
      <c r="M679" s="203"/>
      <c r="N679" s="203"/>
      <c r="O679" s="203"/>
      <c r="P679" s="203"/>
      <c r="Q679" s="203"/>
      <c r="R679" s="203"/>
      <c r="S679" s="203"/>
    </row>
    <row r="680" spans="1:19">
      <c r="A680" s="63"/>
      <c r="B680" s="63"/>
      <c r="C680" s="63"/>
      <c r="D680" s="63"/>
      <c r="E680" s="63"/>
      <c r="F680" s="63"/>
      <c r="G680" s="63"/>
      <c r="I680" s="303" t="s">
        <v>798</v>
      </c>
      <c r="J680" s="303"/>
      <c r="K680" s="184"/>
      <c r="L680" s="185"/>
      <c r="M680" s="185"/>
      <c r="N680" s="185"/>
      <c r="O680" s="185"/>
      <c r="P680" s="204"/>
      <c r="Q680" s="204"/>
      <c r="R680" s="204"/>
      <c r="S680" s="204"/>
    </row>
    <row r="681" spans="1:19">
      <c r="A681" s="3" t="s">
        <v>801</v>
      </c>
      <c r="B681" s="201" t="s">
        <v>802</v>
      </c>
      <c r="C681" s="201" t="s">
        <v>803</v>
      </c>
      <c r="D681" s="201" t="s">
        <v>119</v>
      </c>
      <c r="E681" s="201" t="s">
        <v>148</v>
      </c>
      <c r="F681" s="201" t="s">
        <v>806</v>
      </c>
      <c r="G681" s="201" t="s">
        <v>81</v>
      </c>
      <c r="I681" s="187"/>
      <c r="J681" s="187"/>
      <c r="K681" s="187"/>
      <c r="L681" s="188"/>
      <c r="M681" s="188"/>
      <c r="N681" s="188"/>
      <c r="O681" s="188"/>
      <c r="P681" s="187"/>
      <c r="Q681" s="187"/>
      <c r="R681" s="187"/>
      <c r="S681" s="187"/>
    </row>
    <row r="682" spans="1:19">
      <c r="A682" s="293">
        <v>44073</v>
      </c>
      <c r="B682" s="161"/>
      <c r="C682" s="162"/>
      <c r="D682" s="162"/>
      <c r="E682" s="162"/>
      <c r="F682" s="162"/>
      <c r="G682" s="163"/>
      <c r="I682" s="191"/>
      <c r="J682" s="190"/>
      <c r="K682" s="190"/>
      <c r="L682" s="190"/>
      <c r="M682" s="190">
        <v>44073</v>
      </c>
      <c r="N682" s="189" t="s">
        <v>864</v>
      </c>
      <c r="O682" s="189"/>
      <c r="P682" s="189"/>
      <c r="Q682" s="189"/>
      <c r="R682" s="189"/>
      <c r="S682" s="189"/>
    </row>
    <row r="683" spans="1:19">
      <c r="A683" s="294"/>
      <c r="B683" s="164"/>
      <c r="C683" s="165"/>
      <c r="D683" s="165"/>
      <c r="E683" s="165"/>
      <c r="F683" s="165"/>
      <c r="G683" s="166"/>
      <c r="I683" s="304"/>
      <c r="J683" s="304"/>
      <c r="K683" s="167"/>
      <c r="L683" s="168"/>
      <c r="M683" s="168"/>
      <c r="N683" s="168"/>
      <c r="O683" s="169"/>
      <c r="P683" s="169"/>
      <c r="Q683" s="169"/>
      <c r="R683" s="161"/>
      <c r="S683" s="161"/>
    </row>
    <row r="684" spans="1:19">
      <c r="A684" s="294"/>
      <c r="B684" s="161"/>
      <c r="C684" s="162"/>
      <c r="D684" s="162"/>
      <c r="E684" s="162"/>
      <c r="F684" s="162"/>
      <c r="G684" s="163"/>
      <c r="I684" s="295" t="s">
        <v>782</v>
      </c>
      <c r="J684" s="296"/>
      <c r="K684" s="170"/>
      <c r="L684" s="171"/>
      <c r="M684" s="50"/>
      <c r="N684" s="171"/>
      <c r="O684" s="202"/>
      <c r="P684" s="202"/>
      <c r="Q684" s="202"/>
      <c r="R684" s="162"/>
      <c r="S684" s="162"/>
    </row>
    <row r="685" spans="1:19">
      <c r="A685" s="294"/>
      <c r="B685" s="164"/>
      <c r="C685" s="165"/>
      <c r="D685" s="165"/>
      <c r="E685" s="165"/>
      <c r="F685" s="165"/>
      <c r="G685" s="166"/>
      <c r="I685" s="295" t="s">
        <v>783</v>
      </c>
      <c r="J685" s="295"/>
      <c r="K685" s="170"/>
      <c r="L685" s="171"/>
      <c r="M685" s="50"/>
      <c r="N685" s="171"/>
      <c r="O685" s="202"/>
      <c r="P685" s="202"/>
      <c r="Q685" s="202"/>
      <c r="R685" s="162"/>
      <c r="S685" s="162"/>
    </row>
    <row r="686" spans="1:19">
      <c r="A686" s="294"/>
      <c r="B686" s="161"/>
      <c r="C686" s="162"/>
      <c r="D686" s="162"/>
      <c r="E686" s="162"/>
      <c r="F686" s="162"/>
      <c r="G686" s="163"/>
      <c r="I686" s="295" t="s">
        <v>784</v>
      </c>
      <c r="J686" s="295"/>
      <c r="K686" s="170"/>
      <c r="L686" s="171"/>
      <c r="M686" s="50"/>
      <c r="N686" s="171"/>
      <c r="O686" s="202"/>
      <c r="P686" s="202"/>
      <c r="Q686" s="202"/>
      <c r="R686" s="162"/>
      <c r="S686" s="162"/>
    </row>
    <row r="687" spans="1:19">
      <c r="A687" s="294"/>
      <c r="B687" s="164"/>
      <c r="C687" s="165"/>
      <c r="D687" s="165"/>
      <c r="E687" s="165"/>
      <c r="F687" s="165"/>
      <c r="G687" s="166"/>
      <c r="I687" s="295" t="s">
        <v>785</v>
      </c>
      <c r="J687" s="295"/>
      <c r="K687" s="170"/>
      <c r="L687" s="171"/>
      <c r="M687" s="50"/>
      <c r="N687" s="171"/>
      <c r="O687" s="202"/>
      <c r="P687" s="202"/>
      <c r="Q687" s="202"/>
      <c r="R687" s="162"/>
      <c r="S687" s="162"/>
    </row>
    <row r="688" spans="1:19">
      <c r="A688" s="294"/>
      <c r="B688" s="161"/>
      <c r="C688" s="162"/>
      <c r="D688" s="162"/>
      <c r="E688" s="162"/>
      <c r="F688" s="162"/>
      <c r="G688" s="163"/>
      <c r="I688" s="295" t="s">
        <v>786</v>
      </c>
      <c r="J688" s="295"/>
      <c r="K688" s="170"/>
      <c r="L688" s="171"/>
      <c r="M688" s="50"/>
      <c r="N688" s="171"/>
      <c r="O688" s="202"/>
      <c r="P688" s="202"/>
      <c r="Q688" s="202"/>
      <c r="R688" s="162"/>
      <c r="S688" s="162"/>
    </row>
    <row r="689" spans="1:19">
      <c r="A689" s="294"/>
      <c r="B689" s="164"/>
      <c r="C689" s="165"/>
      <c r="D689" s="165"/>
      <c r="E689" s="165"/>
      <c r="F689" s="165"/>
      <c r="G689" s="166"/>
      <c r="I689" s="295" t="s">
        <v>787</v>
      </c>
      <c r="J689" s="295"/>
      <c r="K689" s="170"/>
      <c r="L689" s="171"/>
      <c r="M689" s="50"/>
      <c r="N689" s="171"/>
      <c r="O689" s="202"/>
      <c r="P689" s="202"/>
      <c r="Q689" s="202"/>
      <c r="R689" s="162"/>
      <c r="S689" s="162"/>
    </row>
    <row r="690" spans="1:19">
      <c r="A690" s="294"/>
      <c r="B690" s="161"/>
      <c r="C690" s="162"/>
      <c r="D690" s="162"/>
      <c r="E690" s="162"/>
      <c r="F690" s="162"/>
      <c r="G690" s="163"/>
      <c r="I690" s="295" t="s">
        <v>788</v>
      </c>
      <c r="J690" s="295"/>
      <c r="K690" s="170"/>
      <c r="L690" s="171"/>
      <c r="M690" s="50"/>
      <c r="N690" s="171"/>
      <c r="O690" s="202"/>
      <c r="P690" s="202"/>
      <c r="Q690" s="202"/>
      <c r="R690" s="162"/>
      <c r="S690" s="162"/>
    </row>
    <row r="691" spans="1:19">
      <c r="A691" s="294"/>
      <c r="B691" s="164"/>
      <c r="C691" s="165"/>
      <c r="D691" s="165"/>
      <c r="E691" s="165"/>
      <c r="F691" s="165"/>
      <c r="G691" s="166"/>
      <c r="I691" s="295" t="s">
        <v>789</v>
      </c>
      <c r="J691" s="295"/>
      <c r="K691" s="170"/>
      <c r="L691" s="171"/>
      <c r="M691" s="50"/>
      <c r="N691" s="171"/>
      <c r="O691" s="202"/>
      <c r="P691" s="202"/>
      <c r="Q691" s="202"/>
      <c r="R691" s="162"/>
      <c r="S691" s="162"/>
    </row>
    <row r="692" spans="1:19">
      <c r="A692" s="63"/>
      <c r="B692" s="63"/>
      <c r="C692" s="63"/>
      <c r="D692" s="63"/>
      <c r="E692" s="63"/>
      <c r="F692" s="63"/>
      <c r="G692" s="63"/>
      <c r="I692" s="295" t="s">
        <v>790</v>
      </c>
      <c r="J692" s="295"/>
      <c r="K692" s="170"/>
      <c r="L692" s="171"/>
      <c r="M692" s="50"/>
      <c r="N692" s="171"/>
      <c r="O692" s="202"/>
      <c r="P692" s="202"/>
      <c r="Q692" s="202"/>
      <c r="R692" s="162"/>
      <c r="S692" s="162"/>
    </row>
    <row r="693" spans="1:19">
      <c r="A693" s="63"/>
      <c r="B693" s="63"/>
      <c r="C693" s="63"/>
      <c r="D693" s="63"/>
      <c r="E693" s="63"/>
      <c r="F693" s="63"/>
      <c r="G693" s="63"/>
      <c r="I693" s="295" t="s">
        <v>791</v>
      </c>
      <c r="J693" s="295"/>
      <c r="K693" s="170"/>
      <c r="L693" s="171"/>
      <c r="M693" s="50"/>
      <c r="N693" s="171"/>
      <c r="O693" s="202"/>
      <c r="P693" s="202"/>
      <c r="Q693" s="202"/>
      <c r="R693" s="162"/>
      <c r="S693" s="162"/>
    </row>
    <row r="694" spans="1:19">
      <c r="A694" s="63"/>
      <c r="B694" s="63"/>
      <c r="C694" s="63"/>
      <c r="D694" s="63"/>
      <c r="E694" s="63"/>
      <c r="F694" s="63"/>
      <c r="G694" s="63"/>
      <c r="I694" s="296" t="s">
        <v>792</v>
      </c>
      <c r="J694" s="296"/>
      <c r="K694" s="170"/>
      <c r="L694" s="171"/>
      <c r="M694" s="50"/>
      <c r="N694" s="171"/>
      <c r="O694" s="202"/>
      <c r="P694" s="202"/>
      <c r="Q694" s="202"/>
      <c r="R694" s="162"/>
      <c r="S694" s="162"/>
    </row>
    <row r="695" spans="1:19" ht="17.25" thickBot="1">
      <c r="A695" s="63"/>
      <c r="B695" s="63"/>
      <c r="C695" s="63"/>
      <c r="D695" s="63"/>
      <c r="E695" s="63"/>
      <c r="F695" s="63"/>
      <c r="G695" s="63"/>
      <c r="I695" s="297" t="s">
        <v>793</v>
      </c>
      <c r="J695" s="297"/>
      <c r="K695" s="172">
        <f t="shared" ref="K695:S695" si="259">SUM(K684:K694)</f>
        <v>0</v>
      </c>
      <c r="L695" s="205">
        <f t="shared" si="259"/>
        <v>0</v>
      </c>
      <c r="M695" s="205">
        <f t="shared" si="259"/>
        <v>0</v>
      </c>
      <c r="N695" s="205">
        <f t="shared" si="259"/>
        <v>0</v>
      </c>
      <c r="O695" s="174">
        <f t="shared" si="259"/>
        <v>0</v>
      </c>
      <c r="P695" s="174">
        <f t="shared" si="259"/>
        <v>0</v>
      </c>
      <c r="Q695" s="174">
        <f t="shared" si="259"/>
        <v>0</v>
      </c>
      <c r="R695" s="175">
        <f t="shared" si="259"/>
        <v>0</v>
      </c>
      <c r="S695" s="175">
        <f t="shared" si="259"/>
        <v>0</v>
      </c>
    </row>
    <row r="696" spans="1:19" ht="17.25" thickBot="1">
      <c r="A696" s="63"/>
      <c r="B696" s="63"/>
      <c r="C696" s="63"/>
      <c r="D696" s="63"/>
      <c r="E696" s="63"/>
      <c r="F696" s="63"/>
      <c r="G696" s="63"/>
      <c r="I696" s="298" t="s">
        <v>794</v>
      </c>
      <c r="J696" s="299"/>
      <c r="K696" s="176">
        <f t="shared" ref="K696" si="260">S675-K695</f>
        <v>0</v>
      </c>
      <c r="L696" s="177">
        <f t="shared" ref="L696" si="261">K695-L695</f>
        <v>0</v>
      </c>
      <c r="M696" s="177">
        <f t="shared" ref="M696" si="262">K695-M695</f>
        <v>0</v>
      </c>
      <c r="N696" s="177">
        <f t="shared" ref="N696" si="263">K695-N695</f>
        <v>0</v>
      </c>
      <c r="O696" s="178">
        <f t="shared" ref="O696" si="264">K695-O695</f>
        <v>0</v>
      </c>
      <c r="P696" s="178">
        <f t="shared" ref="P696" si="265">K695-P695</f>
        <v>0</v>
      </c>
      <c r="Q696" s="178">
        <f t="shared" ref="Q696" si="266">K695-Q695</f>
        <v>0</v>
      </c>
      <c r="R696" s="179">
        <f t="shared" ref="R696" si="267">K695-R695</f>
        <v>0</v>
      </c>
      <c r="S696" s="180">
        <f t="shared" ref="S696" si="268">L695-S695</f>
        <v>0</v>
      </c>
    </row>
    <row r="697" spans="1:19">
      <c r="A697" s="63"/>
      <c r="B697" s="63"/>
      <c r="C697" s="63"/>
      <c r="D697" s="63"/>
      <c r="E697" s="63"/>
      <c r="F697" s="63"/>
      <c r="G697" s="63"/>
      <c r="I697" s="300" t="s">
        <v>795</v>
      </c>
      <c r="J697" s="301"/>
      <c r="K697" s="181"/>
      <c r="L697" s="182"/>
      <c r="M697" s="182"/>
      <c r="N697" s="182"/>
      <c r="O697" s="183"/>
      <c r="P697" s="182"/>
      <c r="Q697" s="182"/>
      <c r="R697" s="182"/>
      <c r="S697" s="182"/>
    </row>
    <row r="698" spans="1:19">
      <c r="A698" s="63"/>
      <c r="B698" s="63"/>
      <c r="C698" s="63"/>
      <c r="D698" s="63"/>
      <c r="E698" s="63"/>
      <c r="F698" s="63"/>
      <c r="G698" s="63"/>
      <c r="I698" s="302" t="s">
        <v>796</v>
      </c>
      <c r="J698" s="302"/>
      <c r="K698" s="184"/>
      <c r="L698" s="203"/>
      <c r="M698" s="203"/>
      <c r="N698" s="203"/>
      <c r="O698" s="203"/>
      <c r="P698" s="203"/>
      <c r="Q698" s="203"/>
      <c r="R698" s="203"/>
      <c r="S698" s="203"/>
    </row>
    <row r="699" spans="1:19">
      <c r="A699" s="63"/>
      <c r="B699" s="63"/>
      <c r="C699" s="63"/>
      <c r="D699" s="63"/>
      <c r="E699" s="63"/>
      <c r="F699" s="63"/>
      <c r="G699" s="63"/>
      <c r="I699" s="302" t="s">
        <v>797</v>
      </c>
      <c r="J699" s="302"/>
      <c r="K699" s="184"/>
      <c r="L699" s="203"/>
      <c r="M699" s="203"/>
      <c r="N699" s="203"/>
      <c r="O699" s="203"/>
      <c r="P699" s="203"/>
      <c r="Q699" s="203"/>
      <c r="R699" s="203"/>
      <c r="S699" s="203"/>
    </row>
    <row r="700" spans="1:19">
      <c r="A700" s="63"/>
      <c r="B700" s="63"/>
      <c r="C700" s="63"/>
      <c r="D700" s="63"/>
      <c r="E700" s="63"/>
      <c r="F700" s="63"/>
      <c r="G700" s="63"/>
      <c r="I700" s="303" t="s">
        <v>798</v>
      </c>
      <c r="J700" s="303"/>
      <c r="K700" s="184"/>
      <c r="L700" s="185"/>
      <c r="M700" s="185"/>
      <c r="N700" s="185"/>
      <c r="O700" s="185"/>
      <c r="P700" s="204"/>
      <c r="Q700" s="204"/>
      <c r="R700" s="204"/>
      <c r="S700" s="204"/>
    </row>
    <row r="701" spans="1:19">
      <c r="A701" s="3" t="s">
        <v>801</v>
      </c>
      <c r="B701" s="201" t="s">
        <v>802</v>
      </c>
      <c r="C701" s="201" t="s">
        <v>803</v>
      </c>
      <c r="D701" s="201" t="s">
        <v>119</v>
      </c>
      <c r="E701" s="201" t="s">
        <v>148</v>
      </c>
      <c r="F701" s="201" t="s">
        <v>806</v>
      </c>
      <c r="G701" s="201" t="s">
        <v>81</v>
      </c>
      <c r="I701" s="187"/>
      <c r="J701" s="187"/>
      <c r="K701" s="187"/>
      <c r="L701" s="188"/>
      <c r="M701" s="188"/>
      <c r="N701" s="188"/>
      <c r="O701" s="188"/>
      <c r="P701" s="187"/>
      <c r="Q701" s="187"/>
      <c r="R701" s="187"/>
      <c r="S701" s="187"/>
    </row>
    <row r="702" spans="1:19">
      <c r="A702" s="293">
        <v>44074</v>
      </c>
      <c r="B702" s="161">
        <v>0.46458333333333335</v>
      </c>
      <c r="C702" s="162">
        <v>61</v>
      </c>
      <c r="D702" s="162">
        <v>15</v>
      </c>
      <c r="E702" s="162">
        <v>25</v>
      </c>
      <c r="F702" s="162">
        <v>10</v>
      </c>
      <c r="G702" s="163">
        <v>0.84919999999999995</v>
      </c>
      <c r="I702" s="191"/>
      <c r="J702" s="190"/>
      <c r="K702" s="190"/>
      <c r="L702" s="190"/>
      <c r="M702" s="190">
        <v>44074</v>
      </c>
      <c r="N702" s="189" t="s">
        <v>864</v>
      </c>
      <c r="O702" s="189"/>
      <c r="P702" s="189"/>
      <c r="Q702" s="189"/>
      <c r="R702" s="189"/>
      <c r="S702" s="189"/>
    </row>
    <row r="703" spans="1:19">
      <c r="A703" s="294"/>
      <c r="B703" s="164">
        <v>0.63124999999999998</v>
      </c>
      <c r="C703" s="165">
        <v>64</v>
      </c>
      <c r="D703" s="165">
        <v>39</v>
      </c>
      <c r="E703" s="165">
        <v>50</v>
      </c>
      <c r="F703" s="165">
        <v>11</v>
      </c>
      <c r="G703" s="166">
        <v>0.85399999999999998</v>
      </c>
      <c r="I703" s="304"/>
      <c r="J703" s="304"/>
      <c r="K703" s="167"/>
      <c r="L703" s="168">
        <v>0.46458333333333335</v>
      </c>
      <c r="M703" s="168">
        <v>0.63124999999999998</v>
      </c>
      <c r="N703" s="168">
        <v>0.79791666666666661</v>
      </c>
      <c r="O703" s="169">
        <v>0.96458333333333324</v>
      </c>
      <c r="P703" s="169">
        <v>0.13125000000000001</v>
      </c>
      <c r="Q703" s="169">
        <v>0.29791666666666666</v>
      </c>
      <c r="R703" s="161"/>
      <c r="S703" s="161"/>
    </row>
    <row r="704" spans="1:19">
      <c r="A704" s="294"/>
      <c r="B704" s="161">
        <v>0.79791666666666661</v>
      </c>
      <c r="C704" s="162">
        <v>76</v>
      </c>
      <c r="D704" s="162">
        <v>52</v>
      </c>
      <c r="E704" s="162">
        <v>60</v>
      </c>
      <c r="F704" s="162">
        <v>8</v>
      </c>
      <c r="G704" s="163">
        <v>0.87119999999999997</v>
      </c>
      <c r="I704" s="295" t="s">
        <v>782</v>
      </c>
      <c r="J704" s="296"/>
      <c r="K704" s="170"/>
      <c r="L704" s="171">
        <v>8</v>
      </c>
      <c r="M704" s="50">
        <v>5</v>
      </c>
      <c r="N704" s="171">
        <v>4</v>
      </c>
      <c r="O704" s="202">
        <v>7</v>
      </c>
      <c r="P704" s="202">
        <v>5</v>
      </c>
      <c r="Q704" s="202">
        <v>7</v>
      </c>
      <c r="R704" s="162"/>
      <c r="S704" s="162"/>
    </row>
    <row r="705" spans="1:19">
      <c r="A705" s="294"/>
      <c r="B705" s="164">
        <v>0.96458333333333324</v>
      </c>
      <c r="C705" s="165">
        <v>57</v>
      </c>
      <c r="D705" s="165">
        <v>71</v>
      </c>
      <c r="E705" s="165">
        <v>78</v>
      </c>
      <c r="F705" s="165">
        <v>7</v>
      </c>
      <c r="G705" s="166">
        <v>0.86050000000000004</v>
      </c>
      <c r="I705" s="295" t="s">
        <v>783</v>
      </c>
      <c r="J705" s="295"/>
      <c r="K705" s="170"/>
      <c r="L705" s="171">
        <v>2</v>
      </c>
      <c r="M705" s="50">
        <v>2</v>
      </c>
      <c r="N705" s="171">
        <v>2</v>
      </c>
      <c r="O705" s="202">
        <v>2</v>
      </c>
      <c r="P705" s="202">
        <v>2</v>
      </c>
      <c r="Q705" s="202">
        <v>1</v>
      </c>
      <c r="R705" s="162"/>
      <c r="S705" s="162"/>
    </row>
    <row r="706" spans="1:19">
      <c r="A706" s="294"/>
      <c r="B706" s="161">
        <v>0.13125000000000001</v>
      </c>
      <c r="C706" s="162">
        <v>67</v>
      </c>
      <c r="D706" s="162">
        <v>82</v>
      </c>
      <c r="E706" s="162">
        <v>84</v>
      </c>
      <c r="F706" s="162">
        <v>2</v>
      </c>
      <c r="G706" s="163">
        <v>0.86929999999999996</v>
      </c>
      <c r="I706" s="295" t="s">
        <v>784</v>
      </c>
      <c r="J706" s="295"/>
      <c r="K706" s="170"/>
      <c r="L706" s="171">
        <v>3</v>
      </c>
      <c r="M706" s="50">
        <v>3</v>
      </c>
      <c r="N706" s="171">
        <v>3</v>
      </c>
      <c r="O706" s="202">
        <v>3</v>
      </c>
      <c r="P706" s="202">
        <v>3</v>
      </c>
      <c r="Q706" s="202">
        <v>3</v>
      </c>
      <c r="R706" s="162"/>
      <c r="S706" s="162"/>
    </row>
    <row r="707" spans="1:19">
      <c r="A707" s="294"/>
      <c r="B707" s="164">
        <v>0.29791666666666666</v>
      </c>
      <c r="C707" s="165">
        <v>83</v>
      </c>
      <c r="D707" s="165">
        <v>95</v>
      </c>
      <c r="E707" s="165">
        <v>97</v>
      </c>
      <c r="F707" s="165">
        <v>2</v>
      </c>
      <c r="G707" s="166">
        <v>0.86170000000000002</v>
      </c>
      <c r="I707" s="295" t="s">
        <v>785</v>
      </c>
      <c r="J707" s="295"/>
      <c r="K707" s="170"/>
      <c r="L707" s="171">
        <v>6</v>
      </c>
      <c r="M707" s="50">
        <v>7</v>
      </c>
      <c r="N707" s="171">
        <v>5</v>
      </c>
      <c r="O707" s="202">
        <v>7</v>
      </c>
      <c r="P707" s="202">
        <v>7</v>
      </c>
      <c r="Q707" s="202">
        <v>7</v>
      </c>
      <c r="R707" s="162"/>
      <c r="S707" s="162"/>
    </row>
    <row r="708" spans="1:19">
      <c r="A708" s="294"/>
      <c r="B708" s="161"/>
      <c r="C708" s="162"/>
      <c r="D708" s="162"/>
      <c r="E708" s="162"/>
      <c r="F708" s="162"/>
      <c r="G708" s="163"/>
      <c r="I708" s="295" t="s">
        <v>786</v>
      </c>
      <c r="J708" s="295"/>
      <c r="K708" s="170"/>
      <c r="L708" s="171">
        <v>2</v>
      </c>
      <c r="M708" s="50">
        <v>4</v>
      </c>
      <c r="N708" s="171">
        <v>1</v>
      </c>
      <c r="O708" s="202">
        <v>1</v>
      </c>
      <c r="P708" s="202">
        <v>1</v>
      </c>
      <c r="Q708" s="202">
        <v>0</v>
      </c>
      <c r="R708" s="162"/>
      <c r="S708" s="162"/>
    </row>
    <row r="709" spans="1:19">
      <c r="A709" s="294"/>
      <c r="B709" s="164"/>
      <c r="C709" s="165"/>
      <c r="D709" s="165"/>
      <c r="E709" s="165"/>
      <c r="F709" s="165"/>
      <c r="G709" s="166"/>
      <c r="I709" s="295" t="s">
        <v>787</v>
      </c>
      <c r="J709" s="295"/>
      <c r="K709" s="170"/>
      <c r="L709" s="171">
        <v>9</v>
      </c>
      <c r="M709" s="50">
        <v>10</v>
      </c>
      <c r="N709" s="171">
        <v>6</v>
      </c>
      <c r="O709" s="202">
        <v>9</v>
      </c>
      <c r="P709" s="202">
        <v>6</v>
      </c>
      <c r="Q709" s="202">
        <v>11</v>
      </c>
      <c r="R709" s="162"/>
      <c r="S709" s="162"/>
    </row>
    <row r="710" spans="1:19">
      <c r="A710" s="294"/>
      <c r="B710" s="161"/>
      <c r="C710" s="162"/>
      <c r="D710" s="162"/>
      <c r="E710" s="162"/>
      <c r="F710" s="162"/>
      <c r="G710" s="163"/>
      <c r="I710" s="295" t="s">
        <v>788</v>
      </c>
      <c r="J710" s="295"/>
      <c r="K710" s="170"/>
      <c r="L710" s="171">
        <v>0</v>
      </c>
      <c r="M710" s="50">
        <v>0</v>
      </c>
      <c r="N710" s="171">
        <v>1</v>
      </c>
      <c r="O710" s="202">
        <v>0</v>
      </c>
      <c r="P710" s="202">
        <v>0</v>
      </c>
      <c r="Q710" s="202">
        <v>0</v>
      </c>
      <c r="R710" s="162"/>
      <c r="S710" s="162"/>
    </row>
    <row r="711" spans="1:19">
      <c r="A711" s="294"/>
      <c r="B711" s="164"/>
      <c r="C711" s="165"/>
      <c r="D711" s="165"/>
      <c r="E711" s="165"/>
      <c r="F711" s="165"/>
      <c r="G711" s="166"/>
      <c r="I711" s="295" t="s">
        <v>789</v>
      </c>
      <c r="J711" s="295"/>
      <c r="K711" s="170"/>
      <c r="L711" s="171">
        <v>5</v>
      </c>
      <c r="M711" s="50">
        <v>5</v>
      </c>
      <c r="N711" s="171">
        <v>4</v>
      </c>
      <c r="O711" s="202">
        <v>4</v>
      </c>
      <c r="P711" s="202">
        <v>5</v>
      </c>
      <c r="Q711" s="202">
        <v>4</v>
      </c>
      <c r="R711" s="162"/>
      <c r="S711" s="162"/>
    </row>
    <row r="712" spans="1:19">
      <c r="A712" s="63"/>
      <c r="B712" s="63"/>
      <c r="C712" s="63"/>
      <c r="D712" s="63"/>
      <c r="E712" s="63"/>
      <c r="F712" s="63"/>
      <c r="G712" s="63"/>
      <c r="I712" s="295" t="s">
        <v>790</v>
      </c>
      <c r="J712" s="295"/>
      <c r="K712" s="170"/>
      <c r="L712" s="171">
        <v>4</v>
      </c>
      <c r="M712" s="50">
        <v>3</v>
      </c>
      <c r="N712" s="171">
        <v>5</v>
      </c>
      <c r="O712" s="202">
        <v>4</v>
      </c>
      <c r="P712" s="202">
        <v>3</v>
      </c>
      <c r="Q712" s="202">
        <v>3</v>
      </c>
      <c r="R712" s="162"/>
      <c r="S712" s="162"/>
    </row>
    <row r="713" spans="1:19">
      <c r="A713" s="63"/>
      <c r="B713" s="63"/>
      <c r="C713" s="63"/>
      <c r="D713" s="63"/>
      <c r="E713" s="63"/>
      <c r="F713" s="63"/>
      <c r="G713" s="63"/>
      <c r="I713" s="295" t="s">
        <v>791</v>
      </c>
      <c r="J713" s="295"/>
      <c r="K713" s="170"/>
      <c r="L713" s="171">
        <v>32</v>
      </c>
      <c r="M713" s="50">
        <v>28</v>
      </c>
      <c r="N713" s="171">
        <v>25</v>
      </c>
      <c r="O713" s="202">
        <v>27</v>
      </c>
      <c r="P713" s="202">
        <v>23</v>
      </c>
      <c r="Q713" s="202">
        <v>25</v>
      </c>
      <c r="R713" s="162"/>
      <c r="S713" s="162"/>
    </row>
    <row r="714" spans="1:19">
      <c r="A714" s="63"/>
      <c r="B714" s="63"/>
      <c r="C714" s="63"/>
      <c r="D714" s="63"/>
      <c r="E714" s="63"/>
      <c r="F714" s="63"/>
      <c r="G714" s="63"/>
      <c r="I714" s="296" t="s">
        <v>792</v>
      </c>
      <c r="J714" s="296"/>
      <c r="K714" s="170"/>
      <c r="L714" s="171">
        <v>6</v>
      </c>
      <c r="M714" s="50">
        <v>3</v>
      </c>
      <c r="N714" s="171">
        <v>1</v>
      </c>
      <c r="O714" s="202">
        <v>2</v>
      </c>
      <c r="P714" s="202">
        <v>3</v>
      </c>
      <c r="Q714" s="202">
        <v>1</v>
      </c>
      <c r="R714" s="162"/>
      <c r="S714" s="162"/>
    </row>
    <row r="715" spans="1:19" ht="17.25" thickBot="1">
      <c r="A715" s="63"/>
      <c r="B715" s="63"/>
      <c r="C715" s="63"/>
      <c r="D715" s="63"/>
      <c r="E715" s="63"/>
      <c r="F715" s="63"/>
      <c r="G715" s="63"/>
      <c r="I715" s="297" t="s">
        <v>793</v>
      </c>
      <c r="J715" s="297"/>
      <c r="K715" s="172">
        <f t="shared" ref="K715:S715" si="269">SUM(K704:K714)</f>
        <v>0</v>
      </c>
      <c r="L715" s="205">
        <f t="shared" si="269"/>
        <v>77</v>
      </c>
      <c r="M715" s="205">
        <f t="shared" si="269"/>
        <v>70</v>
      </c>
      <c r="N715" s="205">
        <f t="shared" si="269"/>
        <v>57</v>
      </c>
      <c r="O715" s="174">
        <f t="shared" si="269"/>
        <v>66</v>
      </c>
      <c r="P715" s="174">
        <f t="shared" si="269"/>
        <v>58</v>
      </c>
      <c r="Q715" s="174">
        <f t="shared" si="269"/>
        <v>62</v>
      </c>
      <c r="R715" s="175">
        <f t="shared" si="269"/>
        <v>0</v>
      </c>
      <c r="S715" s="175">
        <f t="shared" si="269"/>
        <v>0</v>
      </c>
    </row>
    <row r="716" spans="1:19" ht="17.25" thickBot="1">
      <c r="A716" s="63"/>
      <c r="B716" s="63"/>
      <c r="C716" s="63"/>
      <c r="D716" s="63"/>
      <c r="E716" s="63"/>
      <c r="F716" s="63"/>
      <c r="G716" s="63"/>
      <c r="I716" s="298" t="s">
        <v>794</v>
      </c>
      <c r="J716" s="299"/>
      <c r="K716" s="176">
        <f t="shared" ref="K716" si="270">S695-K715</f>
        <v>0</v>
      </c>
      <c r="L716" s="177">
        <f t="shared" ref="L716" si="271">K715-L715</f>
        <v>-77</v>
      </c>
      <c r="M716" s="177">
        <f t="shared" ref="M716" si="272">K715-M715</f>
        <v>-70</v>
      </c>
      <c r="N716" s="177">
        <f t="shared" ref="N716" si="273">K715-N715</f>
        <v>-57</v>
      </c>
      <c r="O716" s="178">
        <f t="shared" ref="O716" si="274">K715-O715</f>
        <v>-66</v>
      </c>
      <c r="P716" s="178">
        <f t="shared" ref="P716" si="275">K715-P715</f>
        <v>-58</v>
      </c>
      <c r="Q716" s="178">
        <f t="shared" ref="Q716" si="276">K715-Q715</f>
        <v>-62</v>
      </c>
      <c r="R716" s="179">
        <f t="shared" ref="R716" si="277">K715-R715</f>
        <v>0</v>
      </c>
      <c r="S716" s="180">
        <f t="shared" ref="S716" si="278">L715-S715</f>
        <v>77</v>
      </c>
    </row>
    <row r="717" spans="1:19">
      <c r="A717" s="63"/>
      <c r="B717" s="63"/>
      <c r="C717" s="63"/>
      <c r="D717" s="63"/>
      <c r="E717" s="63"/>
      <c r="F717" s="63"/>
      <c r="G717" s="63"/>
      <c r="I717" s="300" t="s">
        <v>795</v>
      </c>
      <c r="J717" s="301"/>
      <c r="K717" s="181"/>
      <c r="L717" s="182">
        <v>218</v>
      </c>
      <c r="M717" s="182">
        <v>224</v>
      </c>
      <c r="N717" s="182">
        <v>229</v>
      </c>
      <c r="O717" s="183">
        <v>204</v>
      </c>
      <c r="P717" s="182">
        <v>220</v>
      </c>
      <c r="Q717" s="182">
        <v>230</v>
      </c>
      <c r="R717" s="182"/>
      <c r="S717" s="182"/>
    </row>
    <row r="718" spans="1:19">
      <c r="A718" s="63"/>
      <c r="B718" s="63"/>
      <c r="C718" s="63"/>
      <c r="D718" s="63"/>
      <c r="E718" s="63"/>
      <c r="F718" s="63"/>
      <c r="G718" s="63"/>
      <c r="I718" s="302" t="s">
        <v>796</v>
      </c>
      <c r="J718" s="302"/>
      <c r="K718" s="184"/>
      <c r="L718" s="203">
        <v>61</v>
      </c>
      <c r="M718" s="203">
        <v>67</v>
      </c>
      <c r="N718" s="203">
        <v>74</v>
      </c>
      <c r="O718" s="203">
        <v>58</v>
      </c>
      <c r="P718" s="203">
        <v>66</v>
      </c>
      <c r="Q718" s="203">
        <v>83</v>
      </c>
      <c r="R718" s="203"/>
      <c r="S718" s="203"/>
    </row>
    <row r="719" spans="1:19">
      <c r="A719" s="63"/>
      <c r="B719" s="63"/>
      <c r="C719" s="63"/>
      <c r="D719" s="63"/>
      <c r="E719" s="63"/>
      <c r="F719" s="63"/>
      <c r="G719" s="63"/>
      <c r="I719" s="302" t="s">
        <v>797</v>
      </c>
      <c r="J719" s="302"/>
      <c r="K719" s="184"/>
      <c r="L719" s="203">
        <v>157</v>
      </c>
      <c r="M719" s="203">
        <v>157</v>
      </c>
      <c r="N719" s="203">
        <v>155</v>
      </c>
      <c r="O719" s="203">
        <v>146</v>
      </c>
      <c r="P719" s="203">
        <v>154</v>
      </c>
      <c r="Q719" s="203">
        <v>147</v>
      </c>
      <c r="R719" s="203"/>
      <c r="S719" s="203"/>
    </row>
    <row r="720" spans="1:19">
      <c r="A720" s="63"/>
      <c r="B720" s="63"/>
      <c r="C720" s="63"/>
      <c r="D720" s="63"/>
      <c r="E720" s="63"/>
      <c r="F720" s="63"/>
      <c r="G720" s="63"/>
      <c r="I720" s="303" t="s">
        <v>798</v>
      </c>
      <c r="J720" s="303"/>
      <c r="K720" s="184"/>
      <c r="L720" s="185"/>
      <c r="M720" s="185"/>
      <c r="N720" s="185"/>
      <c r="O720" s="185"/>
      <c r="P720" s="204"/>
      <c r="Q720" s="204"/>
      <c r="R720" s="204"/>
      <c r="S720" s="204"/>
    </row>
    <row r="721" spans="1:19">
      <c r="A721" s="3" t="s">
        <v>801</v>
      </c>
      <c r="B721" s="201" t="s">
        <v>802</v>
      </c>
      <c r="C721" s="201" t="s">
        <v>803</v>
      </c>
      <c r="D721" s="201" t="s">
        <v>119</v>
      </c>
      <c r="E721" s="201" t="s">
        <v>148</v>
      </c>
      <c r="F721" s="201" t="s">
        <v>806</v>
      </c>
      <c r="G721" s="201" t="s">
        <v>81</v>
      </c>
      <c r="I721" s="187"/>
      <c r="J721" s="187"/>
      <c r="K721" s="187"/>
      <c r="L721" s="188"/>
      <c r="M721" s="188"/>
      <c r="N721" s="188"/>
      <c r="O721" s="188"/>
      <c r="P721" s="187"/>
      <c r="Q721" s="187"/>
      <c r="R721" s="187"/>
      <c r="S721" s="187"/>
    </row>
    <row r="722" spans="1:19">
      <c r="A722" s="293">
        <v>44075</v>
      </c>
      <c r="B722" s="161">
        <v>0.29791666666666666</v>
      </c>
      <c r="C722" s="162">
        <v>83</v>
      </c>
      <c r="D722" s="162">
        <v>95</v>
      </c>
      <c r="E722" s="162">
        <v>97</v>
      </c>
      <c r="F722" s="162">
        <v>2</v>
      </c>
      <c r="G722" s="163">
        <v>0.86170000000000002</v>
      </c>
      <c r="I722" s="191"/>
      <c r="J722" s="190"/>
      <c r="K722" s="190"/>
      <c r="L722" s="190"/>
      <c r="M722" s="190">
        <v>44075</v>
      </c>
      <c r="N722" s="189" t="s">
        <v>864</v>
      </c>
      <c r="O722" s="189"/>
      <c r="P722" s="189"/>
      <c r="Q722" s="189"/>
      <c r="R722" s="189"/>
      <c r="S722" s="189"/>
    </row>
    <row r="723" spans="1:19">
      <c r="A723" s="294"/>
      <c r="B723" s="164">
        <v>0.46458333333333335</v>
      </c>
      <c r="C723" s="165">
        <v>84</v>
      </c>
      <c r="D723" s="165">
        <v>16</v>
      </c>
      <c r="E723" s="165">
        <v>26</v>
      </c>
      <c r="F723" s="165">
        <v>10</v>
      </c>
      <c r="G723" s="166">
        <v>0.86450000000000005</v>
      </c>
      <c r="I723" s="304"/>
      <c r="J723" s="304"/>
      <c r="K723" s="167">
        <v>0.29791666666666666</v>
      </c>
      <c r="L723" s="168">
        <v>0.46458333333333335</v>
      </c>
      <c r="M723" s="168">
        <v>0.63124999999999998</v>
      </c>
      <c r="N723" s="168">
        <v>0.79791666666666661</v>
      </c>
      <c r="O723" s="169">
        <v>0.96458333333333324</v>
      </c>
      <c r="P723" s="169">
        <v>0.13125000000000001</v>
      </c>
      <c r="Q723" s="169">
        <v>0.29791666666666666</v>
      </c>
      <c r="R723" s="161"/>
      <c r="S723" s="161"/>
    </row>
    <row r="724" spans="1:19">
      <c r="A724" s="294"/>
      <c r="B724" s="161">
        <v>0.63124999999999998</v>
      </c>
      <c r="C724" s="162">
        <v>70</v>
      </c>
      <c r="D724" s="162">
        <v>30</v>
      </c>
      <c r="E724" s="162">
        <v>43</v>
      </c>
      <c r="F724" s="162">
        <v>13</v>
      </c>
      <c r="G724" s="163">
        <v>0.86629999999999996</v>
      </c>
      <c r="I724" s="295" t="s">
        <v>782</v>
      </c>
      <c r="J724" s="296"/>
      <c r="K724" s="170">
        <v>7</v>
      </c>
      <c r="L724" s="171">
        <v>8</v>
      </c>
      <c r="M724" s="50">
        <v>11</v>
      </c>
      <c r="N724" s="171">
        <v>14</v>
      </c>
      <c r="O724" s="202">
        <v>7</v>
      </c>
      <c r="P724" s="202">
        <v>12</v>
      </c>
      <c r="Q724" s="202">
        <v>11</v>
      </c>
      <c r="R724" s="162"/>
      <c r="S724" s="162"/>
    </row>
    <row r="725" spans="1:19">
      <c r="A725" s="294"/>
      <c r="B725" s="164">
        <v>0.79791666666666661</v>
      </c>
      <c r="C725" s="165">
        <v>48</v>
      </c>
      <c r="D725" s="165">
        <v>51</v>
      </c>
      <c r="E725" s="165">
        <v>55</v>
      </c>
      <c r="F725" s="165">
        <v>4</v>
      </c>
      <c r="G725" s="166">
        <v>0.84389999999999998</v>
      </c>
      <c r="I725" s="295" t="s">
        <v>783</v>
      </c>
      <c r="J725" s="295"/>
      <c r="K725" s="170">
        <v>1</v>
      </c>
      <c r="L725" s="171">
        <v>1</v>
      </c>
      <c r="M725" s="50">
        <v>2</v>
      </c>
      <c r="N725" s="171">
        <v>2</v>
      </c>
      <c r="O725" s="202">
        <v>2</v>
      </c>
      <c r="P725" s="202">
        <v>2</v>
      </c>
      <c r="Q725" s="202">
        <v>2</v>
      </c>
      <c r="R725" s="162"/>
      <c r="S725" s="162"/>
    </row>
    <row r="726" spans="1:19">
      <c r="A726" s="294"/>
      <c r="B726" s="161">
        <v>0.96458333333333324</v>
      </c>
      <c r="C726" s="162">
        <v>60</v>
      </c>
      <c r="D726" s="162">
        <v>62</v>
      </c>
      <c r="E726" s="162">
        <v>79</v>
      </c>
      <c r="F726" s="162">
        <v>17</v>
      </c>
      <c r="G726" s="163">
        <v>0.83489999999999998</v>
      </c>
      <c r="I726" s="295" t="s">
        <v>784</v>
      </c>
      <c r="J726" s="295"/>
      <c r="K726" s="170">
        <v>3</v>
      </c>
      <c r="L726" s="171">
        <v>3</v>
      </c>
      <c r="M726" s="50">
        <v>3</v>
      </c>
      <c r="N726" s="171">
        <v>4</v>
      </c>
      <c r="O726" s="202">
        <v>4</v>
      </c>
      <c r="P726" s="202">
        <v>3</v>
      </c>
      <c r="Q726" s="202">
        <v>3</v>
      </c>
      <c r="R726" s="162"/>
      <c r="S726" s="162"/>
    </row>
    <row r="727" spans="1:19">
      <c r="A727" s="294"/>
      <c r="B727" s="164">
        <v>0.13125000000000001</v>
      </c>
      <c r="C727" s="165">
        <v>61</v>
      </c>
      <c r="D727" s="165">
        <v>77</v>
      </c>
      <c r="E727" s="165">
        <v>88</v>
      </c>
      <c r="F727" s="165">
        <v>11</v>
      </c>
      <c r="G727" s="166">
        <v>0.83420000000000005</v>
      </c>
      <c r="I727" s="295" t="s">
        <v>785</v>
      </c>
      <c r="J727" s="295"/>
      <c r="K727" s="170">
        <v>7</v>
      </c>
      <c r="L727" s="171">
        <v>6</v>
      </c>
      <c r="M727" s="50">
        <v>4</v>
      </c>
      <c r="N727" s="171">
        <v>10</v>
      </c>
      <c r="O727" s="202">
        <v>11</v>
      </c>
      <c r="P727" s="202">
        <v>10</v>
      </c>
      <c r="Q727" s="202">
        <v>9</v>
      </c>
      <c r="R727" s="162"/>
      <c r="S727" s="162"/>
    </row>
    <row r="728" spans="1:19">
      <c r="A728" s="294"/>
      <c r="B728" s="161">
        <v>0.29791666666666666</v>
      </c>
      <c r="C728" s="162">
        <v>49</v>
      </c>
      <c r="D728" s="162">
        <v>94</v>
      </c>
      <c r="E728" s="162">
        <v>97</v>
      </c>
      <c r="F728" s="162">
        <v>3</v>
      </c>
      <c r="G728" s="163">
        <v>0.83379999999999999</v>
      </c>
      <c r="I728" s="295" t="s">
        <v>786</v>
      </c>
      <c r="J728" s="295"/>
      <c r="K728" s="170">
        <v>0</v>
      </c>
      <c r="L728" s="171">
        <v>0</v>
      </c>
      <c r="M728" s="50">
        <v>0</v>
      </c>
      <c r="N728" s="171">
        <v>0</v>
      </c>
      <c r="O728" s="202">
        <v>0</v>
      </c>
      <c r="P728" s="202">
        <v>0</v>
      </c>
      <c r="Q728" s="202">
        <v>0</v>
      </c>
      <c r="R728" s="162"/>
      <c r="S728" s="162"/>
    </row>
    <row r="729" spans="1:19">
      <c r="A729" s="294"/>
      <c r="B729" s="164"/>
      <c r="C729" s="165"/>
      <c r="D729" s="165"/>
      <c r="E729" s="165"/>
      <c r="F729" s="165"/>
      <c r="G729" s="166"/>
      <c r="I729" s="295" t="s">
        <v>787</v>
      </c>
      <c r="J729" s="295"/>
      <c r="K729" s="170">
        <v>11</v>
      </c>
      <c r="L729" s="171">
        <v>10</v>
      </c>
      <c r="M729" s="50">
        <v>9</v>
      </c>
      <c r="N729" s="171">
        <v>13</v>
      </c>
      <c r="O729" s="202">
        <v>22</v>
      </c>
      <c r="P729" s="202">
        <v>16</v>
      </c>
      <c r="Q729" s="202">
        <v>22</v>
      </c>
      <c r="R729" s="162"/>
      <c r="S729" s="162"/>
    </row>
    <row r="730" spans="1:19">
      <c r="A730" s="294"/>
      <c r="B730" s="161"/>
      <c r="C730" s="162"/>
      <c r="D730" s="162"/>
      <c r="E730" s="162"/>
      <c r="F730" s="162"/>
      <c r="G730" s="163"/>
      <c r="I730" s="295" t="s">
        <v>788</v>
      </c>
      <c r="J730" s="295"/>
      <c r="K730" s="170">
        <v>0</v>
      </c>
      <c r="L730" s="171">
        <v>0</v>
      </c>
      <c r="M730" s="50">
        <v>0</v>
      </c>
      <c r="N730" s="171">
        <v>1</v>
      </c>
      <c r="O730" s="202">
        <v>2</v>
      </c>
      <c r="P730" s="202">
        <v>2</v>
      </c>
      <c r="Q730" s="202">
        <v>2</v>
      </c>
      <c r="R730" s="162"/>
      <c r="S730" s="162"/>
    </row>
    <row r="731" spans="1:19">
      <c r="A731" s="294"/>
      <c r="B731" s="164"/>
      <c r="C731" s="165"/>
      <c r="D731" s="165"/>
      <c r="E731" s="165"/>
      <c r="F731" s="165"/>
      <c r="G731" s="166"/>
      <c r="I731" s="295" t="s">
        <v>789</v>
      </c>
      <c r="J731" s="295"/>
      <c r="K731" s="170">
        <v>4</v>
      </c>
      <c r="L731" s="171">
        <v>5</v>
      </c>
      <c r="M731" s="50">
        <v>8</v>
      </c>
      <c r="N731" s="171">
        <v>8</v>
      </c>
      <c r="O731" s="202">
        <v>7</v>
      </c>
      <c r="P731" s="202">
        <v>11</v>
      </c>
      <c r="Q731" s="202">
        <v>8</v>
      </c>
      <c r="R731" s="162"/>
      <c r="S731" s="162"/>
    </row>
    <row r="732" spans="1:19">
      <c r="A732" s="63"/>
      <c r="B732" s="63"/>
      <c r="C732" s="63"/>
      <c r="D732" s="63"/>
      <c r="E732" s="63"/>
      <c r="F732" s="63"/>
      <c r="G732" s="63"/>
      <c r="I732" s="295" t="s">
        <v>790</v>
      </c>
      <c r="J732" s="295"/>
      <c r="K732" s="170">
        <v>3</v>
      </c>
      <c r="L732" s="171">
        <v>3</v>
      </c>
      <c r="M732" s="50">
        <v>2</v>
      </c>
      <c r="N732" s="171">
        <v>3</v>
      </c>
      <c r="O732" s="202">
        <v>3</v>
      </c>
      <c r="P732" s="202">
        <v>2</v>
      </c>
      <c r="Q732" s="202">
        <v>3</v>
      </c>
      <c r="R732" s="162"/>
      <c r="S732" s="162"/>
    </row>
    <row r="733" spans="1:19">
      <c r="A733" s="63"/>
      <c r="B733" s="63"/>
      <c r="C733" s="63"/>
      <c r="D733" s="63"/>
      <c r="E733" s="63"/>
      <c r="F733" s="63"/>
      <c r="G733" s="63"/>
      <c r="I733" s="295" t="s">
        <v>791</v>
      </c>
      <c r="J733" s="295"/>
      <c r="K733" s="170">
        <v>25</v>
      </c>
      <c r="L733" s="171">
        <v>26</v>
      </c>
      <c r="M733" s="50">
        <v>22</v>
      </c>
      <c r="N733" s="171">
        <v>20</v>
      </c>
      <c r="O733" s="202">
        <v>21</v>
      </c>
      <c r="P733" s="202">
        <v>22</v>
      </c>
      <c r="Q733" s="202">
        <v>23</v>
      </c>
      <c r="R733" s="162"/>
      <c r="S733" s="162"/>
    </row>
    <row r="734" spans="1:19">
      <c r="A734" s="63"/>
      <c r="B734" s="63"/>
      <c r="C734" s="63"/>
      <c r="D734" s="63"/>
      <c r="E734" s="63"/>
      <c r="F734" s="63"/>
      <c r="G734" s="63"/>
      <c r="I734" s="296" t="s">
        <v>792</v>
      </c>
      <c r="J734" s="296"/>
      <c r="K734" s="170">
        <v>1</v>
      </c>
      <c r="L734" s="171">
        <v>2</v>
      </c>
      <c r="M734" s="50">
        <v>3</v>
      </c>
      <c r="N734" s="171">
        <v>3</v>
      </c>
      <c r="O734" s="202">
        <v>6</v>
      </c>
      <c r="P734" s="202">
        <v>6</v>
      </c>
      <c r="Q734" s="202">
        <v>6</v>
      </c>
      <c r="R734" s="162"/>
      <c r="S734" s="162"/>
    </row>
    <row r="735" spans="1:19" ht="17.25" thickBot="1">
      <c r="A735" s="63"/>
      <c r="B735" s="63"/>
      <c r="C735" s="63"/>
      <c r="D735" s="63"/>
      <c r="E735" s="63"/>
      <c r="F735" s="63"/>
      <c r="G735" s="63"/>
      <c r="I735" s="297" t="s">
        <v>793</v>
      </c>
      <c r="J735" s="297"/>
      <c r="K735" s="172">
        <f t="shared" ref="K735:S735" si="279">SUM(K724:K734)</f>
        <v>62</v>
      </c>
      <c r="L735" s="205">
        <f t="shared" si="279"/>
        <v>64</v>
      </c>
      <c r="M735" s="205">
        <f t="shared" si="279"/>
        <v>64</v>
      </c>
      <c r="N735" s="205">
        <f t="shared" si="279"/>
        <v>78</v>
      </c>
      <c r="O735" s="174">
        <f t="shared" si="279"/>
        <v>85</v>
      </c>
      <c r="P735" s="174">
        <f t="shared" si="279"/>
        <v>86</v>
      </c>
      <c r="Q735" s="174">
        <f t="shared" si="279"/>
        <v>89</v>
      </c>
      <c r="R735" s="175">
        <f t="shared" si="279"/>
        <v>0</v>
      </c>
      <c r="S735" s="175">
        <f t="shared" si="279"/>
        <v>0</v>
      </c>
    </row>
    <row r="736" spans="1:19" ht="17.25" thickBot="1">
      <c r="A736" s="63"/>
      <c r="B736" s="63"/>
      <c r="C736" s="63"/>
      <c r="D736" s="63"/>
      <c r="E736" s="63"/>
      <c r="F736" s="63"/>
      <c r="G736" s="63"/>
      <c r="I736" s="298" t="s">
        <v>794</v>
      </c>
      <c r="J736" s="299"/>
      <c r="K736" s="176">
        <f t="shared" ref="K736" si="280">S715-K735</f>
        <v>-62</v>
      </c>
      <c r="L736" s="177">
        <f t="shared" ref="L736" si="281">K735-L735</f>
        <v>-2</v>
      </c>
      <c r="M736" s="177">
        <f t="shared" ref="M736" si="282">K735-M735</f>
        <v>-2</v>
      </c>
      <c r="N736" s="177">
        <f t="shared" ref="N736" si="283">K735-N735</f>
        <v>-16</v>
      </c>
      <c r="O736" s="178">
        <f t="shared" ref="O736" si="284">K735-O735</f>
        <v>-23</v>
      </c>
      <c r="P736" s="178">
        <f t="shared" ref="P736" si="285">K735-P735</f>
        <v>-24</v>
      </c>
      <c r="Q736" s="178">
        <f t="shared" ref="Q736" si="286">K735-Q735</f>
        <v>-27</v>
      </c>
      <c r="R736" s="179">
        <f t="shared" ref="R736" si="287">K735-R735</f>
        <v>62</v>
      </c>
      <c r="S736" s="180">
        <f t="shared" ref="S736" si="288">L735-S735</f>
        <v>64</v>
      </c>
    </row>
    <row r="737" spans="1:19">
      <c r="A737" s="63"/>
      <c r="B737" s="63"/>
      <c r="C737" s="63"/>
      <c r="D737" s="63"/>
      <c r="E737" s="63"/>
      <c r="F737" s="63"/>
      <c r="G737" s="63"/>
      <c r="I737" s="300" t="s">
        <v>795</v>
      </c>
      <c r="J737" s="301"/>
      <c r="K737" s="181">
        <v>230</v>
      </c>
      <c r="L737" s="182">
        <v>240</v>
      </c>
      <c r="M737" s="182">
        <v>228</v>
      </c>
      <c r="N737" s="182">
        <v>198</v>
      </c>
      <c r="O737" s="183">
        <v>223</v>
      </c>
      <c r="P737" s="182">
        <v>212</v>
      </c>
      <c r="Q737" s="182">
        <v>199</v>
      </c>
      <c r="R737" s="182"/>
      <c r="S737" s="182"/>
    </row>
    <row r="738" spans="1:19">
      <c r="A738" s="63"/>
      <c r="B738" s="63"/>
      <c r="C738" s="63"/>
      <c r="D738" s="63"/>
      <c r="E738" s="63"/>
      <c r="F738" s="63"/>
      <c r="G738" s="63"/>
      <c r="I738" s="302" t="s">
        <v>796</v>
      </c>
      <c r="J738" s="302"/>
      <c r="K738" s="184">
        <v>83</v>
      </c>
      <c r="L738" s="203">
        <v>85</v>
      </c>
      <c r="M738" s="203">
        <v>70</v>
      </c>
      <c r="N738" s="203">
        <v>49</v>
      </c>
      <c r="O738" s="203">
        <v>59</v>
      </c>
      <c r="P738" s="203">
        <v>56</v>
      </c>
      <c r="Q738" s="203">
        <v>50</v>
      </c>
      <c r="R738" s="203"/>
      <c r="S738" s="203"/>
    </row>
    <row r="739" spans="1:19">
      <c r="A739" s="63"/>
      <c r="B739" s="63"/>
      <c r="C739" s="63"/>
      <c r="D739" s="63"/>
      <c r="E739" s="63"/>
      <c r="F739" s="63"/>
      <c r="G739" s="63"/>
      <c r="I739" s="302" t="s">
        <v>797</v>
      </c>
      <c r="J739" s="302"/>
      <c r="K739" s="184">
        <v>147</v>
      </c>
      <c r="L739" s="203">
        <v>155</v>
      </c>
      <c r="M739" s="203">
        <v>158</v>
      </c>
      <c r="N739" s="203">
        <v>149</v>
      </c>
      <c r="O739" s="203">
        <v>164</v>
      </c>
      <c r="P739" s="203">
        <v>156</v>
      </c>
      <c r="Q739" s="203">
        <v>149</v>
      </c>
      <c r="R739" s="203"/>
      <c r="S739" s="203"/>
    </row>
    <row r="740" spans="1:19">
      <c r="A740" s="63"/>
      <c r="B740" s="63"/>
      <c r="C740" s="63"/>
      <c r="D740" s="63"/>
      <c r="E740" s="63"/>
      <c r="F740" s="63"/>
      <c r="G740" s="63"/>
      <c r="I740" s="303" t="s">
        <v>798</v>
      </c>
      <c r="J740" s="303"/>
      <c r="K740" s="184"/>
      <c r="L740" s="185"/>
      <c r="M740" s="185"/>
      <c r="N740" s="185"/>
      <c r="O740" s="185"/>
      <c r="P740" s="204"/>
      <c r="Q740" s="204"/>
      <c r="R740" s="204"/>
      <c r="S740" s="204"/>
    </row>
    <row r="741" spans="1:19">
      <c r="A741" s="3" t="s">
        <v>801</v>
      </c>
      <c r="B741" s="201" t="s">
        <v>802</v>
      </c>
      <c r="C741" s="201" t="s">
        <v>803</v>
      </c>
      <c r="D741" s="201" t="s">
        <v>119</v>
      </c>
      <c r="E741" s="201" t="s">
        <v>148</v>
      </c>
      <c r="F741" s="201" t="s">
        <v>806</v>
      </c>
      <c r="G741" s="201" t="s">
        <v>81</v>
      </c>
      <c r="I741" s="187"/>
      <c r="J741" s="187"/>
      <c r="K741" s="187"/>
      <c r="L741" s="188"/>
      <c r="M741" s="188"/>
      <c r="N741" s="188"/>
      <c r="O741" s="188"/>
      <c r="P741" s="187"/>
      <c r="Q741" s="187"/>
      <c r="R741" s="187"/>
      <c r="S741" s="187"/>
    </row>
    <row r="742" spans="1:19">
      <c r="A742" s="293">
        <v>44076</v>
      </c>
      <c r="B742" s="161">
        <v>0.29791666666666666</v>
      </c>
      <c r="C742" s="162">
        <v>49</v>
      </c>
      <c r="D742" s="162">
        <v>94</v>
      </c>
      <c r="E742" s="162">
        <v>97</v>
      </c>
      <c r="F742" s="162">
        <v>3</v>
      </c>
      <c r="G742" s="163">
        <v>0.83379999999999999</v>
      </c>
      <c r="I742" s="191"/>
      <c r="J742" s="190"/>
      <c r="K742" s="190"/>
      <c r="L742" s="190"/>
      <c r="M742" s="190">
        <v>44076</v>
      </c>
      <c r="N742" s="189" t="s">
        <v>864</v>
      </c>
      <c r="O742" s="189"/>
      <c r="P742" s="189"/>
      <c r="Q742" s="189"/>
      <c r="R742" s="189"/>
      <c r="S742" s="189"/>
    </row>
    <row r="743" spans="1:19">
      <c r="A743" s="294"/>
      <c r="B743" s="164">
        <v>0.46458333333333335</v>
      </c>
      <c r="C743" s="165">
        <v>43</v>
      </c>
      <c r="D743" s="165">
        <v>14</v>
      </c>
      <c r="E743" s="165">
        <v>14</v>
      </c>
      <c r="F743" s="165">
        <v>0</v>
      </c>
      <c r="G743" s="166">
        <v>0.83879999999999999</v>
      </c>
      <c r="I743" s="304"/>
      <c r="J743" s="304"/>
      <c r="K743" s="167">
        <v>0.29791666666666666</v>
      </c>
      <c r="L743" s="168">
        <v>0.46458333333333335</v>
      </c>
      <c r="M743" s="168"/>
      <c r="N743" s="168"/>
      <c r="O743" s="169"/>
      <c r="P743" s="169"/>
      <c r="Q743" s="169"/>
      <c r="R743" s="161"/>
      <c r="S743" s="161"/>
    </row>
    <row r="744" spans="1:19">
      <c r="A744" s="294"/>
      <c r="B744" s="161"/>
      <c r="C744" s="162"/>
      <c r="D744" s="162"/>
      <c r="E744" s="162"/>
      <c r="F744" s="162"/>
      <c r="G744" s="163"/>
      <c r="I744" s="295" t="s">
        <v>782</v>
      </c>
      <c r="J744" s="296"/>
      <c r="K744" s="170">
        <v>11</v>
      </c>
      <c r="L744" s="171">
        <v>8</v>
      </c>
      <c r="M744" s="50"/>
      <c r="N744" s="171"/>
      <c r="O744" s="202"/>
      <c r="P744" s="202"/>
      <c r="Q744" s="202"/>
      <c r="R744" s="162"/>
      <c r="S744" s="162"/>
    </row>
    <row r="745" spans="1:19">
      <c r="A745" s="294"/>
      <c r="B745" s="164"/>
      <c r="C745" s="165"/>
      <c r="D745" s="165"/>
      <c r="E745" s="165"/>
      <c r="F745" s="165"/>
      <c r="G745" s="166"/>
      <c r="I745" s="295" t="s">
        <v>783</v>
      </c>
      <c r="J745" s="295"/>
      <c r="K745" s="170">
        <v>2</v>
      </c>
      <c r="L745" s="171">
        <v>2</v>
      </c>
      <c r="M745" s="50"/>
      <c r="N745" s="171"/>
      <c r="O745" s="202"/>
      <c r="P745" s="202"/>
      <c r="Q745" s="202"/>
      <c r="R745" s="162"/>
      <c r="S745" s="162"/>
    </row>
    <row r="746" spans="1:19">
      <c r="A746" s="294"/>
      <c r="B746" s="161"/>
      <c r="C746" s="162"/>
      <c r="D746" s="162"/>
      <c r="E746" s="162"/>
      <c r="F746" s="162"/>
      <c r="G746" s="163"/>
      <c r="I746" s="295" t="s">
        <v>784</v>
      </c>
      <c r="J746" s="295"/>
      <c r="K746" s="170">
        <v>3</v>
      </c>
      <c r="L746" s="171">
        <v>3</v>
      </c>
      <c r="M746" s="50"/>
      <c r="N746" s="171"/>
      <c r="O746" s="202"/>
      <c r="P746" s="202"/>
      <c r="Q746" s="202"/>
      <c r="R746" s="162"/>
      <c r="S746" s="162"/>
    </row>
    <row r="747" spans="1:19">
      <c r="A747" s="294"/>
      <c r="B747" s="164"/>
      <c r="C747" s="165"/>
      <c r="D747" s="165"/>
      <c r="E747" s="165"/>
      <c r="F747" s="165"/>
      <c r="G747" s="166"/>
      <c r="I747" s="295" t="s">
        <v>785</v>
      </c>
      <c r="J747" s="295"/>
      <c r="K747" s="170">
        <v>9</v>
      </c>
      <c r="L747" s="171">
        <v>6</v>
      </c>
      <c r="M747" s="50"/>
      <c r="N747" s="171"/>
      <c r="O747" s="202"/>
      <c r="P747" s="202"/>
      <c r="Q747" s="202"/>
      <c r="R747" s="162"/>
      <c r="S747" s="162"/>
    </row>
    <row r="748" spans="1:19">
      <c r="A748" s="294"/>
      <c r="B748" s="161"/>
      <c r="C748" s="162"/>
      <c r="D748" s="162"/>
      <c r="E748" s="162"/>
      <c r="F748" s="162"/>
      <c r="G748" s="163"/>
      <c r="I748" s="295" t="s">
        <v>786</v>
      </c>
      <c r="J748" s="295"/>
      <c r="K748" s="170">
        <v>0</v>
      </c>
      <c r="L748" s="171">
        <v>0</v>
      </c>
      <c r="M748" s="50"/>
      <c r="N748" s="171"/>
      <c r="O748" s="202"/>
      <c r="P748" s="202"/>
      <c r="Q748" s="202"/>
      <c r="R748" s="162"/>
      <c r="S748" s="162"/>
    </row>
    <row r="749" spans="1:19">
      <c r="A749" s="294"/>
      <c r="B749" s="164"/>
      <c r="C749" s="165"/>
      <c r="D749" s="165"/>
      <c r="E749" s="165"/>
      <c r="F749" s="165"/>
      <c r="G749" s="166"/>
      <c r="I749" s="295" t="s">
        <v>787</v>
      </c>
      <c r="J749" s="295"/>
      <c r="K749" s="170">
        <v>22</v>
      </c>
      <c r="L749" s="171">
        <v>17</v>
      </c>
      <c r="M749" s="50"/>
      <c r="N749" s="171"/>
      <c r="O749" s="202"/>
      <c r="P749" s="202"/>
      <c r="Q749" s="202"/>
      <c r="R749" s="162"/>
      <c r="S749" s="162"/>
    </row>
    <row r="750" spans="1:19">
      <c r="A750" s="294"/>
      <c r="B750" s="161"/>
      <c r="C750" s="162"/>
      <c r="D750" s="162"/>
      <c r="E750" s="162"/>
      <c r="F750" s="162"/>
      <c r="G750" s="163"/>
      <c r="I750" s="295" t="s">
        <v>788</v>
      </c>
      <c r="J750" s="295"/>
      <c r="K750" s="170">
        <v>2</v>
      </c>
      <c r="L750" s="171">
        <v>0</v>
      </c>
      <c r="M750" s="50"/>
      <c r="N750" s="171"/>
      <c r="O750" s="202"/>
      <c r="P750" s="202"/>
      <c r="Q750" s="202"/>
      <c r="R750" s="162"/>
      <c r="S750" s="162"/>
    </row>
    <row r="751" spans="1:19">
      <c r="A751" s="294"/>
      <c r="B751" s="164"/>
      <c r="C751" s="165"/>
      <c r="D751" s="165"/>
      <c r="E751" s="165"/>
      <c r="F751" s="165"/>
      <c r="G751" s="166"/>
      <c r="I751" s="295" t="s">
        <v>789</v>
      </c>
      <c r="J751" s="295"/>
      <c r="K751" s="170">
        <v>8</v>
      </c>
      <c r="L751" s="171">
        <v>12</v>
      </c>
      <c r="M751" s="50"/>
      <c r="N751" s="171"/>
      <c r="O751" s="202"/>
      <c r="P751" s="202"/>
      <c r="Q751" s="202"/>
      <c r="R751" s="162"/>
      <c r="S751" s="162"/>
    </row>
    <row r="752" spans="1:19">
      <c r="A752" s="63"/>
      <c r="B752" s="63"/>
      <c r="C752" s="63"/>
      <c r="D752" s="63"/>
      <c r="E752" s="63"/>
      <c r="F752" s="63"/>
      <c r="G752" s="63"/>
      <c r="I752" s="295" t="s">
        <v>790</v>
      </c>
      <c r="J752" s="295"/>
      <c r="K752" s="170">
        <v>3</v>
      </c>
      <c r="L752" s="171">
        <v>5</v>
      </c>
      <c r="M752" s="50"/>
      <c r="N752" s="171"/>
      <c r="O752" s="202"/>
      <c r="P752" s="202"/>
      <c r="Q752" s="202"/>
      <c r="R752" s="162"/>
      <c r="S752" s="162"/>
    </row>
    <row r="753" spans="1:19">
      <c r="A753" s="63"/>
      <c r="B753" s="63"/>
      <c r="C753" s="63"/>
      <c r="D753" s="63"/>
      <c r="E753" s="63"/>
      <c r="F753" s="63"/>
      <c r="G753" s="63"/>
      <c r="I753" s="295" t="s">
        <v>791</v>
      </c>
      <c r="J753" s="295"/>
      <c r="K753" s="170">
        <v>23</v>
      </c>
      <c r="L753" s="171">
        <v>28</v>
      </c>
      <c r="M753" s="50"/>
      <c r="N753" s="171"/>
      <c r="O753" s="202"/>
      <c r="P753" s="202"/>
      <c r="Q753" s="202"/>
      <c r="R753" s="162"/>
      <c r="S753" s="162"/>
    </row>
    <row r="754" spans="1:19">
      <c r="A754" s="63"/>
      <c r="B754" s="63"/>
      <c r="C754" s="63"/>
      <c r="D754" s="63"/>
      <c r="E754" s="63"/>
      <c r="F754" s="63"/>
      <c r="G754" s="63"/>
      <c r="I754" s="296" t="s">
        <v>792</v>
      </c>
      <c r="J754" s="296"/>
      <c r="K754" s="170">
        <v>6</v>
      </c>
      <c r="L754" s="171">
        <v>6</v>
      </c>
      <c r="M754" s="50"/>
      <c r="N754" s="171"/>
      <c r="O754" s="202"/>
      <c r="P754" s="202"/>
      <c r="Q754" s="202"/>
      <c r="R754" s="162"/>
      <c r="S754" s="162"/>
    </row>
    <row r="755" spans="1:19" ht="17.25" thickBot="1">
      <c r="A755" s="63"/>
      <c r="B755" s="63"/>
      <c r="C755" s="63"/>
      <c r="D755" s="63"/>
      <c r="E755" s="63"/>
      <c r="F755" s="63"/>
      <c r="G755" s="63"/>
      <c r="I755" s="297" t="s">
        <v>793</v>
      </c>
      <c r="J755" s="297"/>
      <c r="K755" s="172">
        <f t="shared" ref="K755:S755" si="289">SUM(K744:K754)</f>
        <v>89</v>
      </c>
      <c r="L755" s="205">
        <f t="shared" si="289"/>
        <v>87</v>
      </c>
      <c r="M755" s="205">
        <f t="shared" si="289"/>
        <v>0</v>
      </c>
      <c r="N755" s="205">
        <f t="shared" si="289"/>
        <v>0</v>
      </c>
      <c r="O755" s="174">
        <f t="shared" si="289"/>
        <v>0</v>
      </c>
      <c r="P755" s="174">
        <f t="shared" si="289"/>
        <v>0</v>
      </c>
      <c r="Q755" s="174">
        <f t="shared" si="289"/>
        <v>0</v>
      </c>
      <c r="R755" s="175">
        <f t="shared" si="289"/>
        <v>0</v>
      </c>
      <c r="S755" s="175">
        <f t="shared" si="289"/>
        <v>0</v>
      </c>
    </row>
    <row r="756" spans="1:19" ht="17.25" thickBot="1">
      <c r="A756" s="63"/>
      <c r="B756" s="63"/>
      <c r="C756" s="63"/>
      <c r="D756" s="63"/>
      <c r="E756" s="63"/>
      <c r="F756" s="63"/>
      <c r="G756" s="63"/>
      <c r="I756" s="298" t="s">
        <v>794</v>
      </c>
      <c r="J756" s="299"/>
      <c r="K756" s="176">
        <f t="shared" ref="K756" si="290">S735-K755</f>
        <v>-89</v>
      </c>
      <c r="L756" s="177">
        <f t="shared" ref="L756" si="291">K755-L755</f>
        <v>2</v>
      </c>
      <c r="M756" s="177">
        <f t="shared" ref="M756" si="292">K755-M755</f>
        <v>89</v>
      </c>
      <c r="N756" s="177">
        <f t="shared" ref="N756" si="293">K755-N755</f>
        <v>89</v>
      </c>
      <c r="O756" s="178">
        <f t="shared" ref="O756" si="294">K755-O755</f>
        <v>89</v>
      </c>
      <c r="P756" s="178">
        <f t="shared" ref="P756" si="295">K755-P755</f>
        <v>89</v>
      </c>
      <c r="Q756" s="178">
        <f t="shared" ref="Q756" si="296">K755-Q755</f>
        <v>89</v>
      </c>
      <c r="R756" s="179">
        <f t="shared" ref="R756" si="297">K755-R755</f>
        <v>89</v>
      </c>
      <c r="S756" s="180">
        <f t="shared" ref="S756" si="298">L755-S755</f>
        <v>87</v>
      </c>
    </row>
    <row r="757" spans="1:19">
      <c r="A757" s="63"/>
      <c r="B757" s="63"/>
      <c r="C757" s="63"/>
      <c r="D757" s="63"/>
      <c r="E757" s="63"/>
      <c r="F757" s="63"/>
      <c r="G757" s="63"/>
      <c r="I757" s="300" t="s">
        <v>795</v>
      </c>
      <c r="J757" s="301"/>
      <c r="K757" s="181">
        <v>199</v>
      </c>
      <c r="L757" s="182">
        <v>194</v>
      </c>
      <c r="M757" s="182"/>
      <c r="N757" s="182"/>
      <c r="O757" s="183"/>
      <c r="P757" s="182"/>
      <c r="Q757" s="182"/>
      <c r="R757" s="182"/>
      <c r="S757" s="182"/>
    </row>
    <row r="758" spans="1:19">
      <c r="A758" s="63"/>
      <c r="B758" s="63"/>
      <c r="C758" s="63"/>
      <c r="D758" s="63"/>
      <c r="E758" s="63"/>
      <c r="F758" s="63"/>
      <c r="G758" s="63"/>
      <c r="I758" s="302" t="s">
        <v>796</v>
      </c>
      <c r="J758" s="302"/>
      <c r="K758" s="184">
        <v>50</v>
      </c>
      <c r="L758" s="203">
        <v>40</v>
      </c>
      <c r="M758" s="203"/>
      <c r="N758" s="203"/>
      <c r="O758" s="203"/>
      <c r="P758" s="203"/>
      <c r="Q758" s="203"/>
      <c r="R758" s="203"/>
      <c r="S758" s="203"/>
    </row>
    <row r="759" spans="1:19">
      <c r="A759" s="63"/>
      <c r="B759" s="63"/>
      <c r="C759" s="63"/>
      <c r="D759" s="63"/>
      <c r="E759" s="63"/>
      <c r="F759" s="63"/>
      <c r="G759" s="63"/>
      <c r="I759" s="302" t="s">
        <v>797</v>
      </c>
      <c r="J759" s="302"/>
      <c r="K759" s="184">
        <v>149</v>
      </c>
      <c r="L759" s="203">
        <v>154</v>
      </c>
      <c r="M759" s="203"/>
      <c r="N759" s="203"/>
      <c r="O759" s="203"/>
      <c r="P759" s="203"/>
      <c r="Q759" s="203"/>
      <c r="R759" s="203"/>
      <c r="S759" s="203"/>
    </row>
    <row r="760" spans="1:19">
      <c r="A760" s="63"/>
      <c r="B760" s="63"/>
      <c r="C760" s="63"/>
      <c r="D760" s="63"/>
      <c r="E760" s="63"/>
      <c r="F760" s="63"/>
      <c r="G760" s="63"/>
      <c r="I760" s="303" t="s">
        <v>798</v>
      </c>
      <c r="J760" s="303"/>
      <c r="K760" s="184"/>
      <c r="L760" s="185"/>
      <c r="M760" s="185"/>
      <c r="N760" s="185"/>
      <c r="O760" s="185"/>
      <c r="P760" s="204"/>
      <c r="Q760" s="204"/>
      <c r="R760" s="204"/>
      <c r="S760" s="204"/>
    </row>
    <row r="761" spans="1:19">
      <c r="A761" s="3" t="s">
        <v>801</v>
      </c>
      <c r="B761" s="201" t="s">
        <v>802</v>
      </c>
      <c r="C761" s="201" t="s">
        <v>803</v>
      </c>
      <c r="D761" s="201" t="s">
        <v>119</v>
      </c>
      <c r="E761" s="201" t="s">
        <v>148</v>
      </c>
      <c r="F761" s="201" t="s">
        <v>806</v>
      </c>
      <c r="G761" s="201" t="s">
        <v>81</v>
      </c>
      <c r="I761" s="187"/>
      <c r="J761" s="187"/>
      <c r="K761" s="187"/>
      <c r="L761" s="188"/>
      <c r="M761" s="188"/>
      <c r="N761" s="188"/>
      <c r="O761" s="188"/>
      <c r="P761" s="187"/>
      <c r="Q761" s="187"/>
      <c r="R761" s="187"/>
      <c r="S761" s="187"/>
    </row>
    <row r="762" spans="1:19">
      <c r="A762" s="293">
        <v>44077</v>
      </c>
      <c r="B762" s="161"/>
      <c r="C762" s="162"/>
      <c r="D762" s="162"/>
      <c r="E762" s="162"/>
      <c r="F762" s="162"/>
      <c r="G762" s="163"/>
      <c r="I762" s="191"/>
      <c r="J762" s="190"/>
      <c r="K762" s="190"/>
      <c r="L762" s="190"/>
      <c r="M762" s="190">
        <v>44077</v>
      </c>
      <c r="N762" s="189" t="s">
        <v>864</v>
      </c>
      <c r="O762" s="189"/>
      <c r="P762" s="189"/>
      <c r="Q762" s="189"/>
      <c r="R762" s="189"/>
      <c r="S762" s="189"/>
    </row>
    <row r="763" spans="1:19">
      <c r="A763" s="294"/>
      <c r="B763" s="164"/>
      <c r="C763" s="165"/>
      <c r="D763" s="165"/>
      <c r="E763" s="165"/>
      <c r="F763" s="165"/>
      <c r="G763" s="166"/>
      <c r="I763" s="304"/>
      <c r="J763" s="304"/>
      <c r="K763" s="167"/>
      <c r="L763" s="168"/>
      <c r="M763" s="168"/>
      <c r="N763" s="168"/>
      <c r="O763" s="169"/>
      <c r="P763" s="169"/>
      <c r="Q763" s="169"/>
      <c r="R763" s="161"/>
      <c r="S763" s="161"/>
    </row>
    <row r="764" spans="1:19">
      <c r="A764" s="294"/>
      <c r="B764" s="161"/>
      <c r="C764" s="162"/>
      <c r="D764" s="162"/>
      <c r="E764" s="162"/>
      <c r="F764" s="162"/>
      <c r="G764" s="163"/>
      <c r="I764" s="295" t="s">
        <v>782</v>
      </c>
      <c r="J764" s="296"/>
      <c r="K764" s="170"/>
      <c r="L764" s="171"/>
      <c r="M764" s="50"/>
      <c r="N764" s="171"/>
      <c r="O764" s="202"/>
      <c r="P764" s="202"/>
      <c r="Q764" s="202"/>
      <c r="R764" s="162"/>
      <c r="S764" s="162"/>
    </row>
    <row r="765" spans="1:19">
      <c r="A765" s="294"/>
      <c r="B765" s="164"/>
      <c r="C765" s="165"/>
      <c r="D765" s="165"/>
      <c r="E765" s="165"/>
      <c r="F765" s="165"/>
      <c r="G765" s="166"/>
      <c r="I765" s="295" t="s">
        <v>783</v>
      </c>
      <c r="J765" s="295"/>
      <c r="K765" s="170"/>
      <c r="L765" s="171"/>
      <c r="M765" s="50"/>
      <c r="N765" s="171"/>
      <c r="O765" s="202"/>
      <c r="P765" s="202"/>
      <c r="Q765" s="202"/>
      <c r="R765" s="162"/>
      <c r="S765" s="162"/>
    </row>
    <row r="766" spans="1:19">
      <c r="A766" s="294"/>
      <c r="B766" s="161"/>
      <c r="C766" s="162"/>
      <c r="D766" s="162"/>
      <c r="E766" s="162"/>
      <c r="F766" s="162"/>
      <c r="G766" s="163"/>
      <c r="I766" s="295" t="s">
        <v>784</v>
      </c>
      <c r="J766" s="295"/>
      <c r="K766" s="170"/>
      <c r="L766" s="171"/>
      <c r="M766" s="50"/>
      <c r="N766" s="171"/>
      <c r="O766" s="202"/>
      <c r="P766" s="202"/>
      <c r="Q766" s="202"/>
      <c r="R766" s="162"/>
      <c r="S766" s="162"/>
    </row>
    <row r="767" spans="1:19">
      <c r="A767" s="294"/>
      <c r="B767" s="164"/>
      <c r="C767" s="165"/>
      <c r="D767" s="165"/>
      <c r="E767" s="165"/>
      <c r="F767" s="165"/>
      <c r="G767" s="166"/>
      <c r="I767" s="295" t="s">
        <v>785</v>
      </c>
      <c r="J767" s="295"/>
      <c r="K767" s="170"/>
      <c r="L767" s="171"/>
      <c r="M767" s="50"/>
      <c r="N767" s="171"/>
      <c r="O767" s="202"/>
      <c r="P767" s="202"/>
      <c r="Q767" s="202"/>
      <c r="R767" s="162"/>
      <c r="S767" s="162"/>
    </row>
    <row r="768" spans="1:19">
      <c r="A768" s="294"/>
      <c r="B768" s="161"/>
      <c r="C768" s="162"/>
      <c r="D768" s="162"/>
      <c r="E768" s="162"/>
      <c r="F768" s="162"/>
      <c r="G768" s="163"/>
      <c r="I768" s="295" t="s">
        <v>786</v>
      </c>
      <c r="J768" s="295"/>
      <c r="K768" s="170"/>
      <c r="L768" s="171"/>
      <c r="M768" s="50"/>
      <c r="N768" s="171"/>
      <c r="O768" s="202"/>
      <c r="P768" s="202"/>
      <c r="Q768" s="202"/>
      <c r="R768" s="162"/>
      <c r="S768" s="162"/>
    </row>
    <row r="769" spans="1:19">
      <c r="A769" s="294"/>
      <c r="B769" s="164"/>
      <c r="C769" s="165"/>
      <c r="D769" s="165"/>
      <c r="E769" s="165"/>
      <c r="F769" s="165"/>
      <c r="G769" s="166"/>
      <c r="I769" s="295" t="s">
        <v>787</v>
      </c>
      <c r="J769" s="295"/>
      <c r="K769" s="170"/>
      <c r="L769" s="171"/>
      <c r="M769" s="50"/>
      <c r="N769" s="171"/>
      <c r="O769" s="202"/>
      <c r="P769" s="202"/>
      <c r="Q769" s="202"/>
      <c r="R769" s="162"/>
      <c r="S769" s="162"/>
    </row>
    <row r="770" spans="1:19">
      <c r="A770" s="294"/>
      <c r="B770" s="161"/>
      <c r="C770" s="162"/>
      <c r="D770" s="162"/>
      <c r="E770" s="162"/>
      <c r="F770" s="162"/>
      <c r="G770" s="163"/>
      <c r="I770" s="295" t="s">
        <v>788</v>
      </c>
      <c r="J770" s="295"/>
      <c r="K770" s="170"/>
      <c r="L770" s="171"/>
      <c r="M770" s="50"/>
      <c r="N770" s="171"/>
      <c r="O770" s="202"/>
      <c r="P770" s="202"/>
      <c r="Q770" s="202"/>
      <c r="R770" s="162"/>
      <c r="S770" s="162"/>
    </row>
    <row r="771" spans="1:19">
      <c r="A771" s="294"/>
      <c r="B771" s="164"/>
      <c r="C771" s="165"/>
      <c r="D771" s="165"/>
      <c r="E771" s="165"/>
      <c r="F771" s="165"/>
      <c r="G771" s="166"/>
      <c r="I771" s="295" t="s">
        <v>789</v>
      </c>
      <c r="J771" s="295"/>
      <c r="K771" s="170"/>
      <c r="L771" s="171"/>
      <c r="M771" s="50"/>
      <c r="N771" s="171"/>
      <c r="O771" s="202"/>
      <c r="P771" s="202"/>
      <c r="Q771" s="202"/>
      <c r="R771" s="162"/>
      <c r="S771" s="162"/>
    </row>
    <row r="772" spans="1:19">
      <c r="A772" s="63"/>
      <c r="B772" s="63"/>
      <c r="C772" s="63"/>
      <c r="D772" s="63"/>
      <c r="E772" s="63"/>
      <c r="F772" s="63"/>
      <c r="G772" s="63"/>
      <c r="I772" s="295" t="s">
        <v>790</v>
      </c>
      <c r="J772" s="295"/>
      <c r="K772" s="170"/>
      <c r="L772" s="171"/>
      <c r="M772" s="50"/>
      <c r="N772" s="171"/>
      <c r="O772" s="202"/>
      <c r="P772" s="202"/>
      <c r="Q772" s="202"/>
      <c r="R772" s="162"/>
      <c r="S772" s="162"/>
    </row>
    <row r="773" spans="1:19">
      <c r="A773" s="63"/>
      <c r="B773" s="63"/>
      <c r="C773" s="63"/>
      <c r="D773" s="63"/>
      <c r="E773" s="63"/>
      <c r="F773" s="63"/>
      <c r="G773" s="63"/>
      <c r="I773" s="295" t="s">
        <v>791</v>
      </c>
      <c r="J773" s="295"/>
      <c r="K773" s="170"/>
      <c r="L773" s="171"/>
      <c r="M773" s="50"/>
      <c r="N773" s="171"/>
      <c r="O773" s="202"/>
      <c r="P773" s="202"/>
      <c r="Q773" s="202"/>
      <c r="R773" s="162"/>
      <c r="S773" s="162"/>
    </row>
    <row r="774" spans="1:19">
      <c r="A774" s="63"/>
      <c r="B774" s="63"/>
      <c r="C774" s="63"/>
      <c r="D774" s="63"/>
      <c r="E774" s="63"/>
      <c r="F774" s="63"/>
      <c r="G774" s="63"/>
      <c r="I774" s="296" t="s">
        <v>792</v>
      </c>
      <c r="J774" s="296"/>
      <c r="K774" s="170"/>
      <c r="L774" s="171"/>
      <c r="M774" s="50"/>
      <c r="N774" s="171"/>
      <c r="O774" s="202"/>
      <c r="P774" s="202"/>
      <c r="Q774" s="202"/>
      <c r="R774" s="162"/>
      <c r="S774" s="162"/>
    </row>
    <row r="775" spans="1:19" ht="17.25" thickBot="1">
      <c r="A775" s="63"/>
      <c r="B775" s="63"/>
      <c r="C775" s="63"/>
      <c r="D775" s="63"/>
      <c r="E775" s="63"/>
      <c r="F775" s="63"/>
      <c r="G775" s="63"/>
      <c r="I775" s="297" t="s">
        <v>793</v>
      </c>
      <c r="J775" s="297"/>
      <c r="K775" s="172">
        <f t="shared" ref="K775:S775" si="299">SUM(K764:K774)</f>
        <v>0</v>
      </c>
      <c r="L775" s="205">
        <f t="shared" si="299"/>
        <v>0</v>
      </c>
      <c r="M775" s="205">
        <f t="shared" si="299"/>
        <v>0</v>
      </c>
      <c r="N775" s="205">
        <f t="shared" si="299"/>
        <v>0</v>
      </c>
      <c r="O775" s="174">
        <f t="shared" si="299"/>
        <v>0</v>
      </c>
      <c r="P775" s="174">
        <f t="shared" si="299"/>
        <v>0</v>
      </c>
      <c r="Q775" s="174">
        <f t="shared" si="299"/>
        <v>0</v>
      </c>
      <c r="R775" s="175">
        <f t="shared" si="299"/>
        <v>0</v>
      </c>
      <c r="S775" s="175">
        <f t="shared" si="299"/>
        <v>0</v>
      </c>
    </row>
    <row r="776" spans="1:19" ht="17.25" thickBot="1">
      <c r="A776" s="63"/>
      <c r="B776" s="63"/>
      <c r="C776" s="63"/>
      <c r="D776" s="63"/>
      <c r="E776" s="63"/>
      <c r="F776" s="63"/>
      <c r="G776" s="63"/>
      <c r="I776" s="298" t="s">
        <v>794</v>
      </c>
      <c r="J776" s="299"/>
      <c r="K776" s="176">
        <f t="shared" ref="K776" si="300">S755-K775</f>
        <v>0</v>
      </c>
      <c r="L776" s="177">
        <f t="shared" ref="L776" si="301">K775-L775</f>
        <v>0</v>
      </c>
      <c r="M776" s="177">
        <f t="shared" ref="M776" si="302">K775-M775</f>
        <v>0</v>
      </c>
      <c r="N776" s="177">
        <f t="shared" ref="N776" si="303">K775-N775</f>
        <v>0</v>
      </c>
      <c r="O776" s="178">
        <f t="shared" ref="O776" si="304">K775-O775</f>
        <v>0</v>
      </c>
      <c r="P776" s="178">
        <f t="shared" ref="P776" si="305">K775-P775</f>
        <v>0</v>
      </c>
      <c r="Q776" s="178">
        <f t="shared" ref="Q776" si="306">K775-Q775</f>
        <v>0</v>
      </c>
      <c r="R776" s="179">
        <f t="shared" ref="R776" si="307">K775-R775</f>
        <v>0</v>
      </c>
      <c r="S776" s="180">
        <f t="shared" ref="S776" si="308">L775-S775</f>
        <v>0</v>
      </c>
    </row>
    <row r="777" spans="1:19">
      <c r="A777" s="63"/>
      <c r="B777" s="63"/>
      <c r="C777" s="63"/>
      <c r="D777" s="63"/>
      <c r="E777" s="63"/>
      <c r="F777" s="63"/>
      <c r="G777" s="63"/>
      <c r="I777" s="300" t="s">
        <v>795</v>
      </c>
      <c r="J777" s="301"/>
      <c r="K777" s="181"/>
      <c r="L777" s="182"/>
      <c r="M777" s="182"/>
      <c r="N777" s="182"/>
      <c r="O777" s="183"/>
      <c r="P777" s="182"/>
      <c r="Q777" s="182"/>
      <c r="R777" s="182"/>
      <c r="S777" s="182"/>
    </row>
    <row r="778" spans="1:19">
      <c r="A778" s="63"/>
      <c r="B778" s="63"/>
      <c r="C778" s="63"/>
      <c r="D778" s="63"/>
      <c r="E778" s="63"/>
      <c r="F778" s="63"/>
      <c r="G778" s="63"/>
      <c r="I778" s="302" t="s">
        <v>796</v>
      </c>
      <c r="J778" s="302"/>
      <c r="K778" s="184"/>
      <c r="L778" s="203"/>
      <c r="M778" s="203"/>
      <c r="N778" s="203"/>
      <c r="O778" s="203"/>
      <c r="P778" s="203"/>
      <c r="Q778" s="203"/>
      <c r="R778" s="203"/>
      <c r="S778" s="203"/>
    </row>
    <row r="779" spans="1:19">
      <c r="A779" s="63"/>
      <c r="B779" s="63"/>
      <c r="C779" s="63"/>
      <c r="D779" s="63"/>
      <c r="E779" s="63"/>
      <c r="F779" s="63"/>
      <c r="G779" s="63"/>
      <c r="I779" s="302" t="s">
        <v>797</v>
      </c>
      <c r="J779" s="302"/>
      <c r="K779" s="184"/>
      <c r="L779" s="203"/>
      <c r="M779" s="203"/>
      <c r="N779" s="203"/>
      <c r="O779" s="203"/>
      <c r="P779" s="203"/>
      <c r="Q779" s="203"/>
      <c r="R779" s="203"/>
      <c r="S779" s="203"/>
    </row>
    <row r="780" spans="1:19">
      <c r="A780" s="63"/>
      <c r="B780" s="63"/>
      <c r="C780" s="63"/>
      <c r="D780" s="63"/>
      <c r="E780" s="63"/>
      <c r="F780" s="63"/>
      <c r="G780" s="63"/>
      <c r="I780" s="303" t="s">
        <v>798</v>
      </c>
      <c r="J780" s="303"/>
      <c r="K780" s="184"/>
      <c r="L780" s="185"/>
      <c r="M780" s="185"/>
      <c r="N780" s="185"/>
      <c r="O780" s="185"/>
      <c r="P780" s="204"/>
      <c r="Q780" s="204"/>
      <c r="R780" s="204"/>
      <c r="S780" s="204"/>
    </row>
    <row r="781" spans="1:19">
      <c r="A781" s="3" t="s">
        <v>801</v>
      </c>
      <c r="B781" s="201" t="s">
        <v>802</v>
      </c>
      <c r="C781" s="201" t="s">
        <v>803</v>
      </c>
      <c r="D781" s="201" t="s">
        <v>119</v>
      </c>
      <c r="E781" s="201" t="s">
        <v>148</v>
      </c>
      <c r="F781" s="201" t="s">
        <v>806</v>
      </c>
      <c r="G781" s="201" t="s">
        <v>81</v>
      </c>
      <c r="I781" s="187"/>
      <c r="J781" s="187"/>
      <c r="K781" s="187"/>
      <c r="L781" s="188"/>
      <c r="M781" s="188"/>
      <c r="N781" s="188"/>
      <c r="O781" s="188"/>
      <c r="P781" s="187"/>
      <c r="Q781" s="187"/>
      <c r="R781" s="187"/>
      <c r="S781" s="187"/>
    </row>
    <row r="782" spans="1:19">
      <c r="A782" s="293">
        <v>44078</v>
      </c>
      <c r="B782" s="161"/>
      <c r="C782" s="162"/>
      <c r="D782" s="162"/>
      <c r="E782" s="162"/>
      <c r="F782" s="162"/>
      <c r="G782" s="163"/>
      <c r="I782" s="191"/>
      <c r="J782" s="190"/>
      <c r="K782" s="190"/>
      <c r="L782" s="190"/>
      <c r="M782" s="190">
        <v>44078</v>
      </c>
      <c r="N782" s="189" t="s">
        <v>864</v>
      </c>
      <c r="O782" s="189"/>
      <c r="P782" s="189"/>
      <c r="Q782" s="189"/>
      <c r="R782" s="189"/>
      <c r="S782" s="189"/>
    </row>
    <row r="783" spans="1:19">
      <c r="A783" s="294"/>
      <c r="B783" s="164"/>
      <c r="C783" s="165"/>
      <c r="D783" s="165"/>
      <c r="E783" s="165"/>
      <c r="F783" s="165"/>
      <c r="G783" s="166"/>
      <c r="I783" s="304"/>
      <c r="J783" s="304"/>
      <c r="K783" s="167"/>
      <c r="L783" s="168"/>
      <c r="M783" s="168"/>
      <c r="N783" s="168"/>
      <c r="O783" s="169"/>
      <c r="P783" s="169"/>
      <c r="Q783" s="169"/>
      <c r="R783" s="161"/>
      <c r="S783" s="161"/>
    </row>
    <row r="784" spans="1:19">
      <c r="A784" s="294"/>
      <c r="B784" s="161"/>
      <c r="C784" s="162"/>
      <c r="D784" s="162"/>
      <c r="E784" s="162"/>
      <c r="F784" s="162"/>
      <c r="G784" s="163"/>
      <c r="I784" s="295" t="s">
        <v>782</v>
      </c>
      <c r="J784" s="296"/>
      <c r="K784" s="170"/>
      <c r="L784" s="171"/>
      <c r="M784" s="50"/>
      <c r="N784" s="171"/>
      <c r="O784" s="202"/>
      <c r="P784" s="202"/>
      <c r="Q784" s="202"/>
      <c r="R784" s="162"/>
      <c r="S784" s="162"/>
    </row>
    <row r="785" spans="1:19">
      <c r="A785" s="294"/>
      <c r="B785" s="164"/>
      <c r="C785" s="165"/>
      <c r="D785" s="165"/>
      <c r="E785" s="165"/>
      <c r="F785" s="165"/>
      <c r="G785" s="166"/>
      <c r="I785" s="295" t="s">
        <v>783</v>
      </c>
      <c r="J785" s="295"/>
      <c r="K785" s="170"/>
      <c r="L785" s="171"/>
      <c r="M785" s="50"/>
      <c r="N785" s="171"/>
      <c r="O785" s="202"/>
      <c r="P785" s="202"/>
      <c r="Q785" s="202"/>
      <c r="R785" s="162"/>
      <c r="S785" s="162"/>
    </row>
    <row r="786" spans="1:19">
      <c r="A786" s="294"/>
      <c r="B786" s="161"/>
      <c r="C786" s="162"/>
      <c r="D786" s="162"/>
      <c r="E786" s="162"/>
      <c r="F786" s="162"/>
      <c r="G786" s="163"/>
      <c r="I786" s="295" t="s">
        <v>784</v>
      </c>
      <c r="J786" s="295"/>
      <c r="K786" s="170"/>
      <c r="L786" s="171"/>
      <c r="M786" s="50"/>
      <c r="N786" s="171"/>
      <c r="O786" s="202"/>
      <c r="P786" s="202"/>
      <c r="Q786" s="202"/>
      <c r="R786" s="162"/>
      <c r="S786" s="162"/>
    </row>
    <row r="787" spans="1:19">
      <c r="A787" s="294"/>
      <c r="B787" s="164"/>
      <c r="C787" s="165"/>
      <c r="D787" s="165"/>
      <c r="E787" s="165"/>
      <c r="F787" s="165"/>
      <c r="G787" s="166"/>
      <c r="I787" s="295" t="s">
        <v>785</v>
      </c>
      <c r="J787" s="295"/>
      <c r="K787" s="170"/>
      <c r="L787" s="171"/>
      <c r="M787" s="50"/>
      <c r="N787" s="171"/>
      <c r="O787" s="202"/>
      <c r="P787" s="202"/>
      <c r="Q787" s="202"/>
      <c r="R787" s="162"/>
      <c r="S787" s="162"/>
    </row>
    <row r="788" spans="1:19">
      <c r="A788" s="294"/>
      <c r="B788" s="161"/>
      <c r="C788" s="162"/>
      <c r="D788" s="162"/>
      <c r="E788" s="162"/>
      <c r="F788" s="162"/>
      <c r="G788" s="163"/>
      <c r="I788" s="295" t="s">
        <v>786</v>
      </c>
      <c r="J788" s="295"/>
      <c r="K788" s="170"/>
      <c r="L788" s="171"/>
      <c r="M788" s="50"/>
      <c r="N788" s="171"/>
      <c r="O788" s="202"/>
      <c r="P788" s="202"/>
      <c r="Q788" s="202"/>
      <c r="R788" s="162"/>
      <c r="S788" s="162"/>
    </row>
    <row r="789" spans="1:19">
      <c r="A789" s="294"/>
      <c r="B789" s="164"/>
      <c r="C789" s="165"/>
      <c r="D789" s="165"/>
      <c r="E789" s="165"/>
      <c r="F789" s="165"/>
      <c r="G789" s="166"/>
      <c r="I789" s="295" t="s">
        <v>787</v>
      </c>
      <c r="J789" s="295"/>
      <c r="K789" s="170"/>
      <c r="L789" s="171"/>
      <c r="M789" s="50"/>
      <c r="N789" s="171"/>
      <c r="O789" s="202"/>
      <c r="P789" s="202"/>
      <c r="Q789" s="202"/>
      <c r="R789" s="162"/>
      <c r="S789" s="162"/>
    </row>
    <row r="790" spans="1:19">
      <c r="A790" s="294"/>
      <c r="B790" s="161"/>
      <c r="C790" s="162"/>
      <c r="D790" s="162"/>
      <c r="E790" s="162"/>
      <c r="F790" s="162"/>
      <c r="G790" s="163"/>
      <c r="I790" s="295" t="s">
        <v>788</v>
      </c>
      <c r="J790" s="295"/>
      <c r="K790" s="170"/>
      <c r="L790" s="171"/>
      <c r="M790" s="50"/>
      <c r="N790" s="171"/>
      <c r="O790" s="202"/>
      <c r="P790" s="202"/>
      <c r="Q790" s="202"/>
      <c r="R790" s="162"/>
      <c r="S790" s="162"/>
    </row>
    <row r="791" spans="1:19">
      <c r="A791" s="294"/>
      <c r="B791" s="164"/>
      <c r="C791" s="165"/>
      <c r="D791" s="165"/>
      <c r="E791" s="165"/>
      <c r="F791" s="165"/>
      <c r="G791" s="166"/>
      <c r="I791" s="295" t="s">
        <v>789</v>
      </c>
      <c r="J791" s="295"/>
      <c r="K791" s="170"/>
      <c r="L791" s="171"/>
      <c r="M791" s="50"/>
      <c r="N791" s="171"/>
      <c r="O791" s="202"/>
      <c r="P791" s="202"/>
      <c r="Q791" s="202"/>
      <c r="R791" s="162"/>
      <c r="S791" s="162"/>
    </row>
    <row r="792" spans="1:19">
      <c r="A792" s="63"/>
      <c r="B792" s="63"/>
      <c r="C792" s="63"/>
      <c r="D792" s="63"/>
      <c r="E792" s="63"/>
      <c r="F792" s="63"/>
      <c r="G792" s="63"/>
      <c r="I792" s="295" t="s">
        <v>790</v>
      </c>
      <c r="J792" s="295"/>
      <c r="K792" s="170"/>
      <c r="L792" s="171"/>
      <c r="M792" s="50"/>
      <c r="N792" s="171"/>
      <c r="O792" s="202"/>
      <c r="P792" s="202"/>
      <c r="Q792" s="202"/>
      <c r="R792" s="162"/>
      <c r="S792" s="162"/>
    </row>
    <row r="793" spans="1:19">
      <c r="A793" s="63"/>
      <c r="B793" s="63"/>
      <c r="C793" s="63"/>
      <c r="D793" s="63"/>
      <c r="E793" s="63"/>
      <c r="F793" s="63"/>
      <c r="G793" s="63"/>
      <c r="I793" s="295" t="s">
        <v>791</v>
      </c>
      <c r="J793" s="295"/>
      <c r="K793" s="170"/>
      <c r="L793" s="171"/>
      <c r="M793" s="50"/>
      <c r="N793" s="171"/>
      <c r="O793" s="202"/>
      <c r="P793" s="202"/>
      <c r="Q793" s="202"/>
      <c r="R793" s="162"/>
      <c r="S793" s="162"/>
    </row>
    <row r="794" spans="1:19">
      <c r="A794" s="63"/>
      <c r="B794" s="63"/>
      <c r="C794" s="63"/>
      <c r="D794" s="63"/>
      <c r="E794" s="63"/>
      <c r="F794" s="63"/>
      <c r="G794" s="63"/>
      <c r="I794" s="296" t="s">
        <v>792</v>
      </c>
      <c r="J794" s="296"/>
      <c r="K794" s="170"/>
      <c r="L794" s="171"/>
      <c r="M794" s="50"/>
      <c r="N794" s="171"/>
      <c r="O794" s="202"/>
      <c r="P794" s="202"/>
      <c r="Q794" s="202"/>
      <c r="R794" s="162"/>
      <c r="S794" s="162"/>
    </row>
    <row r="795" spans="1:19" ht="17.25" thickBot="1">
      <c r="A795" s="63"/>
      <c r="B795" s="63"/>
      <c r="C795" s="63"/>
      <c r="D795" s="63"/>
      <c r="E795" s="63"/>
      <c r="F795" s="63"/>
      <c r="G795" s="63"/>
      <c r="I795" s="297" t="s">
        <v>793</v>
      </c>
      <c r="J795" s="297"/>
      <c r="K795" s="172">
        <f t="shared" ref="K795:S795" si="309">SUM(K784:K794)</f>
        <v>0</v>
      </c>
      <c r="L795" s="205">
        <f t="shared" si="309"/>
        <v>0</v>
      </c>
      <c r="M795" s="205">
        <f t="shared" si="309"/>
        <v>0</v>
      </c>
      <c r="N795" s="205">
        <f t="shared" si="309"/>
        <v>0</v>
      </c>
      <c r="O795" s="174">
        <f t="shared" si="309"/>
        <v>0</v>
      </c>
      <c r="P795" s="174">
        <f t="shared" si="309"/>
        <v>0</v>
      </c>
      <c r="Q795" s="174">
        <f t="shared" si="309"/>
        <v>0</v>
      </c>
      <c r="R795" s="175">
        <f t="shared" si="309"/>
        <v>0</v>
      </c>
      <c r="S795" s="175">
        <f t="shared" si="309"/>
        <v>0</v>
      </c>
    </row>
    <row r="796" spans="1:19" ht="17.25" thickBot="1">
      <c r="A796" s="63"/>
      <c r="B796" s="63"/>
      <c r="C796" s="63"/>
      <c r="D796" s="63"/>
      <c r="E796" s="63"/>
      <c r="F796" s="63"/>
      <c r="G796" s="63"/>
      <c r="I796" s="298" t="s">
        <v>794</v>
      </c>
      <c r="J796" s="299"/>
      <c r="K796" s="176">
        <f t="shared" ref="K796" si="310">S775-K795</f>
        <v>0</v>
      </c>
      <c r="L796" s="177">
        <f t="shared" ref="L796" si="311">K795-L795</f>
        <v>0</v>
      </c>
      <c r="M796" s="177">
        <f t="shared" ref="M796" si="312">K795-M795</f>
        <v>0</v>
      </c>
      <c r="N796" s="177">
        <f t="shared" ref="N796" si="313">K795-N795</f>
        <v>0</v>
      </c>
      <c r="O796" s="178">
        <f t="shared" ref="O796" si="314">K795-O795</f>
        <v>0</v>
      </c>
      <c r="P796" s="178">
        <f t="shared" ref="P796" si="315">K795-P795</f>
        <v>0</v>
      </c>
      <c r="Q796" s="178">
        <f t="shared" ref="Q796" si="316">K795-Q795</f>
        <v>0</v>
      </c>
      <c r="R796" s="179">
        <f t="shared" ref="R796" si="317">K795-R795</f>
        <v>0</v>
      </c>
      <c r="S796" s="180">
        <f t="shared" ref="S796" si="318">L795-S795</f>
        <v>0</v>
      </c>
    </row>
    <row r="797" spans="1:19">
      <c r="A797" s="63"/>
      <c r="B797" s="63"/>
      <c r="C797" s="63"/>
      <c r="D797" s="63"/>
      <c r="E797" s="63"/>
      <c r="F797" s="63"/>
      <c r="G797" s="63"/>
      <c r="I797" s="300" t="s">
        <v>795</v>
      </c>
      <c r="J797" s="301"/>
      <c r="K797" s="181"/>
      <c r="L797" s="182"/>
      <c r="M797" s="182"/>
      <c r="N797" s="182"/>
      <c r="O797" s="183"/>
      <c r="P797" s="182"/>
      <c r="Q797" s="182"/>
      <c r="R797" s="182"/>
      <c r="S797" s="182"/>
    </row>
    <row r="798" spans="1:19">
      <c r="A798" s="63"/>
      <c r="B798" s="63"/>
      <c r="C798" s="63"/>
      <c r="D798" s="63"/>
      <c r="E798" s="63"/>
      <c r="F798" s="63"/>
      <c r="G798" s="63"/>
      <c r="I798" s="302" t="s">
        <v>796</v>
      </c>
      <c r="J798" s="302"/>
      <c r="K798" s="184"/>
      <c r="L798" s="203"/>
      <c r="M798" s="203"/>
      <c r="N798" s="203"/>
      <c r="O798" s="203"/>
      <c r="P798" s="203"/>
      <c r="Q798" s="203"/>
      <c r="R798" s="203"/>
      <c r="S798" s="203"/>
    </row>
    <row r="799" spans="1:19">
      <c r="A799" s="63"/>
      <c r="B799" s="63"/>
      <c r="C799" s="63"/>
      <c r="D799" s="63"/>
      <c r="E799" s="63"/>
      <c r="F799" s="63"/>
      <c r="G799" s="63"/>
      <c r="I799" s="302" t="s">
        <v>797</v>
      </c>
      <c r="J799" s="302"/>
      <c r="K799" s="184"/>
      <c r="L799" s="203"/>
      <c r="M799" s="203"/>
      <c r="N799" s="203"/>
      <c r="O799" s="203"/>
      <c r="P799" s="203"/>
      <c r="Q799" s="203"/>
      <c r="R799" s="203"/>
      <c r="S799" s="203"/>
    </row>
    <row r="800" spans="1:19">
      <c r="A800" s="63"/>
      <c r="B800" s="63"/>
      <c r="C800" s="63"/>
      <c r="D800" s="63"/>
      <c r="E800" s="63"/>
      <c r="F800" s="63"/>
      <c r="G800" s="63"/>
      <c r="I800" s="303" t="s">
        <v>798</v>
      </c>
      <c r="J800" s="303"/>
      <c r="K800" s="184"/>
      <c r="L800" s="185"/>
      <c r="M800" s="185"/>
      <c r="N800" s="185"/>
      <c r="O800" s="185"/>
      <c r="P800" s="204"/>
      <c r="Q800" s="204"/>
      <c r="R800" s="204"/>
      <c r="S800" s="204"/>
    </row>
    <row r="801" spans="1:19">
      <c r="A801" s="3" t="s">
        <v>801</v>
      </c>
      <c r="B801" s="201" t="s">
        <v>802</v>
      </c>
      <c r="C801" s="201" t="s">
        <v>803</v>
      </c>
      <c r="D801" s="201" t="s">
        <v>119</v>
      </c>
      <c r="E801" s="201" t="s">
        <v>148</v>
      </c>
      <c r="F801" s="201" t="s">
        <v>806</v>
      </c>
      <c r="G801" s="201" t="s">
        <v>81</v>
      </c>
      <c r="I801" s="187"/>
      <c r="J801" s="187"/>
      <c r="K801" s="187"/>
      <c r="L801" s="188"/>
      <c r="M801" s="188"/>
      <c r="N801" s="188"/>
      <c r="O801" s="188"/>
      <c r="P801" s="187"/>
      <c r="Q801" s="187"/>
      <c r="R801" s="187"/>
      <c r="S801" s="187"/>
    </row>
    <row r="802" spans="1:19">
      <c r="A802" s="293">
        <v>44079</v>
      </c>
      <c r="B802" s="161"/>
      <c r="C802" s="162"/>
      <c r="D802" s="162"/>
      <c r="E802" s="162"/>
      <c r="F802" s="162"/>
      <c r="G802" s="163"/>
      <c r="I802" s="191"/>
      <c r="J802" s="190"/>
      <c r="K802" s="190"/>
      <c r="L802" s="190"/>
      <c r="M802" s="190">
        <v>44079</v>
      </c>
      <c r="N802" s="189" t="s">
        <v>864</v>
      </c>
      <c r="O802" s="189"/>
      <c r="P802" s="189"/>
      <c r="Q802" s="189"/>
      <c r="R802" s="189"/>
      <c r="S802" s="189"/>
    </row>
    <row r="803" spans="1:19">
      <c r="A803" s="294"/>
      <c r="B803" s="164"/>
      <c r="C803" s="165"/>
      <c r="D803" s="165"/>
      <c r="E803" s="165"/>
      <c r="F803" s="165"/>
      <c r="G803" s="166"/>
      <c r="I803" s="304"/>
      <c r="J803" s="304"/>
      <c r="K803" s="167"/>
      <c r="L803" s="168"/>
      <c r="M803" s="168"/>
      <c r="N803" s="168"/>
      <c r="O803" s="169"/>
      <c r="P803" s="169"/>
      <c r="Q803" s="169"/>
      <c r="R803" s="161"/>
      <c r="S803" s="161"/>
    </row>
    <row r="804" spans="1:19">
      <c r="A804" s="294"/>
      <c r="B804" s="161"/>
      <c r="C804" s="162"/>
      <c r="D804" s="162"/>
      <c r="E804" s="162"/>
      <c r="F804" s="162"/>
      <c r="G804" s="163"/>
      <c r="I804" s="295" t="s">
        <v>782</v>
      </c>
      <c r="J804" s="296"/>
      <c r="K804" s="170"/>
      <c r="L804" s="171"/>
      <c r="M804" s="50"/>
      <c r="N804" s="171"/>
      <c r="O804" s="202"/>
      <c r="P804" s="202"/>
      <c r="Q804" s="202"/>
      <c r="R804" s="162"/>
      <c r="S804" s="162"/>
    </row>
    <row r="805" spans="1:19">
      <c r="A805" s="294"/>
      <c r="B805" s="164"/>
      <c r="C805" s="165"/>
      <c r="D805" s="165"/>
      <c r="E805" s="165"/>
      <c r="F805" s="165"/>
      <c r="G805" s="166"/>
      <c r="I805" s="295" t="s">
        <v>783</v>
      </c>
      <c r="J805" s="295"/>
      <c r="K805" s="170"/>
      <c r="L805" s="171"/>
      <c r="M805" s="50"/>
      <c r="N805" s="171"/>
      <c r="O805" s="202"/>
      <c r="P805" s="202"/>
      <c r="Q805" s="202"/>
      <c r="R805" s="162"/>
      <c r="S805" s="162"/>
    </row>
    <row r="806" spans="1:19">
      <c r="A806" s="294"/>
      <c r="B806" s="161"/>
      <c r="C806" s="162"/>
      <c r="D806" s="162"/>
      <c r="E806" s="162"/>
      <c r="F806" s="162"/>
      <c r="G806" s="163"/>
      <c r="I806" s="295" t="s">
        <v>784</v>
      </c>
      <c r="J806" s="295"/>
      <c r="K806" s="170"/>
      <c r="L806" s="171"/>
      <c r="M806" s="50"/>
      <c r="N806" s="171"/>
      <c r="O806" s="202"/>
      <c r="P806" s="202"/>
      <c r="Q806" s="202"/>
      <c r="R806" s="162"/>
      <c r="S806" s="162"/>
    </row>
    <row r="807" spans="1:19">
      <c r="A807" s="294"/>
      <c r="B807" s="164"/>
      <c r="C807" s="165"/>
      <c r="D807" s="165"/>
      <c r="E807" s="165"/>
      <c r="F807" s="165"/>
      <c r="G807" s="166"/>
      <c r="I807" s="295" t="s">
        <v>785</v>
      </c>
      <c r="J807" s="295"/>
      <c r="K807" s="170"/>
      <c r="L807" s="171"/>
      <c r="M807" s="50"/>
      <c r="N807" s="171"/>
      <c r="O807" s="202"/>
      <c r="P807" s="202"/>
      <c r="Q807" s="202"/>
      <c r="R807" s="162"/>
      <c r="S807" s="162"/>
    </row>
    <row r="808" spans="1:19">
      <c r="A808" s="294"/>
      <c r="B808" s="161"/>
      <c r="C808" s="162"/>
      <c r="D808" s="162"/>
      <c r="E808" s="162"/>
      <c r="F808" s="162"/>
      <c r="G808" s="163"/>
      <c r="I808" s="295" t="s">
        <v>786</v>
      </c>
      <c r="J808" s="295"/>
      <c r="K808" s="170"/>
      <c r="L808" s="171"/>
      <c r="M808" s="50"/>
      <c r="N808" s="171"/>
      <c r="O808" s="202"/>
      <c r="P808" s="202"/>
      <c r="Q808" s="202"/>
      <c r="R808" s="162"/>
      <c r="S808" s="162"/>
    </row>
    <row r="809" spans="1:19">
      <c r="A809" s="294"/>
      <c r="B809" s="164"/>
      <c r="C809" s="165"/>
      <c r="D809" s="165"/>
      <c r="E809" s="165"/>
      <c r="F809" s="165"/>
      <c r="G809" s="166"/>
      <c r="I809" s="295" t="s">
        <v>787</v>
      </c>
      <c r="J809" s="295"/>
      <c r="K809" s="170"/>
      <c r="L809" s="171"/>
      <c r="M809" s="50"/>
      <c r="N809" s="171"/>
      <c r="O809" s="202"/>
      <c r="P809" s="202"/>
      <c r="Q809" s="202"/>
      <c r="R809" s="162"/>
      <c r="S809" s="162"/>
    </row>
    <row r="810" spans="1:19">
      <c r="A810" s="294"/>
      <c r="B810" s="161"/>
      <c r="C810" s="162"/>
      <c r="D810" s="162"/>
      <c r="E810" s="162"/>
      <c r="F810" s="162"/>
      <c r="G810" s="163"/>
      <c r="I810" s="295" t="s">
        <v>788</v>
      </c>
      <c r="J810" s="295"/>
      <c r="K810" s="170"/>
      <c r="L810" s="171"/>
      <c r="M810" s="50"/>
      <c r="N810" s="171"/>
      <c r="O810" s="202"/>
      <c r="P810" s="202"/>
      <c r="Q810" s="202"/>
      <c r="R810" s="162"/>
      <c r="S810" s="162"/>
    </row>
    <row r="811" spans="1:19">
      <c r="A811" s="294"/>
      <c r="B811" s="164"/>
      <c r="C811" s="165"/>
      <c r="D811" s="165"/>
      <c r="E811" s="165"/>
      <c r="F811" s="165"/>
      <c r="G811" s="166"/>
      <c r="I811" s="295" t="s">
        <v>789</v>
      </c>
      <c r="J811" s="295"/>
      <c r="K811" s="170"/>
      <c r="L811" s="171"/>
      <c r="M811" s="50"/>
      <c r="N811" s="171"/>
      <c r="O811" s="202"/>
      <c r="P811" s="202"/>
      <c r="Q811" s="202"/>
      <c r="R811" s="162"/>
      <c r="S811" s="162"/>
    </row>
    <row r="812" spans="1:19">
      <c r="A812" s="63"/>
      <c r="B812" s="63"/>
      <c r="C812" s="63"/>
      <c r="D812" s="63"/>
      <c r="E812" s="63"/>
      <c r="F812" s="63"/>
      <c r="G812" s="63"/>
      <c r="I812" s="295" t="s">
        <v>790</v>
      </c>
      <c r="J812" s="295"/>
      <c r="K812" s="170"/>
      <c r="L812" s="171"/>
      <c r="M812" s="50"/>
      <c r="N812" s="171"/>
      <c r="O812" s="202"/>
      <c r="P812" s="202"/>
      <c r="Q812" s="202"/>
      <c r="R812" s="162"/>
      <c r="S812" s="162"/>
    </row>
    <row r="813" spans="1:19">
      <c r="A813" s="63"/>
      <c r="B813" s="63"/>
      <c r="C813" s="63"/>
      <c r="D813" s="63"/>
      <c r="E813" s="63"/>
      <c r="F813" s="63"/>
      <c r="G813" s="63"/>
      <c r="I813" s="295" t="s">
        <v>791</v>
      </c>
      <c r="J813" s="295"/>
      <c r="K813" s="170"/>
      <c r="L813" s="171"/>
      <c r="M813" s="50"/>
      <c r="N813" s="171"/>
      <c r="O813" s="202"/>
      <c r="P813" s="202"/>
      <c r="Q813" s="202"/>
      <c r="R813" s="162"/>
      <c r="S813" s="162"/>
    </row>
    <row r="814" spans="1:19">
      <c r="A814" s="63"/>
      <c r="B814" s="63"/>
      <c r="C814" s="63"/>
      <c r="D814" s="63"/>
      <c r="E814" s="63"/>
      <c r="F814" s="63"/>
      <c r="G814" s="63"/>
      <c r="I814" s="296" t="s">
        <v>792</v>
      </c>
      <c r="J814" s="296"/>
      <c r="K814" s="170"/>
      <c r="L814" s="171"/>
      <c r="M814" s="50"/>
      <c r="N814" s="171"/>
      <c r="O814" s="202"/>
      <c r="P814" s="202"/>
      <c r="Q814" s="202"/>
      <c r="R814" s="162"/>
      <c r="S814" s="162"/>
    </row>
    <row r="815" spans="1:19" ht="17.25" thickBot="1">
      <c r="A815" s="63"/>
      <c r="B815" s="63"/>
      <c r="C815" s="63"/>
      <c r="D815" s="63"/>
      <c r="E815" s="63"/>
      <c r="F815" s="63"/>
      <c r="G815" s="63"/>
      <c r="I815" s="297" t="s">
        <v>793</v>
      </c>
      <c r="J815" s="297"/>
      <c r="K815" s="172">
        <f t="shared" ref="K815:S815" si="319">SUM(K804:K814)</f>
        <v>0</v>
      </c>
      <c r="L815" s="205">
        <f t="shared" si="319"/>
        <v>0</v>
      </c>
      <c r="M815" s="205">
        <f t="shared" si="319"/>
        <v>0</v>
      </c>
      <c r="N815" s="205">
        <f t="shared" si="319"/>
        <v>0</v>
      </c>
      <c r="O815" s="174">
        <f t="shared" si="319"/>
        <v>0</v>
      </c>
      <c r="P815" s="174">
        <f t="shared" si="319"/>
        <v>0</v>
      </c>
      <c r="Q815" s="174">
        <f t="shared" si="319"/>
        <v>0</v>
      </c>
      <c r="R815" s="175">
        <f t="shared" si="319"/>
        <v>0</v>
      </c>
      <c r="S815" s="175">
        <f t="shared" si="319"/>
        <v>0</v>
      </c>
    </row>
    <row r="816" spans="1:19" ht="17.25" thickBot="1">
      <c r="A816" s="63"/>
      <c r="B816" s="63"/>
      <c r="C816" s="63"/>
      <c r="D816" s="63"/>
      <c r="E816" s="63"/>
      <c r="F816" s="63"/>
      <c r="G816" s="63"/>
      <c r="I816" s="298" t="s">
        <v>794</v>
      </c>
      <c r="J816" s="299"/>
      <c r="K816" s="176">
        <f t="shared" ref="K816" si="320">S795-K815</f>
        <v>0</v>
      </c>
      <c r="L816" s="177">
        <f t="shared" ref="L816" si="321">K815-L815</f>
        <v>0</v>
      </c>
      <c r="M816" s="177">
        <f t="shared" ref="M816" si="322">K815-M815</f>
        <v>0</v>
      </c>
      <c r="N816" s="177">
        <f t="shared" ref="N816" si="323">K815-N815</f>
        <v>0</v>
      </c>
      <c r="O816" s="178">
        <f t="shared" ref="O816" si="324">K815-O815</f>
        <v>0</v>
      </c>
      <c r="P816" s="178">
        <f t="shared" ref="P816" si="325">K815-P815</f>
        <v>0</v>
      </c>
      <c r="Q816" s="178">
        <f t="shared" ref="Q816" si="326">K815-Q815</f>
        <v>0</v>
      </c>
      <c r="R816" s="179">
        <f t="shared" ref="R816" si="327">K815-R815</f>
        <v>0</v>
      </c>
      <c r="S816" s="180">
        <f t="shared" ref="S816" si="328">L815-S815</f>
        <v>0</v>
      </c>
    </row>
    <row r="817" spans="1:19">
      <c r="A817" s="63"/>
      <c r="B817" s="63"/>
      <c r="C817" s="63"/>
      <c r="D817" s="63"/>
      <c r="E817" s="63"/>
      <c r="F817" s="63"/>
      <c r="G817" s="63"/>
      <c r="I817" s="300" t="s">
        <v>795</v>
      </c>
      <c r="J817" s="301"/>
      <c r="K817" s="181"/>
      <c r="L817" s="182"/>
      <c r="M817" s="182"/>
      <c r="N817" s="182"/>
      <c r="O817" s="183"/>
      <c r="P817" s="182"/>
      <c r="Q817" s="182"/>
      <c r="R817" s="182"/>
      <c r="S817" s="182"/>
    </row>
    <row r="818" spans="1:19">
      <c r="A818" s="63"/>
      <c r="B818" s="63"/>
      <c r="C818" s="63"/>
      <c r="D818" s="63"/>
      <c r="E818" s="63"/>
      <c r="F818" s="63"/>
      <c r="G818" s="63"/>
      <c r="I818" s="302" t="s">
        <v>796</v>
      </c>
      <c r="J818" s="302"/>
      <c r="K818" s="184"/>
      <c r="L818" s="203"/>
      <c r="M818" s="203"/>
      <c r="N818" s="203"/>
      <c r="O818" s="203"/>
      <c r="P818" s="203"/>
      <c r="Q818" s="203"/>
      <c r="R818" s="203"/>
      <c r="S818" s="203"/>
    </row>
    <row r="819" spans="1:19">
      <c r="A819" s="63"/>
      <c r="B819" s="63"/>
      <c r="C819" s="63"/>
      <c r="D819" s="63"/>
      <c r="E819" s="63"/>
      <c r="F819" s="63"/>
      <c r="G819" s="63"/>
      <c r="I819" s="302" t="s">
        <v>797</v>
      </c>
      <c r="J819" s="302"/>
      <c r="K819" s="184"/>
      <c r="L819" s="203"/>
      <c r="M819" s="203"/>
      <c r="N819" s="203"/>
      <c r="O819" s="203"/>
      <c r="P819" s="203"/>
      <c r="Q819" s="203"/>
      <c r="R819" s="203"/>
      <c r="S819" s="203"/>
    </row>
    <row r="820" spans="1:19">
      <c r="A820" s="63"/>
      <c r="B820" s="63"/>
      <c r="C820" s="63"/>
      <c r="D820" s="63"/>
      <c r="E820" s="63"/>
      <c r="F820" s="63"/>
      <c r="G820" s="63"/>
      <c r="I820" s="303" t="s">
        <v>798</v>
      </c>
      <c r="J820" s="303"/>
      <c r="K820" s="184"/>
      <c r="L820" s="185"/>
      <c r="M820" s="185"/>
      <c r="N820" s="185"/>
      <c r="O820" s="185"/>
      <c r="P820" s="204"/>
      <c r="Q820" s="204"/>
      <c r="R820" s="204"/>
      <c r="S820" s="204"/>
    </row>
    <row r="821" spans="1:19">
      <c r="A821" s="3" t="s">
        <v>801</v>
      </c>
      <c r="B821" s="201" t="s">
        <v>802</v>
      </c>
      <c r="C821" s="201" t="s">
        <v>803</v>
      </c>
      <c r="D821" s="201" t="s">
        <v>119</v>
      </c>
      <c r="E821" s="201" t="s">
        <v>148</v>
      </c>
      <c r="F821" s="201" t="s">
        <v>806</v>
      </c>
      <c r="G821" s="201" t="s">
        <v>81</v>
      </c>
      <c r="I821" s="187"/>
      <c r="J821" s="187"/>
      <c r="K821" s="187"/>
      <c r="L821" s="188"/>
      <c r="M821" s="188"/>
      <c r="N821" s="188"/>
      <c r="O821" s="188"/>
      <c r="P821" s="187"/>
      <c r="Q821" s="187"/>
      <c r="R821" s="187"/>
      <c r="S821" s="187"/>
    </row>
    <row r="822" spans="1:19">
      <c r="A822" s="293">
        <v>44080</v>
      </c>
      <c r="B822" s="161"/>
      <c r="C822" s="162"/>
      <c r="D822" s="162"/>
      <c r="E822" s="162"/>
      <c r="F822" s="162"/>
      <c r="G822" s="163"/>
      <c r="I822" s="191"/>
      <c r="J822" s="190"/>
      <c r="K822" s="190"/>
      <c r="L822" s="190"/>
      <c r="M822" s="190">
        <v>44080</v>
      </c>
      <c r="N822" s="189" t="s">
        <v>864</v>
      </c>
      <c r="O822" s="189"/>
      <c r="P822" s="189"/>
      <c r="Q822" s="189"/>
      <c r="R822" s="189"/>
      <c r="S822" s="189"/>
    </row>
    <row r="823" spans="1:19">
      <c r="A823" s="294"/>
      <c r="B823" s="164"/>
      <c r="C823" s="165"/>
      <c r="D823" s="165"/>
      <c r="E823" s="165"/>
      <c r="F823" s="165"/>
      <c r="G823" s="166"/>
      <c r="I823" s="304"/>
      <c r="J823" s="304"/>
      <c r="K823" s="167"/>
      <c r="L823" s="168"/>
      <c r="M823" s="168"/>
      <c r="N823" s="168"/>
      <c r="O823" s="169"/>
      <c r="P823" s="169"/>
      <c r="Q823" s="169"/>
      <c r="R823" s="161"/>
      <c r="S823" s="161"/>
    </row>
    <row r="824" spans="1:19">
      <c r="A824" s="294"/>
      <c r="B824" s="161"/>
      <c r="C824" s="162"/>
      <c r="D824" s="162"/>
      <c r="E824" s="162"/>
      <c r="F824" s="162"/>
      <c r="G824" s="163"/>
      <c r="I824" s="295" t="s">
        <v>782</v>
      </c>
      <c r="J824" s="296"/>
      <c r="K824" s="170"/>
      <c r="L824" s="171"/>
      <c r="M824" s="50"/>
      <c r="N824" s="171"/>
      <c r="O824" s="202"/>
      <c r="P824" s="202"/>
      <c r="Q824" s="202"/>
      <c r="R824" s="162"/>
      <c r="S824" s="162"/>
    </row>
    <row r="825" spans="1:19">
      <c r="A825" s="294"/>
      <c r="B825" s="164"/>
      <c r="C825" s="165"/>
      <c r="D825" s="165"/>
      <c r="E825" s="165"/>
      <c r="F825" s="165"/>
      <c r="G825" s="166"/>
      <c r="I825" s="295" t="s">
        <v>783</v>
      </c>
      <c r="J825" s="295"/>
      <c r="K825" s="170"/>
      <c r="L825" s="171"/>
      <c r="M825" s="50"/>
      <c r="N825" s="171"/>
      <c r="O825" s="202"/>
      <c r="P825" s="202"/>
      <c r="Q825" s="202"/>
      <c r="R825" s="162"/>
      <c r="S825" s="162"/>
    </row>
    <row r="826" spans="1:19">
      <c r="A826" s="294"/>
      <c r="B826" s="161"/>
      <c r="C826" s="162"/>
      <c r="D826" s="162"/>
      <c r="E826" s="162"/>
      <c r="F826" s="162"/>
      <c r="G826" s="163"/>
      <c r="I826" s="295" t="s">
        <v>784</v>
      </c>
      <c r="J826" s="295"/>
      <c r="K826" s="170"/>
      <c r="L826" s="171"/>
      <c r="M826" s="50"/>
      <c r="N826" s="171"/>
      <c r="O826" s="202"/>
      <c r="P826" s="202"/>
      <c r="Q826" s="202"/>
      <c r="R826" s="162"/>
      <c r="S826" s="162"/>
    </row>
    <row r="827" spans="1:19">
      <c r="A827" s="294"/>
      <c r="B827" s="164"/>
      <c r="C827" s="165"/>
      <c r="D827" s="165"/>
      <c r="E827" s="165"/>
      <c r="F827" s="165"/>
      <c r="G827" s="166"/>
      <c r="I827" s="295" t="s">
        <v>785</v>
      </c>
      <c r="J827" s="295"/>
      <c r="K827" s="170"/>
      <c r="L827" s="171"/>
      <c r="M827" s="50"/>
      <c r="N827" s="171"/>
      <c r="O827" s="202"/>
      <c r="P827" s="202"/>
      <c r="Q827" s="202"/>
      <c r="R827" s="162"/>
      <c r="S827" s="162"/>
    </row>
    <row r="828" spans="1:19">
      <c r="A828" s="294"/>
      <c r="B828" s="161"/>
      <c r="C828" s="162"/>
      <c r="D828" s="162"/>
      <c r="E828" s="162"/>
      <c r="F828" s="162"/>
      <c r="G828" s="163"/>
      <c r="I828" s="295" t="s">
        <v>786</v>
      </c>
      <c r="J828" s="295"/>
      <c r="K828" s="170"/>
      <c r="L828" s="171"/>
      <c r="M828" s="50"/>
      <c r="N828" s="171"/>
      <c r="O828" s="202"/>
      <c r="P828" s="202"/>
      <c r="Q828" s="202"/>
      <c r="R828" s="162"/>
      <c r="S828" s="162"/>
    </row>
    <row r="829" spans="1:19">
      <c r="A829" s="294"/>
      <c r="B829" s="164"/>
      <c r="C829" s="165"/>
      <c r="D829" s="165"/>
      <c r="E829" s="165"/>
      <c r="F829" s="165"/>
      <c r="G829" s="166"/>
      <c r="I829" s="295" t="s">
        <v>787</v>
      </c>
      <c r="J829" s="295"/>
      <c r="K829" s="170"/>
      <c r="L829" s="171"/>
      <c r="M829" s="50"/>
      <c r="N829" s="171"/>
      <c r="O829" s="202"/>
      <c r="P829" s="202"/>
      <c r="Q829" s="202"/>
      <c r="R829" s="162"/>
      <c r="S829" s="162"/>
    </row>
    <row r="830" spans="1:19">
      <c r="A830" s="294"/>
      <c r="B830" s="161"/>
      <c r="C830" s="162"/>
      <c r="D830" s="162"/>
      <c r="E830" s="162"/>
      <c r="F830" s="162"/>
      <c r="G830" s="163"/>
      <c r="I830" s="295" t="s">
        <v>788</v>
      </c>
      <c r="J830" s="295"/>
      <c r="K830" s="170"/>
      <c r="L830" s="171"/>
      <c r="M830" s="50"/>
      <c r="N830" s="171"/>
      <c r="O830" s="202"/>
      <c r="P830" s="202"/>
      <c r="Q830" s="202"/>
      <c r="R830" s="162"/>
      <c r="S830" s="162"/>
    </row>
    <row r="831" spans="1:19">
      <c r="A831" s="294"/>
      <c r="B831" s="164"/>
      <c r="C831" s="165"/>
      <c r="D831" s="165"/>
      <c r="E831" s="165"/>
      <c r="F831" s="165"/>
      <c r="G831" s="166"/>
      <c r="I831" s="295" t="s">
        <v>789</v>
      </c>
      <c r="J831" s="295"/>
      <c r="K831" s="170"/>
      <c r="L831" s="171"/>
      <c r="M831" s="50"/>
      <c r="N831" s="171"/>
      <c r="O831" s="202"/>
      <c r="P831" s="202"/>
      <c r="Q831" s="202"/>
      <c r="R831" s="162"/>
      <c r="S831" s="162"/>
    </row>
    <row r="832" spans="1:19">
      <c r="A832" s="63"/>
      <c r="B832" s="63"/>
      <c r="C832" s="63"/>
      <c r="D832" s="63"/>
      <c r="E832" s="63"/>
      <c r="F832" s="63"/>
      <c r="G832" s="63"/>
      <c r="I832" s="295" t="s">
        <v>790</v>
      </c>
      <c r="J832" s="295"/>
      <c r="K832" s="170"/>
      <c r="L832" s="171"/>
      <c r="M832" s="50"/>
      <c r="N832" s="171"/>
      <c r="O832" s="202"/>
      <c r="P832" s="202"/>
      <c r="Q832" s="202"/>
      <c r="R832" s="162"/>
      <c r="S832" s="162"/>
    </row>
    <row r="833" spans="1:19">
      <c r="A833" s="63"/>
      <c r="B833" s="63"/>
      <c r="C833" s="63"/>
      <c r="D833" s="63"/>
      <c r="E833" s="63"/>
      <c r="F833" s="63"/>
      <c r="G833" s="63"/>
      <c r="I833" s="295" t="s">
        <v>791</v>
      </c>
      <c r="J833" s="295"/>
      <c r="K833" s="170"/>
      <c r="L833" s="171"/>
      <c r="M833" s="50"/>
      <c r="N833" s="171"/>
      <c r="O833" s="202"/>
      <c r="P833" s="202"/>
      <c r="Q833" s="202"/>
      <c r="R833" s="162"/>
      <c r="S833" s="162"/>
    </row>
    <row r="834" spans="1:19">
      <c r="A834" s="63"/>
      <c r="B834" s="63"/>
      <c r="C834" s="63"/>
      <c r="D834" s="63"/>
      <c r="E834" s="63"/>
      <c r="F834" s="63"/>
      <c r="G834" s="63"/>
      <c r="I834" s="296" t="s">
        <v>792</v>
      </c>
      <c r="J834" s="296"/>
      <c r="K834" s="170"/>
      <c r="L834" s="171"/>
      <c r="M834" s="50"/>
      <c r="N834" s="171"/>
      <c r="O834" s="202"/>
      <c r="P834" s="202"/>
      <c r="Q834" s="202"/>
      <c r="R834" s="162"/>
      <c r="S834" s="162"/>
    </row>
    <row r="835" spans="1:19" ht="17.25" thickBot="1">
      <c r="A835" s="63"/>
      <c r="B835" s="63"/>
      <c r="C835" s="63"/>
      <c r="D835" s="63"/>
      <c r="E835" s="63"/>
      <c r="F835" s="63"/>
      <c r="G835" s="63"/>
      <c r="I835" s="297" t="s">
        <v>793</v>
      </c>
      <c r="J835" s="297"/>
      <c r="K835" s="172">
        <f t="shared" ref="K835:S835" si="329">SUM(K824:K834)</f>
        <v>0</v>
      </c>
      <c r="L835" s="205">
        <f t="shared" si="329"/>
        <v>0</v>
      </c>
      <c r="M835" s="205">
        <f t="shared" si="329"/>
        <v>0</v>
      </c>
      <c r="N835" s="205">
        <f t="shared" si="329"/>
        <v>0</v>
      </c>
      <c r="O835" s="174">
        <f t="shared" si="329"/>
        <v>0</v>
      </c>
      <c r="P835" s="174">
        <f t="shared" si="329"/>
        <v>0</v>
      </c>
      <c r="Q835" s="174">
        <f t="shared" si="329"/>
        <v>0</v>
      </c>
      <c r="R835" s="175">
        <f t="shared" si="329"/>
        <v>0</v>
      </c>
      <c r="S835" s="175">
        <f t="shared" si="329"/>
        <v>0</v>
      </c>
    </row>
    <row r="836" spans="1:19" ht="17.25" thickBot="1">
      <c r="A836" s="63"/>
      <c r="B836" s="63"/>
      <c r="C836" s="63"/>
      <c r="D836" s="63"/>
      <c r="E836" s="63"/>
      <c r="F836" s="63"/>
      <c r="G836" s="63"/>
      <c r="I836" s="298" t="s">
        <v>794</v>
      </c>
      <c r="J836" s="299"/>
      <c r="K836" s="176">
        <f t="shared" ref="K836" si="330">S815-K835</f>
        <v>0</v>
      </c>
      <c r="L836" s="177">
        <f t="shared" ref="L836" si="331">K835-L835</f>
        <v>0</v>
      </c>
      <c r="M836" s="177">
        <f t="shared" ref="M836" si="332">K835-M835</f>
        <v>0</v>
      </c>
      <c r="N836" s="177">
        <f t="shared" ref="N836" si="333">K835-N835</f>
        <v>0</v>
      </c>
      <c r="O836" s="178">
        <f t="shared" ref="O836" si="334">K835-O835</f>
        <v>0</v>
      </c>
      <c r="P836" s="178">
        <f t="shared" ref="P836" si="335">K835-P835</f>
        <v>0</v>
      </c>
      <c r="Q836" s="178">
        <f t="shared" ref="Q836" si="336">K835-Q835</f>
        <v>0</v>
      </c>
      <c r="R836" s="179">
        <f t="shared" ref="R836" si="337">K835-R835</f>
        <v>0</v>
      </c>
      <c r="S836" s="180">
        <f t="shared" ref="S836" si="338">L835-S835</f>
        <v>0</v>
      </c>
    </row>
    <row r="837" spans="1:19">
      <c r="A837" s="63"/>
      <c r="B837" s="63"/>
      <c r="C837" s="63"/>
      <c r="D837" s="63"/>
      <c r="E837" s="63"/>
      <c r="F837" s="63"/>
      <c r="G837" s="63"/>
      <c r="I837" s="300" t="s">
        <v>795</v>
      </c>
      <c r="J837" s="301"/>
      <c r="K837" s="181"/>
      <c r="L837" s="182"/>
      <c r="M837" s="182"/>
      <c r="N837" s="182"/>
      <c r="O837" s="183"/>
      <c r="P837" s="182"/>
      <c r="Q837" s="182"/>
      <c r="R837" s="182"/>
      <c r="S837" s="182"/>
    </row>
    <row r="838" spans="1:19">
      <c r="A838" s="63"/>
      <c r="B838" s="63"/>
      <c r="C838" s="63"/>
      <c r="D838" s="63"/>
      <c r="E838" s="63"/>
      <c r="F838" s="63"/>
      <c r="G838" s="63"/>
      <c r="I838" s="302" t="s">
        <v>796</v>
      </c>
      <c r="J838" s="302"/>
      <c r="K838" s="184"/>
      <c r="L838" s="203"/>
      <c r="M838" s="203"/>
      <c r="N838" s="203"/>
      <c r="O838" s="203"/>
      <c r="P838" s="203"/>
      <c r="Q838" s="203"/>
      <c r="R838" s="203"/>
      <c r="S838" s="203"/>
    </row>
    <row r="839" spans="1:19">
      <c r="A839" s="63"/>
      <c r="B839" s="63"/>
      <c r="C839" s="63"/>
      <c r="D839" s="63"/>
      <c r="E839" s="63"/>
      <c r="F839" s="63"/>
      <c r="G839" s="63"/>
      <c r="I839" s="302" t="s">
        <v>797</v>
      </c>
      <c r="J839" s="302"/>
      <c r="K839" s="184"/>
      <c r="L839" s="203"/>
      <c r="M839" s="203"/>
      <c r="N839" s="203"/>
      <c r="O839" s="203"/>
      <c r="P839" s="203"/>
      <c r="Q839" s="203"/>
      <c r="R839" s="203"/>
      <c r="S839" s="203"/>
    </row>
    <row r="840" spans="1:19">
      <c r="A840" s="63"/>
      <c r="B840" s="63"/>
      <c r="C840" s="63"/>
      <c r="D840" s="63"/>
      <c r="E840" s="63"/>
      <c r="F840" s="63"/>
      <c r="G840" s="63"/>
      <c r="I840" s="303" t="s">
        <v>798</v>
      </c>
      <c r="J840" s="303"/>
      <c r="K840" s="184"/>
      <c r="L840" s="185"/>
      <c r="M840" s="185"/>
      <c r="N840" s="185"/>
      <c r="O840" s="185"/>
      <c r="P840" s="204"/>
      <c r="Q840" s="204"/>
      <c r="R840" s="204"/>
      <c r="S840" s="204"/>
    </row>
    <row r="841" spans="1:19">
      <c r="A841" s="3" t="s">
        <v>801</v>
      </c>
      <c r="B841" s="201" t="s">
        <v>802</v>
      </c>
      <c r="C841" s="201" t="s">
        <v>803</v>
      </c>
      <c r="D841" s="201" t="s">
        <v>119</v>
      </c>
      <c r="E841" s="201" t="s">
        <v>148</v>
      </c>
      <c r="F841" s="201" t="s">
        <v>806</v>
      </c>
      <c r="G841" s="201" t="s">
        <v>81</v>
      </c>
      <c r="I841" s="187"/>
      <c r="J841" s="187"/>
      <c r="K841" s="187"/>
      <c r="L841" s="188"/>
      <c r="M841" s="188"/>
      <c r="N841" s="188"/>
      <c r="O841" s="188"/>
      <c r="P841" s="187"/>
      <c r="Q841" s="187"/>
      <c r="R841" s="187"/>
      <c r="S841" s="187"/>
    </row>
    <row r="842" spans="1:19">
      <c r="A842" s="293">
        <v>44081</v>
      </c>
      <c r="B842" s="161"/>
      <c r="C842" s="162"/>
      <c r="D842" s="162"/>
      <c r="E842" s="162"/>
      <c r="F842" s="162"/>
      <c r="G842" s="163"/>
      <c r="I842" s="191"/>
      <c r="J842" s="190"/>
      <c r="K842" s="190"/>
      <c r="L842" s="190"/>
      <c r="M842" s="190">
        <v>44081</v>
      </c>
      <c r="N842" s="189" t="s">
        <v>864</v>
      </c>
      <c r="O842" s="189"/>
      <c r="P842" s="189"/>
      <c r="Q842" s="189"/>
      <c r="R842" s="189"/>
      <c r="S842" s="189"/>
    </row>
    <row r="843" spans="1:19">
      <c r="A843" s="294"/>
      <c r="B843" s="164"/>
      <c r="C843" s="165"/>
      <c r="D843" s="165"/>
      <c r="E843" s="165"/>
      <c r="F843" s="165"/>
      <c r="G843" s="166"/>
      <c r="I843" s="304"/>
      <c r="J843" s="304"/>
      <c r="K843" s="167"/>
      <c r="L843" s="168"/>
      <c r="M843" s="168"/>
      <c r="N843" s="168"/>
      <c r="O843" s="169"/>
      <c r="P843" s="169"/>
      <c r="Q843" s="169"/>
      <c r="R843" s="161"/>
      <c r="S843" s="161"/>
    </row>
    <row r="844" spans="1:19">
      <c r="A844" s="294"/>
      <c r="B844" s="161"/>
      <c r="C844" s="162"/>
      <c r="D844" s="162"/>
      <c r="E844" s="162"/>
      <c r="F844" s="162"/>
      <c r="G844" s="163"/>
      <c r="I844" s="295" t="s">
        <v>782</v>
      </c>
      <c r="J844" s="296"/>
      <c r="K844" s="170"/>
      <c r="L844" s="171"/>
      <c r="M844" s="50"/>
      <c r="N844" s="171"/>
      <c r="O844" s="202"/>
      <c r="P844" s="202"/>
      <c r="Q844" s="202"/>
      <c r="R844" s="162"/>
      <c r="S844" s="162"/>
    </row>
    <row r="845" spans="1:19">
      <c r="A845" s="294"/>
      <c r="B845" s="164"/>
      <c r="C845" s="165"/>
      <c r="D845" s="165"/>
      <c r="E845" s="165"/>
      <c r="F845" s="165"/>
      <c r="G845" s="166"/>
      <c r="I845" s="295" t="s">
        <v>783</v>
      </c>
      <c r="J845" s="295"/>
      <c r="K845" s="170"/>
      <c r="L845" s="171"/>
      <c r="M845" s="50"/>
      <c r="N845" s="171"/>
      <c r="O845" s="202"/>
      <c r="P845" s="202"/>
      <c r="Q845" s="202"/>
      <c r="R845" s="162"/>
      <c r="S845" s="162"/>
    </row>
    <row r="846" spans="1:19">
      <c r="A846" s="294"/>
      <c r="B846" s="161"/>
      <c r="C846" s="162"/>
      <c r="D846" s="162"/>
      <c r="E846" s="162"/>
      <c r="F846" s="162"/>
      <c r="G846" s="163"/>
      <c r="I846" s="295" t="s">
        <v>784</v>
      </c>
      <c r="J846" s="295"/>
      <c r="K846" s="170"/>
      <c r="L846" s="171"/>
      <c r="M846" s="50"/>
      <c r="N846" s="171"/>
      <c r="O846" s="202"/>
      <c r="P846" s="202"/>
      <c r="Q846" s="202"/>
      <c r="R846" s="162"/>
      <c r="S846" s="162"/>
    </row>
    <row r="847" spans="1:19">
      <c r="A847" s="294"/>
      <c r="B847" s="164"/>
      <c r="C847" s="165"/>
      <c r="D847" s="165"/>
      <c r="E847" s="165"/>
      <c r="F847" s="165"/>
      <c r="G847" s="166"/>
      <c r="I847" s="295" t="s">
        <v>785</v>
      </c>
      <c r="J847" s="295"/>
      <c r="K847" s="170"/>
      <c r="L847" s="171"/>
      <c r="M847" s="50"/>
      <c r="N847" s="171"/>
      <c r="O847" s="202"/>
      <c r="P847" s="202"/>
      <c r="Q847" s="202"/>
      <c r="R847" s="162"/>
      <c r="S847" s="162"/>
    </row>
    <row r="848" spans="1:19">
      <c r="A848" s="294"/>
      <c r="B848" s="161"/>
      <c r="C848" s="162"/>
      <c r="D848" s="162"/>
      <c r="E848" s="162"/>
      <c r="F848" s="162"/>
      <c r="G848" s="163"/>
      <c r="I848" s="295" t="s">
        <v>786</v>
      </c>
      <c r="J848" s="295"/>
      <c r="K848" s="170"/>
      <c r="L848" s="171"/>
      <c r="M848" s="50"/>
      <c r="N848" s="171"/>
      <c r="O848" s="202"/>
      <c r="P848" s="202"/>
      <c r="Q848" s="202"/>
      <c r="R848" s="162"/>
      <c r="S848" s="162"/>
    </row>
    <row r="849" spans="1:19">
      <c r="A849" s="294"/>
      <c r="B849" s="164"/>
      <c r="C849" s="165"/>
      <c r="D849" s="165"/>
      <c r="E849" s="165"/>
      <c r="F849" s="165"/>
      <c r="G849" s="166"/>
      <c r="I849" s="295" t="s">
        <v>787</v>
      </c>
      <c r="J849" s="295"/>
      <c r="K849" s="170"/>
      <c r="L849" s="171"/>
      <c r="M849" s="50"/>
      <c r="N849" s="171"/>
      <c r="O849" s="202"/>
      <c r="P849" s="202"/>
      <c r="Q849" s="202"/>
      <c r="R849" s="162"/>
      <c r="S849" s="162"/>
    </row>
    <row r="850" spans="1:19">
      <c r="A850" s="294"/>
      <c r="B850" s="161"/>
      <c r="C850" s="162"/>
      <c r="D850" s="162"/>
      <c r="E850" s="162"/>
      <c r="F850" s="162"/>
      <c r="G850" s="163"/>
      <c r="I850" s="295" t="s">
        <v>788</v>
      </c>
      <c r="J850" s="295"/>
      <c r="K850" s="170"/>
      <c r="L850" s="171"/>
      <c r="M850" s="50"/>
      <c r="N850" s="171"/>
      <c r="O850" s="202"/>
      <c r="P850" s="202"/>
      <c r="Q850" s="202"/>
      <c r="R850" s="162"/>
      <c r="S850" s="162"/>
    </row>
    <row r="851" spans="1:19">
      <c r="A851" s="294"/>
      <c r="B851" s="164"/>
      <c r="C851" s="165"/>
      <c r="D851" s="165"/>
      <c r="E851" s="165"/>
      <c r="F851" s="165"/>
      <c r="G851" s="166"/>
      <c r="I851" s="295" t="s">
        <v>789</v>
      </c>
      <c r="J851" s="295"/>
      <c r="K851" s="170"/>
      <c r="L851" s="171"/>
      <c r="M851" s="50"/>
      <c r="N851" s="171"/>
      <c r="O851" s="202"/>
      <c r="P851" s="202"/>
      <c r="Q851" s="202"/>
      <c r="R851" s="162"/>
      <c r="S851" s="162"/>
    </row>
    <row r="852" spans="1:19">
      <c r="A852" s="63"/>
      <c r="B852" s="63"/>
      <c r="C852" s="63"/>
      <c r="D852" s="63"/>
      <c r="E852" s="63"/>
      <c r="F852" s="63"/>
      <c r="G852" s="63"/>
      <c r="I852" s="295" t="s">
        <v>790</v>
      </c>
      <c r="J852" s="295"/>
      <c r="K852" s="170"/>
      <c r="L852" s="171"/>
      <c r="M852" s="50"/>
      <c r="N852" s="171"/>
      <c r="O852" s="202"/>
      <c r="P852" s="202"/>
      <c r="Q852" s="202"/>
      <c r="R852" s="162"/>
      <c r="S852" s="162"/>
    </row>
    <row r="853" spans="1:19">
      <c r="A853" s="63"/>
      <c r="B853" s="63"/>
      <c r="C853" s="63"/>
      <c r="D853" s="63"/>
      <c r="E853" s="63"/>
      <c r="F853" s="63"/>
      <c r="G853" s="63"/>
      <c r="I853" s="295" t="s">
        <v>791</v>
      </c>
      <c r="J853" s="295"/>
      <c r="K853" s="170"/>
      <c r="L853" s="171"/>
      <c r="M853" s="50"/>
      <c r="N853" s="171"/>
      <c r="O853" s="202"/>
      <c r="P853" s="202"/>
      <c r="Q853" s="202"/>
      <c r="R853" s="162"/>
      <c r="S853" s="162"/>
    </row>
    <row r="854" spans="1:19">
      <c r="A854" s="63"/>
      <c r="B854" s="63"/>
      <c r="C854" s="63"/>
      <c r="D854" s="63"/>
      <c r="E854" s="63"/>
      <c r="F854" s="63"/>
      <c r="G854" s="63"/>
      <c r="I854" s="296" t="s">
        <v>792</v>
      </c>
      <c r="J854" s="296"/>
      <c r="K854" s="170"/>
      <c r="L854" s="171"/>
      <c r="M854" s="50"/>
      <c r="N854" s="171"/>
      <c r="O854" s="202"/>
      <c r="P854" s="202"/>
      <c r="Q854" s="202"/>
      <c r="R854" s="162"/>
      <c r="S854" s="162"/>
    </row>
    <row r="855" spans="1:19" ht="17.25" thickBot="1">
      <c r="A855" s="63"/>
      <c r="B855" s="63"/>
      <c r="C855" s="63"/>
      <c r="D855" s="63"/>
      <c r="E855" s="63"/>
      <c r="F855" s="63"/>
      <c r="G855" s="63"/>
      <c r="I855" s="297" t="s">
        <v>793</v>
      </c>
      <c r="J855" s="297"/>
      <c r="K855" s="172">
        <f t="shared" ref="K855:S855" si="339">SUM(K844:K854)</f>
        <v>0</v>
      </c>
      <c r="L855" s="205">
        <f t="shared" si="339"/>
        <v>0</v>
      </c>
      <c r="M855" s="205">
        <f t="shared" si="339"/>
        <v>0</v>
      </c>
      <c r="N855" s="205">
        <f t="shared" si="339"/>
        <v>0</v>
      </c>
      <c r="O855" s="174">
        <f t="shared" si="339"/>
        <v>0</v>
      </c>
      <c r="P855" s="174">
        <f t="shared" si="339"/>
        <v>0</v>
      </c>
      <c r="Q855" s="174">
        <f t="shared" si="339"/>
        <v>0</v>
      </c>
      <c r="R855" s="175">
        <f t="shared" si="339"/>
        <v>0</v>
      </c>
      <c r="S855" s="175">
        <f t="shared" si="339"/>
        <v>0</v>
      </c>
    </row>
    <row r="856" spans="1:19" ht="17.25" thickBot="1">
      <c r="A856" s="63"/>
      <c r="B856" s="63"/>
      <c r="C856" s="63"/>
      <c r="D856" s="63"/>
      <c r="E856" s="63"/>
      <c r="F856" s="63"/>
      <c r="G856" s="63"/>
      <c r="I856" s="298" t="s">
        <v>794</v>
      </c>
      <c r="J856" s="299"/>
      <c r="K856" s="176">
        <f t="shared" ref="K856" si="340">S835-K855</f>
        <v>0</v>
      </c>
      <c r="L856" s="177">
        <f t="shared" ref="L856" si="341">K855-L855</f>
        <v>0</v>
      </c>
      <c r="M856" s="177">
        <f t="shared" ref="M856" si="342">K855-M855</f>
        <v>0</v>
      </c>
      <c r="N856" s="177">
        <f t="shared" ref="N856" si="343">K855-N855</f>
        <v>0</v>
      </c>
      <c r="O856" s="178">
        <f t="shared" ref="O856" si="344">K855-O855</f>
        <v>0</v>
      </c>
      <c r="P856" s="178">
        <f t="shared" ref="P856" si="345">K855-P855</f>
        <v>0</v>
      </c>
      <c r="Q856" s="178">
        <f t="shared" ref="Q856" si="346">K855-Q855</f>
        <v>0</v>
      </c>
      <c r="R856" s="179">
        <f t="shared" ref="R856" si="347">K855-R855</f>
        <v>0</v>
      </c>
      <c r="S856" s="180">
        <f t="shared" ref="S856" si="348">L855-S855</f>
        <v>0</v>
      </c>
    </row>
    <row r="857" spans="1:19">
      <c r="A857" s="63"/>
      <c r="B857" s="63"/>
      <c r="C857" s="63"/>
      <c r="D857" s="63"/>
      <c r="E857" s="63"/>
      <c r="F857" s="63"/>
      <c r="G857" s="63"/>
      <c r="I857" s="300" t="s">
        <v>795</v>
      </c>
      <c r="J857" s="301"/>
      <c r="K857" s="181"/>
      <c r="L857" s="182"/>
      <c r="M857" s="182"/>
      <c r="N857" s="182"/>
      <c r="O857" s="183"/>
      <c r="P857" s="182"/>
      <c r="Q857" s="182"/>
      <c r="R857" s="182"/>
      <c r="S857" s="182"/>
    </row>
    <row r="858" spans="1:19">
      <c r="A858" s="63"/>
      <c r="B858" s="63"/>
      <c r="C858" s="63"/>
      <c r="D858" s="63"/>
      <c r="E858" s="63"/>
      <c r="F858" s="63"/>
      <c r="G858" s="63"/>
      <c r="I858" s="302" t="s">
        <v>796</v>
      </c>
      <c r="J858" s="302"/>
      <c r="K858" s="184"/>
      <c r="L858" s="203"/>
      <c r="M858" s="203"/>
      <c r="N858" s="203"/>
      <c r="O858" s="203"/>
      <c r="P858" s="203"/>
      <c r="Q858" s="203"/>
      <c r="R858" s="203"/>
      <c r="S858" s="203"/>
    </row>
    <row r="859" spans="1:19">
      <c r="A859" s="63"/>
      <c r="B859" s="63"/>
      <c r="C859" s="63"/>
      <c r="D859" s="63"/>
      <c r="E859" s="63"/>
      <c r="F859" s="63"/>
      <c r="G859" s="63"/>
      <c r="I859" s="302" t="s">
        <v>797</v>
      </c>
      <c r="J859" s="302"/>
      <c r="K859" s="184"/>
      <c r="L859" s="203"/>
      <c r="M859" s="203"/>
      <c r="N859" s="203"/>
      <c r="O859" s="203"/>
      <c r="P859" s="203"/>
      <c r="Q859" s="203"/>
      <c r="R859" s="203"/>
      <c r="S859" s="203"/>
    </row>
    <row r="860" spans="1:19">
      <c r="A860" s="63"/>
      <c r="B860" s="63"/>
      <c r="C860" s="63"/>
      <c r="D860" s="63"/>
      <c r="E860" s="63"/>
      <c r="F860" s="63"/>
      <c r="G860" s="63"/>
      <c r="I860" s="303" t="s">
        <v>798</v>
      </c>
      <c r="J860" s="303"/>
      <c r="K860" s="184"/>
      <c r="L860" s="185"/>
      <c r="M860" s="185"/>
      <c r="N860" s="185"/>
      <c r="O860" s="185"/>
      <c r="P860" s="204"/>
      <c r="Q860" s="204"/>
      <c r="R860" s="204"/>
      <c r="S860" s="204"/>
    </row>
    <row r="861" spans="1:19">
      <c r="A861" s="3" t="s">
        <v>801</v>
      </c>
      <c r="B861" s="201" t="s">
        <v>802</v>
      </c>
      <c r="C861" s="201" t="s">
        <v>803</v>
      </c>
      <c r="D861" s="201" t="s">
        <v>119</v>
      </c>
      <c r="E861" s="201" t="s">
        <v>148</v>
      </c>
      <c r="F861" s="201" t="s">
        <v>806</v>
      </c>
      <c r="G861" s="201" t="s">
        <v>81</v>
      </c>
      <c r="I861" s="187"/>
      <c r="J861" s="187"/>
      <c r="K861" s="187"/>
      <c r="L861" s="188"/>
      <c r="M861" s="188"/>
      <c r="N861" s="188"/>
      <c r="O861" s="188"/>
      <c r="P861" s="187"/>
      <c r="Q861" s="187"/>
      <c r="R861" s="187"/>
      <c r="S861" s="187"/>
    </row>
    <row r="862" spans="1:19">
      <c r="A862" s="293">
        <v>44082</v>
      </c>
      <c r="B862" s="161"/>
      <c r="C862" s="162"/>
      <c r="D862" s="162"/>
      <c r="E862" s="162"/>
      <c r="F862" s="162"/>
      <c r="G862" s="163"/>
      <c r="I862" s="191"/>
      <c r="J862" s="190"/>
      <c r="K862" s="190"/>
      <c r="L862" s="190"/>
      <c r="M862" s="190">
        <v>44082</v>
      </c>
      <c r="N862" s="189" t="s">
        <v>864</v>
      </c>
      <c r="O862" s="189"/>
      <c r="P862" s="189"/>
      <c r="Q862" s="189"/>
      <c r="R862" s="189"/>
      <c r="S862" s="189"/>
    </row>
    <row r="863" spans="1:19">
      <c r="A863" s="294"/>
      <c r="B863" s="164"/>
      <c r="C863" s="165"/>
      <c r="D863" s="165"/>
      <c r="E863" s="165"/>
      <c r="F863" s="165"/>
      <c r="G863" s="166"/>
      <c r="I863" s="304"/>
      <c r="J863" s="304"/>
      <c r="K863" s="167"/>
      <c r="L863" s="168"/>
      <c r="M863" s="168"/>
      <c r="N863" s="168"/>
      <c r="O863" s="169"/>
      <c r="P863" s="169"/>
      <c r="Q863" s="169"/>
      <c r="R863" s="161"/>
      <c r="S863" s="161"/>
    </row>
    <row r="864" spans="1:19">
      <c r="A864" s="294"/>
      <c r="B864" s="161"/>
      <c r="C864" s="162"/>
      <c r="D864" s="162"/>
      <c r="E864" s="162"/>
      <c r="F864" s="162"/>
      <c r="G864" s="163"/>
      <c r="I864" s="295" t="s">
        <v>782</v>
      </c>
      <c r="J864" s="296"/>
      <c r="K864" s="170"/>
      <c r="L864" s="171"/>
      <c r="M864" s="50"/>
      <c r="N864" s="171"/>
      <c r="O864" s="202"/>
      <c r="P864" s="202"/>
      <c r="Q864" s="202"/>
      <c r="R864" s="162"/>
      <c r="S864" s="162"/>
    </row>
    <row r="865" spans="1:19">
      <c r="A865" s="294"/>
      <c r="B865" s="164"/>
      <c r="C865" s="165"/>
      <c r="D865" s="165"/>
      <c r="E865" s="165"/>
      <c r="F865" s="165"/>
      <c r="G865" s="166"/>
      <c r="I865" s="295" t="s">
        <v>783</v>
      </c>
      <c r="J865" s="295"/>
      <c r="K865" s="170"/>
      <c r="L865" s="171"/>
      <c r="M865" s="50"/>
      <c r="N865" s="171"/>
      <c r="O865" s="202"/>
      <c r="P865" s="202"/>
      <c r="Q865" s="202"/>
      <c r="R865" s="162"/>
      <c r="S865" s="162"/>
    </row>
    <row r="866" spans="1:19">
      <c r="A866" s="294"/>
      <c r="B866" s="161"/>
      <c r="C866" s="162"/>
      <c r="D866" s="162"/>
      <c r="E866" s="162"/>
      <c r="F866" s="162"/>
      <c r="G866" s="163"/>
      <c r="I866" s="295" t="s">
        <v>784</v>
      </c>
      <c r="J866" s="295"/>
      <c r="K866" s="170"/>
      <c r="L866" s="171"/>
      <c r="M866" s="50"/>
      <c r="N866" s="171"/>
      <c r="O866" s="202"/>
      <c r="P866" s="202"/>
      <c r="Q866" s="202"/>
      <c r="R866" s="162"/>
      <c r="S866" s="162"/>
    </row>
    <row r="867" spans="1:19">
      <c r="A867" s="294"/>
      <c r="B867" s="164"/>
      <c r="C867" s="165"/>
      <c r="D867" s="165"/>
      <c r="E867" s="165"/>
      <c r="F867" s="165"/>
      <c r="G867" s="166"/>
      <c r="I867" s="295" t="s">
        <v>785</v>
      </c>
      <c r="J867" s="295"/>
      <c r="K867" s="170"/>
      <c r="L867" s="171"/>
      <c r="M867" s="50"/>
      <c r="N867" s="171"/>
      <c r="O867" s="202"/>
      <c r="P867" s="202"/>
      <c r="Q867" s="202"/>
      <c r="R867" s="162"/>
      <c r="S867" s="162"/>
    </row>
    <row r="868" spans="1:19">
      <c r="A868" s="294"/>
      <c r="B868" s="161"/>
      <c r="C868" s="162"/>
      <c r="D868" s="162"/>
      <c r="E868" s="162"/>
      <c r="F868" s="162"/>
      <c r="G868" s="163"/>
      <c r="I868" s="295" t="s">
        <v>786</v>
      </c>
      <c r="J868" s="295"/>
      <c r="K868" s="170"/>
      <c r="L868" s="171"/>
      <c r="M868" s="50"/>
      <c r="N868" s="171"/>
      <c r="O868" s="202"/>
      <c r="P868" s="202"/>
      <c r="Q868" s="202"/>
      <c r="R868" s="162"/>
      <c r="S868" s="162"/>
    </row>
    <row r="869" spans="1:19">
      <c r="A869" s="294"/>
      <c r="B869" s="164"/>
      <c r="C869" s="165"/>
      <c r="D869" s="165"/>
      <c r="E869" s="165"/>
      <c r="F869" s="165"/>
      <c r="G869" s="166"/>
      <c r="I869" s="295" t="s">
        <v>787</v>
      </c>
      <c r="J869" s="295"/>
      <c r="K869" s="170"/>
      <c r="L869" s="171"/>
      <c r="M869" s="50"/>
      <c r="N869" s="171"/>
      <c r="O869" s="202"/>
      <c r="P869" s="202"/>
      <c r="Q869" s="202"/>
      <c r="R869" s="162"/>
      <c r="S869" s="162"/>
    </row>
    <row r="870" spans="1:19">
      <c r="A870" s="294"/>
      <c r="B870" s="161"/>
      <c r="C870" s="162"/>
      <c r="D870" s="162"/>
      <c r="E870" s="162"/>
      <c r="F870" s="162"/>
      <c r="G870" s="163"/>
      <c r="I870" s="295" t="s">
        <v>788</v>
      </c>
      <c r="J870" s="295"/>
      <c r="K870" s="170"/>
      <c r="L870" s="171"/>
      <c r="M870" s="50"/>
      <c r="N870" s="171"/>
      <c r="O870" s="202"/>
      <c r="P870" s="202"/>
      <c r="Q870" s="202"/>
      <c r="R870" s="162"/>
      <c r="S870" s="162"/>
    </row>
    <row r="871" spans="1:19">
      <c r="A871" s="294"/>
      <c r="B871" s="164"/>
      <c r="C871" s="165"/>
      <c r="D871" s="165"/>
      <c r="E871" s="165"/>
      <c r="F871" s="165"/>
      <c r="G871" s="166"/>
      <c r="I871" s="295" t="s">
        <v>789</v>
      </c>
      <c r="J871" s="295"/>
      <c r="K871" s="170"/>
      <c r="L871" s="171"/>
      <c r="M871" s="50"/>
      <c r="N871" s="171"/>
      <c r="O871" s="202"/>
      <c r="P871" s="202"/>
      <c r="Q871" s="202"/>
      <c r="R871" s="162"/>
      <c r="S871" s="162"/>
    </row>
    <row r="872" spans="1:19">
      <c r="A872" s="63"/>
      <c r="B872" s="63"/>
      <c r="C872" s="63"/>
      <c r="D872" s="63"/>
      <c r="E872" s="63"/>
      <c r="F872" s="63"/>
      <c r="G872" s="63"/>
      <c r="I872" s="295" t="s">
        <v>790</v>
      </c>
      <c r="J872" s="295"/>
      <c r="K872" s="170"/>
      <c r="L872" s="171"/>
      <c r="M872" s="50"/>
      <c r="N872" s="171"/>
      <c r="O872" s="202"/>
      <c r="P872" s="202"/>
      <c r="Q872" s="202"/>
      <c r="R872" s="162"/>
      <c r="S872" s="162"/>
    </row>
    <row r="873" spans="1:19">
      <c r="A873" s="63"/>
      <c r="B873" s="63"/>
      <c r="C873" s="63"/>
      <c r="D873" s="63"/>
      <c r="E873" s="63"/>
      <c r="F873" s="63"/>
      <c r="G873" s="63"/>
      <c r="I873" s="295" t="s">
        <v>791</v>
      </c>
      <c r="J873" s="295"/>
      <c r="K873" s="170"/>
      <c r="L873" s="171"/>
      <c r="M873" s="50"/>
      <c r="N873" s="171"/>
      <c r="O873" s="202"/>
      <c r="P873" s="202"/>
      <c r="Q873" s="202"/>
      <c r="R873" s="162"/>
      <c r="S873" s="162"/>
    </row>
    <row r="874" spans="1:19">
      <c r="A874" s="63"/>
      <c r="B874" s="63"/>
      <c r="C874" s="63"/>
      <c r="D874" s="63"/>
      <c r="E874" s="63"/>
      <c r="F874" s="63"/>
      <c r="G874" s="63"/>
      <c r="I874" s="296" t="s">
        <v>792</v>
      </c>
      <c r="J874" s="296"/>
      <c r="K874" s="170"/>
      <c r="L874" s="171"/>
      <c r="M874" s="50"/>
      <c r="N874" s="171"/>
      <c r="O874" s="202"/>
      <c r="P874" s="202"/>
      <c r="Q874" s="202"/>
      <c r="R874" s="162"/>
      <c r="S874" s="162"/>
    </row>
    <row r="875" spans="1:19" ht="17.25" thickBot="1">
      <c r="A875" s="63"/>
      <c r="B875" s="63"/>
      <c r="C875" s="63"/>
      <c r="D875" s="63"/>
      <c r="E875" s="63"/>
      <c r="F875" s="63"/>
      <c r="G875" s="63"/>
      <c r="I875" s="297" t="s">
        <v>793</v>
      </c>
      <c r="J875" s="297"/>
      <c r="K875" s="172">
        <f t="shared" ref="K875:S875" si="349">SUM(K864:K874)</f>
        <v>0</v>
      </c>
      <c r="L875" s="205">
        <f t="shared" si="349"/>
        <v>0</v>
      </c>
      <c r="M875" s="205">
        <f t="shared" si="349"/>
        <v>0</v>
      </c>
      <c r="N875" s="205">
        <f t="shared" si="349"/>
        <v>0</v>
      </c>
      <c r="O875" s="174">
        <f t="shared" si="349"/>
        <v>0</v>
      </c>
      <c r="P875" s="174">
        <f t="shared" si="349"/>
        <v>0</v>
      </c>
      <c r="Q875" s="174">
        <f t="shared" si="349"/>
        <v>0</v>
      </c>
      <c r="R875" s="175">
        <f t="shared" si="349"/>
        <v>0</v>
      </c>
      <c r="S875" s="175">
        <f t="shared" si="349"/>
        <v>0</v>
      </c>
    </row>
    <row r="876" spans="1:19" ht="17.25" thickBot="1">
      <c r="A876" s="63"/>
      <c r="B876" s="63"/>
      <c r="C876" s="63"/>
      <c r="D876" s="63"/>
      <c r="E876" s="63"/>
      <c r="F876" s="63"/>
      <c r="G876" s="63"/>
      <c r="I876" s="298" t="s">
        <v>794</v>
      </c>
      <c r="J876" s="299"/>
      <c r="K876" s="176">
        <f t="shared" ref="K876" si="350">S855-K875</f>
        <v>0</v>
      </c>
      <c r="L876" s="177">
        <f t="shared" ref="L876" si="351">K875-L875</f>
        <v>0</v>
      </c>
      <c r="M876" s="177">
        <f t="shared" ref="M876" si="352">K875-M875</f>
        <v>0</v>
      </c>
      <c r="N876" s="177">
        <f t="shared" ref="N876" si="353">K875-N875</f>
        <v>0</v>
      </c>
      <c r="O876" s="178">
        <f t="shared" ref="O876" si="354">K875-O875</f>
        <v>0</v>
      </c>
      <c r="P876" s="178">
        <f t="shared" ref="P876" si="355">K875-P875</f>
        <v>0</v>
      </c>
      <c r="Q876" s="178">
        <f t="shared" ref="Q876" si="356">K875-Q875</f>
        <v>0</v>
      </c>
      <c r="R876" s="179">
        <f t="shared" ref="R876" si="357">K875-R875</f>
        <v>0</v>
      </c>
      <c r="S876" s="180">
        <f t="shared" ref="S876" si="358">L875-S875</f>
        <v>0</v>
      </c>
    </row>
    <row r="877" spans="1:19">
      <c r="A877" s="63"/>
      <c r="B877" s="63"/>
      <c r="C877" s="63"/>
      <c r="D877" s="63"/>
      <c r="E877" s="63"/>
      <c r="F877" s="63"/>
      <c r="G877" s="63"/>
      <c r="I877" s="300" t="s">
        <v>795</v>
      </c>
      <c r="J877" s="301"/>
      <c r="K877" s="181"/>
      <c r="L877" s="182"/>
      <c r="M877" s="182"/>
      <c r="N877" s="182"/>
      <c r="O877" s="183"/>
      <c r="P877" s="182"/>
      <c r="Q877" s="182"/>
      <c r="R877" s="182"/>
      <c r="S877" s="182"/>
    </row>
    <row r="878" spans="1:19">
      <c r="A878" s="63"/>
      <c r="B878" s="63"/>
      <c r="C878" s="63"/>
      <c r="D878" s="63"/>
      <c r="E878" s="63"/>
      <c r="F878" s="63"/>
      <c r="G878" s="63"/>
      <c r="I878" s="302" t="s">
        <v>796</v>
      </c>
      <c r="J878" s="302"/>
      <c r="K878" s="184"/>
      <c r="L878" s="203"/>
      <c r="M878" s="203"/>
      <c r="N878" s="203"/>
      <c r="O878" s="203"/>
      <c r="P878" s="203"/>
      <c r="Q878" s="203"/>
      <c r="R878" s="203"/>
      <c r="S878" s="203"/>
    </row>
    <row r="879" spans="1:19">
      <c r="A879" s="63"/>
      <c r="B879" s="63"/>
      <c r="C879" s="63"/>
      <c r="D879" s="63"/>
      <c r="E879" s="63"/>
      <c r="F879" s="63"/>
      <c r="G879" s="63"/>
      <c r="I879" s="302" t="s">
        <v>797</v>
      </c>
      <c r="J879" s="302"/>
      <c r="K879" s="184"/>
      <c r="L879" s="203"/>
      <c r="M879" s="203"/>
      <c r="N879" s="203"/>
      <c r="O879" s="203"/>
      <c r="P879" s="203"/>
      <c r="Q879" s="203"/>
      <c r="R879" s="203"/>
      <c r="S879" s="203"/>
    </row>
    <row r="880" spans="1:19">
      <c r="A880" s="63"/>
      <c r="B880" s="63"/>
      <c r="C880" s="63"/>
      <c r="D880" s="63"/>
      <c r="E880" s="63"/>
      <c r="F880" s="63"/>
      <c r="G880" s="63"/>
      <c r="I880" s="303" t="s">
        <v>798</v>
      </c>
      <c r="J880" s="303"/>
      <c r="K880" s="184"/>
      <c r="L880" s="185"/>
      <c r="M880" s="185"/>
      <c r="N880" s="185"/>
      <c r="O880" s="185"/>
      <c r="P880" s="204"/>
      <c r="Q880" s="204"/>
      <c r="R880" s="204"/>
      <c r="S880" s="204"/>
    </row>
    <row r="881" spans="1:19">
      <c r="A881" s="3" t="s">
        <v>801</v>
      </c>
      <c r="B881" s="201" t="s">
        <v>802</v>
      </c>
      <c r="C881" s="201" t="s">
        <v>803</v>
      </c>
      <c r="D881" s="201" t="s">
        <v>119</v>
      </c>
      <c r="E881" s="201" t="s">
        <v>148</v>
      </c>
      <c r="F881" s="201" t="s">
        <v>806</v>
      </c>
      <c r="G881" s="201" t="s">
        <v>81</v>
      </c>
      <c r="I881" s="187"/>
      <c r="J881" s="187"/>
      <c r="K881" s="187"/>
      <c r="L881" s="188"/>
      <c r="M881" s="188"/>
      <c r="N881" s="188"/>
      <c r="O881" s="188"/>
      <c r="P881" s="187"/>
      <c r="Q881" s="187"/>
      <c r="R881" s="187"/>
      <c r="S881" s="187"/>
    </row>
    <row r="882" spans="1:19">
      <c r="A882" s="293">
        <v>44083</v>
      </c>
      <c r="B882" s="161"/>
      <c r="C882" s="162"/>
      <c r="D882" s="162"/>
      <c r="E882" s="162"/>
      <c r="F882" s="162"/>
      <c r="G882" s="163"/>
      <c r="I882" s="191"/>
      <c r="J882" s="190"/>
      <c r="K882" s="190"/>
      <c r="L882" s="190"/>
      <c r="M882" s="190">
        <v>44083</v>
      </c>
      <c r="N882" s="189" t="s">
        <v>864</v>
      </c>
      <c r="O882" s="189"/>
      <c r="P882" s="189"/>
      <c r="Q882" s="189"/>
      <c r="R882" s="189"/>
      <c r="S882" s="189"/>
    </row>
    <row r="883" spans="1:19">
      <c r="A883" s="294"/>
      <c r="B883" s="164"/>
      <c r="C883" s="165"/>
      <c r="D883" s="165"/>
      <c r="E883" s="165"/>
      <c r="F883" s="165"/>
      <c r="G883" s="166"/>
      <c r="I883" s="304"/>
      <c r="J883" s="304"/>
      <c r="K883" s="167"/>
      <c r="L883" s="168"/>
      <c r="M883" s="168"/>
      <c r="N883" s="168"/>
      <c r="O883" s="169"/>
      <c r="P883" s="169"/>
      <c r="Q883" s="169"/>
      <c r="R883" s="161"/>
      <c r="S883" s="161"/>
    </row>
    <row r="884" spans="1:19">
      <c r="A884" s="294"/>
      <c r="B884" s="161"/>
      <c r="C884" s="162"/>
      <c r="D884" s="162"/>
      <c r="E884" s="162"/>
      <c r="F884" s="162"/>
      <c r="G884" s="163"/>
      <c r="I884" s="295" t="s">
        <v>782</v>
      </c>
      <c r="J884" s="296"/>
      <c r="K884" s="170"/>
      <c r="L884" s="171"/>
      <c r="M884" s="50"/>
      <c r="N884" s="171"/>
      <c r="O884" s="202"/>
      <c r="P884" s="202"/>
      <c r="Q884" s="202"/>
      <c r="R884" s="162"/>
      <c r="S884" s="162"/>
    </row>
    <row r="885" spans="1:19">
      <c r="A885" s="294"/>
      <c r="B885" s="164"/>
      <c r="C885" s="165"/>
      <c r="D885" s="165"/>
      <c r="E885" s="165"/>
      <c r="F885" s="165"/>
      <c r="G885" s="166"/>
      <c r="I885" s="295" t="s">
        <v>783</v>
      </c>
      <c r="J885" s="295"/>
      <c r="K885" s="170"/>
      <c r="L885" s="171"/>
      <c r="M885" s="50"/>
      <c r="N885" s="171"/>
      <c r="O885" s="202"/>
      <c r="P885" s="202"/>
      <c r="Q885" s="202"/>
      <c r="R885" s="162"/>
      <c r="S885" s="162"/>
    </row>
    <row r="886" spans="1:19">
      <c r="A886" s="294"/>
      <c r="B886" s="161"/>
      <c r="C886" s="162"/>
      <c r="D886" s="162"/>
      <c r="E886" s="162"/>
      <c r="F886" s="162"/>
      <c r="G886" s="163"/>
      <c r="I886" s="295" t="s">
        <v>784</v>
      </c>
      <c r="J886" s="295"/>
      <c r="K886" s="170"/>
      <c r="L886" s="171"/>
      <c r="M886" s="50"/>
      <c r="N886" s="171"/>
      <c r="O886" s="202"/>
      <c r="P886" s="202"/>
      <c r="Q886" s="202"/>
      <c r="R886" s="162"/>
      <c r="S886" s="162"/>
    </row>
    <row r="887" spans="1:19">
      <c r="A887" s="294"/>
      <c r="B887" s="164"/>
      <c r="C887" s="165"/>
      <c r="D887" s="165"/>
      <c r="E887" s="165"/>
      <c r="F887" s="165"/>
      <c r="G887" s="166"/>
      <c r="I887" s="295" t="s">
        <v>785</v>
      </c>
      <c r="J887" s="295"/>
      <c r="K887" s="170"/>
      <c r="L887" s="171"/>
      <c r="M887" s="50"/>
      <c r="N887" s="171"/>
      <c r="O887" s="202"/>
      <c r="P887" s="202"/>
      <c r="Q887" s="202"/>
      <c r="R887" s="162"/>
      <c r="S887" s="162"/>
    </row>
    <row r="888" spans="1:19">
      <c r="A888" s="294"/>
      <c r="B888" s="161"/>
      <c r="C888" s="162"/>
      <c r="D888" s="162"/>
      <c r="E888" s="162"/>
      <c r="F888" s="162"/>
      <c r="G888" s="163"/>
      <c r="I888" s="295" t="s">
        <v>786</v>
      </c>
      <c r="J888" s="295"/>
      <c r="K888" s="170"/>
      <c r="L888" s="171"/>
      <c r="M888" s="50"/>
      <c r="N888" s="171"/>
      <c r="O888" s="202"/>
      <c r="P888" s="202"/>
      <c r="Q888" s="202"/>
      <c r="R888" s="162"/>
      <c r="S888" s="162"/>
    </row>
    <row r="889" spans="1:19">
      <c r="A889" s="294"/>
      <c r="B889" s="164"/>
      <c r="C889" s="165"/>
      <c r="D889" s="165"/>
      <c r="E889" s="165"/>
      <c r="F889" s="165"/>
      <c r="G889" s="166"/>
      <c r="I889" s="295" t="s">
        <v>787</v>
      </c>
      <c r="J889" s="295"/>
      <c r="K889" s="170"/>
      <c r="L889" s="171"/>
      <c r="M889" s="50"/>
      <c r="N889" s="171"/>
      <c r="O889" s="202"/>
      <c r="P889" s="202"/>
      <c r="Q889" s="202"/>
      <c r="R889" s="162"/>
      <c r="S889" s="162"/>
    </row>
    <row r="890" spans="1:19">
      <c r="A890" s="294"/>
      <c r="B890" s="161"/>
      <c r="C890" s="162"/>
      <c r="D890" s="162"/>
      <c r="E890" s="162"/>
      <c r="F890" s="162"/>
      <c r="G890" s="163"/>
      <c r="I890" s="295" t="s">
        <v>788</v>
      </c>
      <c r="J890" s="295"/>
      <c r="K890" s="170"/>
      <c r="L890" s="171"/>
      <c r="M890" s="50"/>
      <c r="N890" s="171"/>
      <c r="O890" s="202"/>
      <c r="P890" s="202"/>
      <c r="Q890" s="202"/>
      <c r="R890" s="162"/>
      <c r="S890" s="162"/>
    </row>
    <row r="891" spans="1:19">
      <c r="A891" s="294"/>
      <c r="B891" s="164"/>
      <c r="C891" s="165"/>
      <c r="D891" s="165"/>
      <c r="E891" s="165"/>
      <c r="F891" s="165"/>
      <c r="G891" s="166"/>
      <c r="I891" s="295" t="s">
        <v>789</v>
      </c>
      <c r="J891" s="295"/>
      <c r="K891" s="170"/>
      <c r="L891" s="171"/>
      <c r="M891" s="50"/>
      <c r="N891" s="171"/>
      <c r="O891" s="202"/>
      <c r="P891" s="202"/>
      <c r="Q891" s="202"/>
      <c r="R891" s="162"/>
      <c r="S891" s="162"/>
    </row>
    <row r="892" spans="1:19">
      <c r="A892" s="63"/>
      <c r="B892" s="63"/>
      <c r="C892" s="63"/>
      <c r="D892" s="63"/>
      <c r="E892" s="63"/>
      <c r="F892" s="63"/>
      <c r="G892" s="63"/>
      <c r="I892" s="295" t="s">
        <v>790</v>
      </c>
      <c r="J892" s="295"/>
      <c r="K892" s="170"/>
      <c r="L892" s="171"/>
      <c r="M892" s="50"/>
      <c r="N892" s="171"/>
      <c r="O892" s="202"/>
      <c r="P892" s="202"/>
      <c r="Q892" s="202"/>
      <c r="R892" s="162"/>
      <c r="S892" s="162"/>
    </row>
    <row r="893" spans="1:19">
      <c r="A893" s="63"/>
      <c r="B893" s="63"/>
      <c r="C893" s="63"/>
      <c r="D893" s="63"/>
      <c r="E893" s="63"/>
      <c r="F893" s="63"/>
      <c r="G893" s="63"/>
      <c r="I893" s="295" t="s">
        <v>791</v>
      </c>
      <c r="J893" s="295"/>
      <c r="K893" s="170"/>
      <c r="L893" s="171"/>
      <c r="M893" s="50"/>
      <c r="N893" s="171"/>
      <c r="O893" s="202"/>
      <c r="P893" s="202"/>
      <c r="Q893" s="202"/>
      <c r="R893" s="162"/>
      <c r="S893" s="162"/>
    </row>
    <row r="894" spans="1:19">
      <c r="A894" s="63"/>
      <c r="B894" s="63"/>
      <c r="C894" s="63"/>
      <c r="D894" s="63"/>
      <c r="E894" s="63"/>
      <c r="F894" s="63"/>
      <c r="G894" s="63"/>
      <c r="I894" s="296" t="s">
        <v>792</v>
      </c>
      <c r="J894" s="296"/>
      <c r="K894" s="170"/>
      <c r="L894" s="171"/>
      <c r="M894" s="50"/>
      <c r="N894" s="171"/>
      <c r="O894" s="202"/>
      <c r="P894" s="202"/>
      <c r="Q894" s="202"/>
      <c r="R894" s="162"/>
      <c r="S894" s="162"/>
    </row>
    <row r="895" spans="1:19" ht="17.25" thickBot="1">
      <c r="A895" s="63"/>
      <c r="B895" s="63"/>
      <c r="C895" s="63"/>
      <c r="D895" s="63"/>
      <c r="E895" s="63"/>
      <c r="F895" s="63"/>
      <c r="G895" s="63"/>
      <c r="I895" s="297" t="s">
        <v>793</v>
      </c>
      <c r="J895" s="297"/>
      <c r="K895" s="172">
        <f t="shared" ref="K895:S895" si="359">SUM(K884:K894)</f>
        <v>0</v>
      </c>
      <c r="L895" s="205">
        <f t="shared" si="359"/>
        <v>0</v>
      </c>
      <c r="M895" s="205">
        <f t="shared" si="359"/>
        <v>0</v>
      </c>
      <c r="N895" s="205">
        <f t="shared" si="359"/>
        <v>0</v>
      </c>
      <c r="O895" s="174">
        <f t="shared" si="359"/>
        <v>0</v>
      </c>
      <c r="P895" s="174">
        <f t="shared" si="359"/>
        <v>0</v>
      </c>
      <c r="Q895" s="174">
        <f t="shared" si="359"/>
        <v>0</v>
      </c>
      <c r="R895" s="175">
        <f t="shared" si="359"/>
        <v>0</v>
      </c>
      <c r="S895" s="175">
        <f t="shared" si="359"/>
        <v>0</v>
      </c>
    </row>
    <row r="896" spans="1:19" ht="17.25" thickBot="1">
      <c r="A896" s="63"/>
      <c r="B896" s="63"/>
      <c r="C896" s="63"/>
      <c r="D896" s="63"/>
      <c r="E896" s="63"/>
      <c r="F896" s="63"/>
      <c r="G896" s="63"/>
      <c r="I896" s="298" t="s">
        <v>794</v>
      </c>
      <c r="J896" s="299"/>
      <c r="K896" s="176">
        <f t="shared" ref="K896" si="360">S875-K895</f>
        <v>0</v>
      </c>
      <c r="L896" s="177">
        <f t="shared" ref="L896" si="361">K895-L895</f>
        <v>0</v>
      </c>
      <c r="M896" s="177">
        <f t="shared" ref="M896" si="362">K895-M895</f>
        <v>0</v>
      </c>
      <c r="N896" s="177">
        <f t="shared" ref="N896" si="363">K895-N895</f>
        <v>0</v>
      </c>
      <c r="O896" s="178">
        <f t="shared" ref="O896" si="364">K895-O895</f>
        <v>0</v>
      </c>
      <c r="P896" s="178">
        <f t="shared" ref="P896" si="365">K895-P895</f>
        <v>0</v>
      </c>
      <c r="Q896" s="178">
        <f t="shared" ref="Q896" si="366">K895-Q895</f>
        <v>0</v>
      </c>
      <c r="R896" s="179">
        <f t="shared" ref="R896" si="367">K895-R895</f>
        <v>0</v>
      </c>
      <c r="S896" s="180">
        <f t="shared" ref="S896" si="368">L895-S895</f>
        <v>0</v>
      </c>
    </row>
    <row r="897" spans="1:19">
      <c r="A897" s="63"/>
      <c r="B897" s="63"/>
      <c r="C897" s="63"/>
      <c r="D897" s="63"/>
      <c r="E897" s="63"/>
      <c r="F897" s="63"/>
      <c r="G897" s="63"/>
      <c r="I897" s="300" t="s">
        <v>795</v>
      </c>
      <c r="J897" s="301"/>
      <c r="K897" s="181"/>
      <c r="L897" s="182"/>
      <c r="M897" s="182"/>
      <c r="N897" s="182"/>
      <c r="O897" s="183"/>
      <c r="P897" s="182"/>
      <c r="Q897" s="182"/>
      <c r="R897" s="182"/>
      <c r="S897" s="182"/>
    </row>
    <row r="898" spans="1:19">
      <c r="A898" s="63"/>
      <c r="B898" s="63"/>
      <c r="C898" s="63"/>
      <c r="D898" s="63"/>
      <c r="E898" s="63"/>
      <c r="F898" s="63"/>
      <c r="G898" s="63"/>
      <c r="I898" s="302" t="s">
        <v>796</v>
      </c>
      <c r="J898" s="302"/>
      <c r="K898" s="184"/>
      <c r="L898" s="203"/>
      <c r="M898" s="203"/>
      <c r="N898" s="203"/>
      <c r="O898" s="203"/>
      <c r="P898" s="203"/>
      <c r="Q898" s="203"/>
      <c r="R898" s="203"/>
      <c r="S898" s="203"/>
    </row>
    <row r="899" spans="1:19">
      <c r="A899" s="63"/>
      <c r="B899" s="63"/>
      <c r="C899" s="63"/>
      <c r="D899" s="63"/>
      <c r="E899" s="63"/>
      <c r="F899" s="63"/>
      <c r="G899" s="63"/>
      <c r="I899" s="302" t="s">
        <v>797</v>
      </c>
      <c r="J899" s="302"/>
      <c r="K899" s="184"/>
      <c r="L899" s="203"/>
      <c r="M899" s="203"/>
      <c r="N899" s="203"/>
      <c r="O899" s="203"/>
      <c r="P899" s="203"/>
      <c r="Q899" s="203"/>
      <c r="R899" s="203"/>
      <c r="S899" s="203"/>
    </row>
    <row r="900" spans="1:19">
      <c r="A900" s="63"/>
      <c r="B900" s="63"/>
      <c r="C900" s="63"/>
      <c r="D900" s="63"/>
      <c r="E900" s="63"/>
      <c r="F900" s="63"/>
      <c r="G900" s="63"/>
      <c r="I900" s="303" t="s">
        <v>798</v>
      </c>
      <c r="J900" s="303"/>
      <c r="K900" s="184"/>
      <c r="L900" s="185"/>
      <c r="M900" s="185"/>
      <c r="N900" s="185"/>
      <c r="O900" s="185"/>
      <c r="P900" s="204"/>
      <c r="Q900" s="204"/>
      <c r="R900" s="204"/>
      <c r="S900" s="204"/>
    </row>
    <row r="901" spans="1:19">
      <c r="A901" s="3" t="s">
        <v>801</v>
      </c>
      <c r="B901" s="201" t="s">
        <v>802</v>
      </c>
      <c r="C901" s="201" t="s">
        <v>803</v>
      </c>
      <c r="D901" s="201" t="s">
        <v>119</v>
      </c>
      <c r="E901" s="201" t="s">
        <v>148</v>
      </c>
      <c r="F901" s="201" t="s">
        <v>806</v>
      </c>
      <c r="G901" s="201" t="s">
        <v>81</v>
      </c>
      <c r="I901" s="187"/>
      <c r="J901" s="187"/>
      <c r="K901" s="187"/>
      <c r="L901" s="188"/>
      <c r="M901" s="188"/>
      <c r="N901" s="188"/>
      <c r="O901" s="188"/>
      <c r="P901" s="187"/>
      <c r="Q901" s="187"/>
      <c r="R901" s="187"/>
      <c r="S901" s="187"/>
    </row>
    <row r="902" spans="1:19">
      <c r="A902" s="293">
        <v>44084</v>
      </c>
      <c r="B902" s="161"/>
      <c r="C902" s="162"/>
      <c r="D902" s="162"/>
      <c r="E902" s="162"/>
      <c r="F902" s="162"/>
      <c r="G902" s="163"/>
      <c r="I902" s="191"/>
      <c r="J902" s="190"/>
      <c r="K902" s="190"/>
      <c r="L902" s="190"/>
      <c r="M902" s="190">
        <v>44084</v>
      </c>
      <c r="N902" s="189" t="s">
        <v>864</v>
      </c>
      <c r="O902" s="189"/>
      <c r="P902" s="189"/>
      <c r="Q902" s="189"/>
      <c r="R902" s="189"/>
      <c r="S902" s="189"/>
    </row>
    <row r="903" spans="1:19">
      <c r="A903" s="294"/>
      <c r="B903" s="164"/>
      <c r="C903" s="165"/>
      <c r="D903" s="165"/>
      <c r="E903" s="165"/>
      <c r="F903" s="165"/>
      <c r="G903" s="166"/>
      <c r="I903" s="304"/>
      <c r="J903" s="304"/>
      <c r="K903" s="167"/>
      <c r="L903" s="168"/>
      <c r="M903" s="168"/>
      <c r="N903" s="168"/>
      <c r="O903" s="169"/>
      <c r="P903" s="169"/>
      <c r="Q903" s="169"/>
      <c r="R903" s="161"/>
      <c r="S903" s="161"/>
    </row>
    <row r="904" spans="1:19">
      <c r="A904" s="294"/>
      <c r="B904" s="161"/>
      <c r="C904" s="162"/>
      <c r="D904" s="162"/>
      <c r="E904" s="162"/>
      <c r="F904" s="162"/>
      <c r="G904" s="163"/>
      <c r="I904" s="295" t="s">
        <v>782</v>
      </c>
      <c r="J904" s="296"/>
      <c r="K904" s="170"/>
      <c r="L904" s="171"/>
      <c r="M904" s="50"/>
      <c r="N904" s="171"/>
      <c r="O904" s="202"/>
      <c r="P904" s="202"/>
      <c r="Q904" s="202"/>
      <c r="R904" s="162"/>
      <c r="S904" s="162"/>
    </row>
    <row r="905" spans="1:19">
      <c r="A905" s="294"/>
      <c r="B905" s="164"/>
      <c r="C905" s="165"/>
      <c r="D905" s="165"/>
      <c r="E905" s="165"/>
      <c r="F905" s="165"/>
      <c r="G905" s="166"/>
      <c r="I905" s="295" t="s">
        <v>783</v>
      </c>
      <c r="J905" s="295"/>
      <c r="K905" s="170"/>
      <c r="L905" s="171"/>
      <c r="M905" s="50"/>
      <c r="N905" s="171"/>
      <c r="O905" s="202"/>
      <c r="P905" s="202"/>
      <c r="Q905" s="202"/>
      <c r="R905" s="162"/>
      <c r="S905" s="162"/>
    </row>
    <row r="906" spans="1:19">
      <c r="A906" s="294"/>
      <c r="B906" s="161"/>
      <c r="C906" s="162"/>
      <c r="D906" s="162"/>
      <c r="E906" s="162"/>
      <c r="F906" s="162"/>
      <c r="G906" s="163"/>
      <c r="I906" s="295" t="s">
        <v>784</v>
      </c>
      <c r="J906" s="295"/>
      <c r="K906" s="170"/>
      <c r="L906" s="171"/>
      <c r="M906" s="50"/>
      <c r="N906" s="171"/>
      <c r="O906" s="202"/>
      <c r="P906" s="202"/>
      <c r="Q906" s="202"/>
      <c r="R906" s="162"/>
      <c r="S906" s="162"/>
    </row>
    <row r="907" spans="1:19">
      <c r="A907" s="294"/>
      <c r="B907" s="164"/>
      <c r="C907" s="165"/>
      <c r="D907" s="165"/>
      <c r="E907" s="165"/>
      <c r="F907" s="165"/>
      <c r="G907" s="166"/>
      <c r="I907" s="295" t="s">
        <v>785</v>
      </c>
      <c r="J907" s="295"/>
      <c r="K907" s="170"/>
      <c r="L907" s="171"/>
      <c r="M907" s="50"/>
      <c r="N907" s="171"/>
      <c r="O907" s="202"/>
      <c r="P907" s="202"/>
      <c r="Q907" s="202"/>
      <c r="R907" s="162"/>
      <c r="S907" s="162"/>
    </row>
    <row r="908" spans="1:19">
      <c r="A908" s="294"/>
      <c r="B908" s="161"/>
      <c r="C908" s="162"/>
      <c r="D908" s="162"/>
      <c r="E908" s="162"/>
      <c r="F908" s="162"/>
      <c r="G908" s="163"/>
      <c r="I908" s="295" t="s">
        <v>786</v>
      </c>
      <c r="J908" s="295"/>
      <c r="K908" s="170"/>
      <c r="L908" s="171"/>
      <c r="M908" s="50"/>
      <c r="N908" s="171"/>
      <c r="O908" s="202"/>
      <c r="P908" s="202"/>
      <c r="Q908" s="202"/>
      <c r="R908" s="162"/>
      <c r="S908" s="162"/>
    </row>
    <row r="909" spans="1:19">
      <c r="A909" s="294"/>
      <c r="B909" s="164"/>
      <c r="C909" s="165"/>
      <c r="D909" s="165"/>
      <c r="E909" s="165"/>
      <c r="F909" s="165"/>
      <c r="G909" s="166"/>
      <c r="I909" s="295" t="s">
        <v>787</v>
      </c>
      <c r="J909" s="295"/>
      <c r="K909" s="170"/>
      <c r="L909" s="171"/>
      <c r="M909" s="50"/>
      <c r="N909" s="171"/>
      <c r="O909" s="202"/>
      <c r="P909" s="202"/>
      <c r="Q909" s="202"/>
      <c r="R909" s="162"/>
      <c r="S909" s="162"/>
    </row>
    <row r="910" spans="1:19">
      <c r="A910" s="294"/>
      <c r="B910" s="161"/>
      <c r="C910" s="162"/>
      <c r="D910" s="162"/>
      <c r="E910" s="162"/>
      <c r="F910" s="162"/>
      <c r="G910" s="163"/>
      <c r="I910" s="295" t="s">
        <v>788</v>
      </c>
      <c r="J910" s="295"/>
      <c r="K910" s="170"/>
      <c r="L910" s="171"/>
      <c r="M910" s="50"/>
      <c r="N910" s="171"/>
      <c r="O910" s="202"/>
      <c r="P910" s="202"/>
      <c r="Q910" s="202"/>
      <c r="R910" s="162"/>
      <c r="S910" s="162"/>
    </row>
    <row r="911" spans="1:19">
      <c r="A911" s="294"/>
      <c r="B911" s="164"/>
      <c r="C911" s="165"/>
      <c r="D911" s="165"/>
      <c r="E911" s="165"/>
      <c r="F911" s="165"/>
      <c r="G911" s="166"/>
      <c r="I911" s="295" t="s">
        <v>789</v>
      </c>
      <c r="J911" s="295"/>
      <c r="K911" s="170"/>
      <c r="L911" s="171"/>
      <c r="M911" s="50"/>
      <c r="N911" s="171"/>
      <c r="O911" s="202"/>
      <c r="P911" s="202"/>
      <c r="Q911" s="202"/>
      <c r="R911" s="162"/>
      <c r="S911" s="162"/>
    </row>
    <row r="912" spans="1:19">
      <c r="A912" s="63"/>
      <c r="B912" s="63"/>
      <c r="C912" s="63"/>
      <c r="D912" s="63"/>
      <c r="E912" s="63"/>
      <c r="F912" s="63"/>
      <c r="G912" s="63"/>
      <c r="I912" s="295" t="s">
        <v>790</v>
      </c>
      <c r="J912" s="295"/>
      <c r="K912" s="170"/>
      <c r="L912" s="171"/>
      <c r="M912" s="50"/>
      <c r="N912" s="171"/>
      <c r="O912" s="202"/>
      <c r="P912" s="202"/>
      <c r="Q912" s="202"/>
      <c r="R912" s="162"/>
      <c r="S912" s="162"/>
    </row>
    <row r="913" spans="1:19">
      <c r="A913" s="63"/>
      <c r="B913" s="63"/>
      <c r="C913" s="63"/>
      <c r="D913" s="63"/>
      <c r="E913" s="63"/>
      <c r="F913" s="63"/>
      <c r="G913" s="63"/>
      <c r="I913" s="295" t="s">
        <v>791</v>
      </c>
      <c r="J913" s="295"/>
      <c r="K913" s="170"/>
      <c r="L913" s="171"/>
      <c r="M913" s="50"/>
      <c r="N913" s="171"/>
      <c r="O913" s="202"/>
      <c r="P913" s="202"/>
      <c r="Q913" s="202"/>
      <c r="R913" s="162"/>
      <c r="S913" s="162"/>
    </row>
    <row r="914" spans="1:19">
      <c r="A914" s="63"/>
      <c r="B914" s="63"/>
      <c r="C914" s="63"/>
      <c r="D914" s="63"/>
      <c r="E914" s="63"/>
      <c r="F914" s="63"/>
      <c r="G914" s="63"/>
      <c r="I914" s="296" t="s">
        <v>792</v>
      </c>
      <c r="J914" s="296"/>
      <c r="K914" s="170"/>
      <c r="L914" s="171"/>
      <c r="M914" s="50"/>
      <c r="N914" s="171"/>
      <c r="O914" s="202"/>
      <c r="P914" s="202"/>
      <c r="Q914" s="202"/>
      <c r="R914" s="162"/>
      <c r="S914" s="162"/>
    </row>
    <row r="915" spans="1:19" ht="17.25" thickBot="1">
      <c r="A915" s="63"/>
      <c r="B915" s="63"/>
      <c r="C915" s="63"/>
      <c r="D915" s="63"/>
      <c r="E915" s="63"/>
      <c r="F915" s="63"/>
      <c r="G915" s="63"/>
      <c r="I915" s="297" t="s">
        <v>793</v>
      </c>
      <c r="J915" s="297"/>
      <c r="K915" s="172">
        <f t="shared" ref="K915:S915" si="369">SUM(K904:K914)</f>
        <v>0</v>
      </c>
      <c r="L915" s="205">
        <f t="shared" si="369"/>
        <v>0</v>
      </c>
      <c r="M915" s="205">
        <f t="shared" si="369"/>
        <v>0</v>
      </c>
      <c r="N915" s="205">
        <f t="shared" si="369"/>
        <v>0</v>
      </c>
      <c r="O915" s="174">
        <f t="shared" si="369"/>
        <v>0</v>
      </c>
      <c r="P915" s="174">
        <f t="shared" si="369"/>
        <v>0</v>
      </c>
      <c r="Q915" s="174">
        <f t="shared" si="369"/>
        <v>0</v>
      </c>
      <c r="R915" s="175">
        <f t="shared" si="369"/>
        <v>0</v>
      </c>
      <c r="S915" s="175">
        <f t="shared" si="369"/>
        <v>0</v>
      </c>
    </row>
    <row r="916" spans="1:19" ht="17.25" thickBot="1">
      <c r="A916" s="63"/>
      <c r="B916" s="63"/>
      <c r="C916" s="63"/>
      <c r="D916" s="63"/>
      <c r="E916" s="63"/>
      <c r="F916" s="63"/>
      <c r="G916" s="63"/>
      <c r="I916" s="298" t="s">
        <v>794</v>
      </c>
      <c r="J916" s="299"/>
      <c r="K916" s="176">
        <f t="shared" ref="K916" si="370">S895-K915</f>
        <v>0</v>
      </c>
      <c r="L916" s="177">
        <f t="shared" ref="L916" si="371">K915-L915</f>
        <v>0</v>
      </c>
      <c r="M916" s="177">
        <f t="shared" ref="M916" si="372">K915-M915</f>
        <v>0</v>
      </c>
      <c r="N916" s="177">
        <f t="shared" ref="N916" si="373">K915-N915</f>
        <v>0</v>
      </c>
      <c r="O916" s="178">
        <f t="shared" ref="O916" si="374">K915-O915</f>
        <v>0</v>
      </c>
      <c r="P916" s="178">
        <f t="shared" ref="P916" si="375">K915-P915</f>
        <v>0</v>
      </c>
      <c r="Q916" s="178">
        <f t="shared" ref="Q916" si="376">K915-Q915</f>
        <v>0</v>
      </c>
      <c r="R916" s="179">
        <f t="shared" ref="R916" si="377">K915-R915</f>
        <v>0</v>
      </c>
      <c r="S916" s="180">
        <f t="shared" ref="S916" si="378">L915-S915</f>
        <v>0</v>
      </c>
    </row>
    <row r="917" spans="1:19">
      <c r="A917" s="63"/>
      <c r="B917" s="63"/>
      <c r="C917" s="63"/>
      <c r="D917" s="63"/>
      <c r="E917" s="63"/>
      <c r="F917" s="63"/>
      <c r="G917" s="63"/>
      <c r="I917" s="300" t="s">
        <v>795</v>
      </c>
      <c r="J917" s="301"/>
      <c r="K917" s="181"/>
      <c r="L917" s="182"/>
      <c r="M917" s="182"/>
      <c r="N917" s="182"/>
      <c r="O917" s="183"/>
      <c r="P917" s="182"/>
      <c r="Q917" s="182"/>
      <c r="R917" s="182"/>
      <c r="S917" s="182"/>
    </row>
    <row r="918" spans="1:19">
      <c r="A918" s="63"/>
      <c r="B918" s="63"/>
      <c r="C918" s="63"/>
      <c r="D918" s="63"/>
      <c r="E918" s="63"/>
      <c r="F918" s="63"/>
      <c r="G918" s="63"/>
      <c r="I918" s="302" t="s">
        <v>796</v>
      </c>
      <c r="J918" s="302"/>
      <c r="K918" s="184"/>
      <c r="L918" s="203"/>
      <c r="M918" s="203"/>
      <c r="N918" s="203"/>
      <c r="O918" s="203"/>
      <c r="P918" s="203"/>
      <c r="Q918" s="203"/>
      <c r="R918" s="203"/>
      <c r="S918" s="203"/>
    </row>
    <row r="919" spans="1:19">
      <c r="A919" s="63"/>
      <c r="B919" s="63"/>
      <c r="C919" s="63"/>
      <c r="D919" s="63"/>
      <c r="E919" s="63"/>
      <c r="F919" s="63"/>
      <c r="G919" s="63"/>
      <c r="I919" s="302" t="s">
        <v>797</v>
      </c>
      <c r="J919" s="302"/>
      <c r="K919" s="184"/>
      <c r="L919" s="203"/>
      <c r="M919" s="203"/>
      <c r="N919" s="203"/>
      <c r="O919" s="203"/>
      <c r="P919" s="203"/>
      <c r="Q919" s="203"/>
      <c r="R919" s="203"/>
      <c r="S919" s="203"/>
    </row>
    <row r="920" spans="1:19">
      <c r="A920" s="63"/>
      <c r="B920" s="63"/>
      <c r="C920" s="63"/>
      <c r="D920" s="63"/>
      <c r="E920" s="63"/>
      <c r="F920" s="63"/>
      <c r="G920" s="63"/>
      <c r="I920" s="303" t="s">
        <v>798</v>
      </c>
      <c r="J920" s="303"/>
      <c r="K920" s="184"/>
      <c r="L920" s="185"/>
      <c r="M920" s="185"/>
      <c r="N920" s="185"/>
      <c r="O920" s="185"/>
      <c r="P920" s="204"/>
      <c r="Q920" s="204"/>
      <c r="R920" s="204"/>
      <c r="S920" s="204"/>
    </row>
    <row r="921" spans="1:19">
      <c r="A921" s="3" t="s">
        <v>801</v>
      </c>
      <c r="B921" s="201" t="s">
        <v>802</v>
      </c>
      <c r="C921" s="201" t="s">
        <v>803</v>
      </c>
      <c r="D921" s="201" t="s">
        <v>119</v>
      </c>
      <c r="E921" s="201" t="s">
        <v>148</v>
      </c>
      <c r="F921" s="201" t="s">
        <v>806</v>
      </c>
      <c r="G921" s="201" t="s">
        <v>81</v>
      </c>
      <c r="I921" s="187"/>
      <c r="J921" s="187"/>
      <c r="K921" s="187"/>
      <c r="L921" s="188"/>
      <c r="M921" s="188"/>
      <c r="N921" s="188"/>
      <c r="O921" s="188"/>
      <c r="P921" s="187"/>
      <c r="Q921" s="187"/>
      <c r="R921" s="187"/>
      <c r="S921" s="187"/>
    </row>
    <row r="922" spans="1:19">
      <c r="A922" s="293">
        <v>44085</v>
      </c>
      <c r="B922" s="161"/>
      <c r="C922" s="162"/>
      <c r="D922" s="162"/>
      <c r="E922" s="162"/>
      <c r="F922" s="162"/>
      <c r="G922" s="163"/>
      <c r="I922" s="191"/>
      <c r="J922" s="190"/>
      <c r="K922" s="190"/>
      <c r="L922" s="190"/>
      <c r="M922" s="190">
        <v>44085</v>
      </c>
      <c r="N922" s="189" t="s">
        <v>864</v>
      </c>
      <c r="O922" s="189"/>
      <c r="P922" s="189"/>
      <c r="Q922" s="189"/>
      <c r="R922" s="189"/>
      <c r="S922" s="189"/>
    </row>
    <row r="923" spans="1:19">
      <c r="A923" s="294"/>
      <c r="B923" s="164"/>
      <c r="C923" s="165"/>
      <c r="D923" s="165"/>
      <c r="E923" s="165"/>
      <c r="F923" s="165"/>
      <c r="G923" s="166"/>
      <c r="I923" s="304"/>
      <c r="J923" s="304"/>
      <c r="K923" s="167"/>
      <c r="L923" s="168"/>
      <c r="M923" s="168"/>
      <c r="N923" s="168"/>
      <c r="O923" s="169"/>
      <c r="P923" s="169"/>
      <c r="Q923" s="169"/>
      <c r="R923" s="161"/>
      <c r="S923" s="161"/>
    </row>
    <row r="924" spans="1:19">
      <c r="A924" s="294"/>
      <c r="B924" s="161"/>
      <c r="C924" s="162"/>
      <c r="D924" s="162"/>
      <c r="E924" s="162"/>
      <c r="F924" s="162"/>
      <c r="G924" s="163"/>
      <c r="I924" s="295" t="s">
        <v>782</v>
      </c>
      <c r="J924" s="296"/>
      <c r="K924" s="170"/>
      <c r="L924" s="171"/>
      <c r="M924" s="50"/>
      <c r="N924" s="171"/>
      <c r="O924" s="202"/>
      <c r="P924" s="202"/>
      <c r="Q924" s="202"/>
      <c r="R924" s="162"/>
      <c r="S924" s="162"/>
    </row>
    <row r="925" spans="1:19">
      <c r="A925" s="294"/>
      <c r="B925" s="164"/>
      <c r="C925" s="165"/>
      <c r="D925" s="165"/>
      <c r="E925" s="165"/>
      <c r="F925" s="165"/>
      <c r="G925" s="166"/>
      <c r="I925" s="295" t="s">
        <v>783</v>
      </c>
      <c r="J925" s="295"/>
      <c r="K925" s="170"/>
      <c r="L925" s="171"/>
      <c r="M925" s="50"/>
      <c r="N925" s="171"/>
      <c r="O925" s="202"/>
      <c r="P925" s="202"/>
      <c r="Q925" s="202"/>
      <c r="R925" s="162"/>
      <c r="S925" s="162"/>
    </row>
    <row r="926" spans="1:19">
      <c r="A926" s="294"/>
      <c r="B926" s="161"/>
      <c r="C926" s="162"/>
      <c r="D926" s="162"/>
      <c r="E926" s="162"/>
      <c r="F926" s="162"/>
      <c r="G926" s="163"/>
      <c r="I926" s="295" t="s">
        <v>784</v>
      </c>
      <c r="J926" s="295"/>
      <c r="K926" s="170"/>
      <c r="L926" s="171"/>
      <c r="M926" s="50"/>
      <c r="N926" s="171"/>
      <c r="O926" s="202"/>
      <c r="P926" s="202"/>
      <c r="Q926" s="202"/>
      <c r="R926" s="162"/>
      <c r="S926" s="162"/>
    </row>
    <row r="927" spans="1:19">
      <c r="A927" s="294"/>
      <c r="B927" s="164"/>
      <c r="C927" s="165"/>
      <c r="D927" s="165"/>
      <c r="E927" s="165"/>
      <c r="F927" s="165"/>
      <c r="G927" s="166"/>
      <c r="I927" s="295" t="s">
        <v>785</v>
      </c>
      <c r="J927" s="295"/>
      <c r="K927" s="170"/>
      <c r="L927" s="171"/>
      <c r="M927" s="50"/>
      <c r="N927" s="171"/>
      <c r="O927" s="202"/>
      <c r="P927" s="202"/>
      <c r="Q927" s="202"/>
      <c r="R927" s="162"/>
      <c r="S927" s="162"/>
    </row>
    <row r="928" spans="1:19">
      <c r="A928" s="294"/>
      <c r="B928" s="161"/>
      <c r="C928" s="162"/>
      <c r="D928" s="162"/>
      <c r="E928" s="162"/>
      <c r="F928" s="162"/>
      <c r="G928" s="163"/>
      <c r="I928" s="295" t="s">
        <v>786</v>
      </c>
      <c r="J928" s="295"/>
      <c r="K928" s="170"/>
      <c r="L928" s="171"/>
      <c r="M928" s="50"/>
      <c r="N928" s="171"/>
      <c r="O928" s="202"/>
      <c r="P928" s="202"/>
      <c r="Q928" s="202"/>
      <c r="R928" s="162"/>
      <c r="S928" s="162"/>
    </row>
    <row r="929" spans="1:19">
      <c r="A929" s="294"/>
      <c r="B929" s="164"/>
      <c r="C929" s="165"/>
      <c r="D929" s="165"/>
      <c r="E929" s="165"/>
      <c r="F929" s="165"/>
      <c r="G929" s="166"/>
      <c r="I929" s="295" t="s">
        <v>787</v>
      </c>
      <c r="J929" s="295"/>
      <c r="K929" s="170"/>
      <c r="L929" s="171"/>
      <c r="M929" s="50"/>
      <c r="N929" s="171"/>
      <c r="O929" s="202"/>
      <c r="P929" s="202"/>
      <c r="Q929" s="202"/>
      <c r="R929" s="162"/>
      <c r="S929" s="162"/>
    </row>
    <row r="930" spans="1:19">
      <c r="A930" s="294"/>
      <c r="B930" s="161"/>
      <c r="C930" s="162"/>
      <c r="D930" s="162"/>
      <c r="E930" s="162"/>
      <c r="F930" s="162"/>
      <c r="G930" s="163"/>
      <c r="I930" s="295" t="s">
        <v>788</v>
      </c>
      <c r="J930" s="295"/>
      <c r="K930" s="170"/>
      <c r="L930" s="171"/>
      <c r="M930" s="50"/>
      <c r="N930" s="171"/>
      <c r="O930" s="202"/>
      <c r="P930" s="202"/>
      <c r="Q930" s="202"/>
      <c r="R930" s="162"/>
      <c r="S930" s="162"/>
    </row>
    <row r="931" spans="1:19">
      <c r="A931" s="294"/>
      <c r="B931" s="164"/>
      <c r="C931" s="165"/>
      <c r="D931" s="165"/>
      <c r="E931" s="165"/>
      <c r="F931" s="165"/>
      <c r="G931" s="166"/>
      <c r="I931" s="295" t="s">
        <v>789</v>
      </c>
      <c r="J931" s="295"/>
      <c r="K931" s="170"/>
      <c r="L931" s="171"/>
      <c r="M931" s="50"/>
      <c r="N931" s="171"/>
      <c r="O931" s="202"/>
      <c r="P931" s="202"/>
      <c r="Q931" s="202"/>
      <c r="R931" s="162"/>
      <c r="S931" s="162"/>
    </row>
    <row r="932" spans="1:19">
      <c r="A932" s="63"/>
      <c r="B932" s="63"/>
      <c r="C932" s="63"/>
      <c r="D932" s="63"/>
      <c r="E932" s="63"/>
      <c r="F932" s="63"/>
      <c r="G932" s="63"/>
      <c r="I932" s="295" t="s">
        <v>790</v>
      </c>
      <c r="J932" s="295"/>
      <c r="K932" s="170"/>
      <c r="L932" s="171"/>
      <c r="M932" s="50"/>
      <c r="N932" s="171"/>
      <c r="O932" s="202"/>
      <c r="P932" s="202"/>
      <c r="Q932" s="202"/>
      <c r="R932" s="162"/>
      <c r="S932" s="162"/>
    </row>
    <row r="933" spans="1:19">
      <c r="A933" s="63"/>
      <c r="B933" s="63"/>
      <c r="C933" s="63"/>
      <c r="D933" s="63"/>
      <c r="E933" s="63"/>
      <c r="F933" s="63"/>
      <c r="G933" s="63"/>
      <c r="I933" s="295" t="s">
        <v>791</v>
      </c>
      <c r="J933" s="295"/>
      <c r="K933" s="170"/>
      <c r="L933" s="171"/>
      <c r="M933" s="50"/>
      <c r="N933" s="171"/>
      <c r="O933" s="202"/>
      <c r="P933" s="202"/>
      <c r="Q933" s="202"/>
      <c r="R933" s="162"/>
      <c r="S933" s="162"/>
    </row>
    <row r="934" spans="1:19">
      <c r="A934" s="63"/>
      <c r="B934" s="63"/>
      <c r="C934" s="63"/>
      <c r="D934" s="63"/>
      <c r="E934" s="63"/>
      <c r="F934" s="63"/>
      <c r="G934" s="63"/>
      <c r="I934" s="296" t="s">
        <v>792</v>
      </c>
      <c r="J934" s="296"/>
      <c r="K934" s="170"/>
      <c r="L934" s="171"/>
      <c r="M934" s="50"/>
      <c r="N934" s="171"/>
      <c r="O934" s="202"/>
      <c r="P934" s="202"/>
      <c r="Q934" s="202"/>
      <c r="R934" s="162"/>
      <c r="S934" s="162"/>
    </row>
    <row r="935" spans="1:19" ht="17.25" thickBot="1">
      <c r="A935" s="63"/>
      <c r="B935" s="63"/>
      <c r="C935" s="63"/>
      <c r="D935" s="63"/>
      <c r="E935" s="63"/>
      <c r="F935" s="63"/>
      <c r="G935" s="63"/>
      <c r="I935" s="297" t="s">
        <v>793</v>
      </c>
      <c r="J935" s="297"/>
      <c r="K935" s="172">
        <f t="shared" ref="K935:S935" si="379">SUM(K924:K934)</f>
        <v>0</v>
      </c>
      <c r="L935" s="205">
        <f t="shared" si="379"/>
        <v>0</v>
      </c>
      <c r="M935" s="205">
        <f t="shared" si="379"/>
        <v>0</v>
      </c>
      <c r="N935" s="205">
        <f t="shared" si="379"/>
        <v>0</v>
      </c>
      <c r="O935" s="174">
        <f t="shared" si="379"/>
        <v>0</v>
      </c>
      <c r="P935" s="174">
        <f t="shared" si="379"/>
        <v>0</v>
      </c>
      <c r="Q935" s="174">
        <f t="shared" si="379"/>
        <v>0</v>
      </c>
      <c r="R935" s="175">
        <f t="shared" si="379"/>
        <v>0</v>
      </c>
      <c r="S935" s="175">
        <f t="shared" si="379"/>
        <v>0</v>
      </c>
    </row>
    <row r="936" spans="1:19" ht="17.25" thickBot="1">
      <c r="A936" s="63"/>
      <c r="B936" s="63"/>
      <c r="C936" s="63"/>
      <c r="D936" s="63"/>
      <c r="E936" s="63"/>
      <c r="F936" s="63"/>
      <c r="G936" s="63"/>
      <c r="I936" s="298" t="s">
        <v>794</v>
      </c>
      <c r="J936" s="299"/>
      <c r="K936" s="176">
        <f t="shared" ref="K936" si="380">S915-K935</f>
        <v>0</v>
      </c>
      <c r="L936" s="177">
        <f t="shared" ref="L936" si="381">K935-L935</f>
        <v>0</v>
      </c>
      <c r="M936" s="177">
        <f t="shared" ref="M936" si="382">K935-M935</f>
        <v>0</v>
      </c>
      <c r="N936" s="177">
        <f t="shared" ref="N936" si="383">K935-N935</f>
        <v>0</v>
      </c>
      <c r="O936" s="178">
        <f t="shared" ref="O936" si="384">K935-O935</f>
        <v>0</v>
      </c>
      <c r="P936" s="178">
        <f t="shared" ref="P936" si="385">K935-P935</f>
        <v>0</v>
      </c>
      <c r="Q936" s="178">
        <f t="shared" ref="Q936" si="386">K935-Q935</f>
        <v>0</v>
      </c>
      <c r="R936" s="179">
        <f t="shared" ref="R936" si="387">K935-R935</f>
        <v>0</v>
      </c>
      <c r="S936" s="180">
        <f t="shared" ref="S936" si="388">L935-S935</f>
        <v>0</v>
      </c>
    </row>
    <row r="937" spans="1:19">
      <c r="A937" s="63"/>
      <c r="B937" s="63"/>
      <c r="C937" s="63"/>
      <c r="D937" s="63"/>
      <c r="E937" s="63"/>
      <c r="F937" s="63"/>
      <c r="G937" s="63"/>
      <c r="I937" s="300" t="s">
        <v>795</v>
      </c>
      <c r="J937" s="301"/>
      <c r="K937" s="181"/>
      <c r="L937" s="182"/>
      <c r="M937" s="182"/>
      <c r="N937" s="182"/>
      <c r="O937" s="183"/>
      <c r="P937" s="182"/>
      <c r="Q937" s="182"/>
      <c r="R937" s="182"/>
      <c r="S937" s="182"/>
    </row>
    <row r="938" spans="1:19">
      <c r="A938" s="63"/>
      <c r="B938" s="63"/>
      <c r="C938" s="63"/>
      <c r="D938" s="63"/>
      <c r="E938" s="63"/>
      <c r="F938" s="63"/>
      <c r="G938" s="63"/>
      <c r="I938" s="302" t="s">
        <v>796</v>
      </c>
      <c r="J938" s="302"/>
      <c r="K938" s="184"/>
      <c r="L938" s="203"/>
      <c r="M938" s="203"/>
      <c r="N938" s="203"/>
      <c r="O938" s="203"/>
      <c r="P938" s="203"/>
      <c r="Q938" s="203"/>
      <c r="R938" s="203"/>
      <c r="S938" s="203"/>
    </row>
    <row r="939" spans="1:19">
      <c r="A939" s="63"/>
      <c r="B939" s="63"/>
      <c r="C939" s="63"/>
      <c r="D939" s="63"/>
      <c r="E939" s="63"/>
      <c r="F939" s="63"/>
      <c r="G939" s="63"/>
      <c r="I939" s="302" t="s">
        <v>797</v>
      </c>
      <c r="J939" s="302"/>
      <c r="K939" s="184"/>
      <c r="L939" s="203"/>
      <c r="M939" s="203"/>
      <c r="N939" s="203"/>
      <c r="O939" s="203"/>
      <c r="P939" s="203"/>
      <c r="Q939" s="203"/>
      <c r="R939" s="203"/>
      <c r="S939" s="203"/>
    </row>
    <row r="940" spans="1:19">
      <c r="A940" s="63"/>
      <c r="B940" s="63"/>
      <c r="C940" s="63"/>
      <c r="D940" s="63"/>
      <c r="E940" s="63"/>
      <c r="F940" s="63"/>
      <c r="G940" s="63"/>
      <c r="I940" s="303" t="s">
        <v>798</v>
      </c>
      <c r="J940" s="303"/>
      <c r="K940" s="184"/>
      <c r="L940" s="185"/>
      <c r="M940" s="185"/>
      <c r="N940" s="185"/>
      <c r="O940" s="185"/>
      <c r="P940" s="204"/>
      <c r="Q940" s="204"/>
      <c r="R940" s="204"/>
      <c r="S940" s="204"/>
    </row>
    <row r="941" spans="1:19">
      <c r="A941" s="3" t="s">
        <v>801</v>
      </c>
      <c r="B941" s="201" t="s">
        <v>802</v>
      </c>
      <c r="C941" s="201" t="s">
        <v>803</v>
      </c>
      <c r="D941" s="201" t="s">
        <v>119</v>
      </c>
      <c r="E941" s="201" t="s">
        <v>148</v>
      </c>
      <c r="F941" s="201" t="s">
        <v>806</v>
      </c>
      <c r="G941" s="201" t="s">
        <v>81</v>
      </c>
      <c r="I941" s="187"/>
      <c r="J941" s="187"/>
      <c r="K941" s="187"/>
      <c r="L941" s="188"/>
      <c r="M941" s="188"/>
      <c r="N941" s="188"/>
      <c r="O941" s="188"/>
      <c r="P941" s="187"/>
      <c r="Q941" s="187"/>
      <c r="R941" s="187"/>
      <c r="S941" s="187"/>
    </row>
    <row r="942" spans="1:19">
      <c r="A942" s="293">
        <v>44086</v>
      </c>
      <c r="B942" s="161"/>
      <c r="C942" s="162"/>
      <c r="D942" s="162"/>
      <c r="E942" s="162"/>
      <c r="F942" s="162"/>
      <c r="G942" s="163"/>
      <c r="I942" s="191"/>
      <c r="J942" s="190"/>
      <c r="K942" s="190"/>
      <c r="L942" s="190"/>
      <c r="M942" s="190">
        <v>44086</v>
      </c>
      <c r="N942" s="189" t="s">
        <v>864</v>
      </c>
      <c r="O942" s="189"/>
      <c r="P942" s="189"/>
      <c r="Q942" s="189"/>
      <c r="R942" s="189"/>
      <c r="S942" s="189"/>
    </row>
    <row r="943" spans="1:19">
      <c r="A943" s="294"/>
      <c r="B943" s="164"/>
      <c r="C943" s="165"/>
      <c r="D943" s="165"/>
      <c r="E943" s="165"/>
      <c r="F943" s="165"/>
      <c r="G943" s="166"/>
      <c r="I943" s="304"/>
      <c r="J943" s="304"/>
      <c r="K943" s="167"/>
      <c r="L943" s="168"/>
      <c r="M943" s="168"/>
      <c r="N943" s="168"/>
      <c r="O943" s="169"/>
      <c r="P943" s="169"/>
      <c r="Q943" s="169"/>
      <c r="R943" s="161"/>
      <c r="S943" s="161"/>
    </row>
    <row r="944" spans="1:19">
      <c r="A944" s="294"/>
      <c r="B944" s="161"/>
      <c r="C944" s="162"/>
      <c r="D944" s="162"/>
      <c r="E944" s="162"/>
      <c r="F944" s="162"/>
      <c r="G944" s="163"/>
      <c r="I944" s="295" t="s">
        <v>782</v>
      </c>
      <c r="J944" s="296"/>
      <c r="K944" s="170"/>
      <c r="L944" s="171"/>
      <c r="M944" s="50"/>
      <c r="N944" s="171"/>
      <c r="O944" s="202"/>
      <c r="P944" s="202"/>
      <c r="Q944" s="202"/>
      <c r="R944" s="162"/>
      <c r="S944" s="162"/>
    </row>
    <row r="945" spans="1:19">
      <c r="A945" s="294"/>
      <c r="B945" s="164"/>
      <c r="C945" s="165"/>
      <c r="D945" s="165"/>
      <c r="E945" s="165"/>
      <c r="F945" s="165"/>
      <c r="G945" s="166"/>
      <c r="I945" s="295" t="s">
        <v>783</v>
      </c>
      <c r="J945" s="295"/>
      <c r="K945" s="170"/>
      <c r="L945" s="171"/>
      <c r="M945" s="50"/>
      <c r="N945" s="171"/>
      <c r="O945" s="202"/>
      <c r="P945" s="202"/>
      <c r="Q945" s="202"/>
      <c r="R945" s="162"/>
      <c r="S945" s="162"/>
    </row>
    <row r="946" spans="1:19">
      <c r="A946" s="294"/>
      <c r="B946" s="161"/>
      <c r="C946" s="162"/>
      <c r="D946" s="162"/>
      <c r="E946" s="162"/>
      <c r="F946" s="162"/>
      <c r="G946" s="163"/>
      <c r="I946" s="295" t="s">
        <v>784</v>
      </c>
      <c r="J946" s="295"/>
      <c r="K946" s="170"/>
      <c r="L946" s="171"/>
      <c r="M946" s="50"/>
      <c r="N946" s="171"/>
      <c r="O946" s="202"/>
      <c r="P946" s="202"/>
      <c r="Q946" s="202"/>
      <c r="R946" s="162"/>
      <c r="S946" s="162"/>
    </row>
    <row r="947" spans="1:19">
      <c r="A947" s="294"/>
      <c r="B947" s="164"/>
      <c r="C947" s="165"/>
      <c r="D947" s="165"/>
      <c r="E947" s="165"/>
      <c r="F947" s="165"/>
      <c r="G947" s="166"/>
      <c r="I947" s="295" t="s">
        <v>785</v>
      </c>
      <c r="J947" s="295"/>
      <c r="K947" s="170"/>
      <c r="L947" s="171"/>
      <c r="M947" s="50"/>
      <c r="N947" s="171"/>
      <c r="O947" s="202"/>
      <c r="P947" s="202"/>
      <c r="Q947" s="202"/>
      <c r="R947" s="162"/>
      <c r="S947" s="162"/>
    </row>
    <row r="948" spans="1:19">
      <c r="A948" s="294"/>
      <c r="B948" s="161"/>
      <c r="C948" s="162"/>
      <c r="D948" s="162"/>
      <c r="E948" s="162"/>
      <c r="F948" s="162"/>
      <c r="G948" s="163"/>
      <c r="I948" s="295" t="s">
        <v>786</v>
      </c>
      <c r="J948" s="295"/>
      <c r="K948" s="170"/>
      <c r="L948" s="171"/>
      <c r="M948" s="50"/>
      <c r="N948" s="171"/>
      <c r="O948" s="202"/>
      <c r="P948" s="202"/>
      <c r="Q948" s="202"/>
      <c r="R948" s="162"/>
      <c r="S948" s="162"/>
    </row>
    <row r="949" spans="1:19">
      <c r="A949" s="294"/>
      <c r="B949" s="164"/>
      <c r="C949" s="165"/>
      <c r="D949" s="165"/>
      <c r="E949" s="165"/>
      <c r="F949" s="165"/>
      <c r="G949" s="166"/>
      <c r="I949" s="295" t="s">
        <v>787</v>
      </c>
      <c r="J949" s="295"/>
      <c r="K949" s="170"/>
      <c r="L949" s="171"/>
      <c r="M949" s="50"/>
      <c r="N949" s="171"/>
      <c r="O949" s="202"/>
      <c r="P949" s="202"/>
      <c r="Q949" s="202"/>
      <c r="R949" s="162"/>
      <c r="S949" s="162"/>
    </row>
    <row r="950" spans="1:19">
      <c r="A950" s="294"/>
      <c r="B950" s="161"/>
      <c r="C950" s="162"/>
      <c r="D950" s="162"/>
      <c r="E950" s="162"/>
      <c r="F950" s="162"/>
      <c r="G950" s="163"/>
      <c r="I950" s="295" t="s">
        <v>788</v>
      </c>
      <c r="J950" s="295"/>
      <c r="K950" s="170"/>
      <c r="L950" s="171"/>
      <c r="M950" s="50"/>
      <c r="N950" s="171"/>
      <c r="O950" s="202"/>
      <c r="P950" s="202"/>
      <c r="Q950" s="202"/>
      <c r="R950" s="162"/>
      <c r="S950" s="162"/>
    </row>
    <row r="951" spans="1:19">
      <c r="A951" s="294"/>
      <c r="B951" s="164"/>
      <c r="C951" s="165"/>
      <c r="D951" s="165"/>
      <c r="E951" s="165"/>
      <c r="F951" s="165"/>
      <c r="G951" s="166"/>
      <c r="I951" s="295" t="s">
        <v>789</v>
      </c>
      <c r="J951" s="295"/>
      <c r="K951" s="170"/>
      <c r="L951" s="171"/>
      <c r="M951" s="50"/>
      <c r="N951" s="171"/>
      <c r="O951" s="202"/>
      <c r="P951" s="202"/>
      <c r="Q951" s="202"/>
      <c r="R951" s="162"/>
      <c r="S951" s="162"/>
    </row>
    <row r="952" spans="1:19">
      <c r="A952" s="63"/>
      <c r="B952" s="63"/>
      <c r="C952" s="63"/>
      <c r="D952" s="63"/>
      <c r="E952" s="63"/>
      <c r="F952" s="63"/>
      <c r="G952" s="63"/>
      <c r="I952" s="295" t="s">
        <v>790</v>
      </c>
      <c r="J952" s="295"/>
      <c r="K952" s="170"/>
      <c r="L952" s="171"/>
      <c r="M952" s="50"/>
      <c r="N952" s="171"/>
      <c r="O952" s="202"/>
      <c r="P952" s="202"/>
      <c r="Q952" s="202"/>
      <c r="R952" s="162"/>
      <c r="S952" s="162"/>
    </row>
    <row r="953" spans="1:19">
      <c r="A953" s="63"/>
      <c r="B953" s="63"/>
      <c r="C953" s="63"/>
      <c r="D953" s="63"/>
      <c r="E953" s="63"/>
      <c r="F953" s="63"/>
      <c r="G953" s="63"/>
      <c r="I953" s="295" t="s">
        <v>791</v>
      </c>
      <c r="J953" s="295"/>
      <c r="K953" s="170"/>
      <c r="L953" s="171"/>
      <c r="M953" s="50"/>
      <c r="N953" s="171"/>
      <c r="O953" s="202"/>
      <c r="P953" s="202"/>
      <c r="Q953" s="202"/>
      <c r="R953" s="162"/>
      <c r="S953" s="162"/>
    </row>
    <row r="954" spans="1:19">
      <c r="A954" s="63"/>
      <c r="B954" s="63"/>
      <c r="C954" s="63"/>
      <c r="D954" s="63"/>
      <c r="E954" s="63"/>
      <c r="F954" s="63"/>
      <c r="G954" s="63"/>
      <c r="I954" s="296" t="s">
        <v>792</v>
      </c>
      <c r="J954" s="296"/>
      <c r="K954" s="170"/>
      <c r="L954" s="171"/>
      <c r="M954" s="50"/>
      <c r="N954" s="171"/>
      <c r="O954" s="202"/>
      <c r="P954" s="202"/>
      <c r="Q954" s="202"/>
      <c r="R954" s="162"/>
      <c r="S954" s="162"/>
    </row>
    <row r="955" spans="1:19" ht="17.25" thickBot="1">
      <c r="A955" s="63"/>
      <c r="B955" s="63"/>
      <c r="C955" s="63"/>
      <c r="D955" s="63"/>
      <c r="E955" s="63"/>
      <c r="F955" s="63"/>
      <c r="G955" s="63"/>
      <c r="I955" s="297" t="s">
        <v>793</v>
      </c>
      <c r="J955" s="297"/>
      <c r="K955" s="172">
        <f t="shared" ref="K955:S955" si="389">SUM(K944:K954)</f>
        <v>0</v>
      </c>
      <c r="L955" s="205">
        <f t="shared" si="389"/>
        <v>0</v>
      </c>
      <c r="M955" s="205">
        <f t="shared" si="389"/>
        <v>0</v>
      </c>
      <c r="N955" s="205">
        <f t="shared" si="389"/>
        <v>0</v>
      </c>
      <c r="O955" s="174">
        <f t="shared" si="389"/>
        <v>0</v>
      </c>
      <c r="P955" s="174">
        <f t="shared" si="389"/>
        <v>0</v>
      </c>
      <c r="Q955" s="174">
        <f t="shared" si="389"/>
        <v>0</v>
      </c>
      <c r="R955" s="175">
        <f t="shared" si="389"/>
        <v>0</v>
      </c>
      <c r="S955" s="175">
        <f t="shared" si="389"/>
        <v>0</v>
      </c>
    </row>
    <row r="956" spans="1:19" ht="17.25" thickBot="1">
      <c r="A956" s="63"/>
      <c r="B956" s="63"/>
      <c r="C956" s="63"/>
      <c r="D956" s="63"/>
      <c r="E956" s="63"/>
      <c r="F956" s="63"/>
      <c r="G956" s="63"/>
      <c r="I956" s="298" t="s">
        <v>794</v>
      </c>
      <c r="J956" s="299"/>
      <c r="K956" s="176">
        <f t="shared" ref="K956" si="390">S935-K955</f>
        <v>0</v>
      </c>
      <c r="L956" s="177">
        <f t="shared" ref="L956" si="391">K955-L955</f>
        <v>0</v>
      </c>
      <c r="M956" s="177">
        <f t="shared" ref="M956" si="392">K955-M955</f>
        <v>0</v>
      </c>
      <c r="N956" s="177">
        <f t="shared" ref="N956" si="393">K955-N955</f>
        <v>0</v>
      </c>
      <c r="O956" s="178">
        <f t="shared" ref="O956" si="394">K955-O955</f>
        <v>0</v>
      </c>
      <c r="P956" s="178">
        <f t="shared" ref="P956" si="395">K955-P955</f>
        <v>0</v>
      </c>
      <c r="Q956" s="178">
        <f t="shared" ref="Q956" si="396">K955-Q955</f>
        <v>0</v>
      </c>
      <c r="R956" s="179">
        <f t="shared" ref="R956" si="397">K955-R955</f>
        <v>0</v>
      </c>
      <c r="S956" s="180">
        <f t="shared" ref="S956" si="398">L955-S955</f>
        <v>0</v>
      </c>
    </row>
    <row r="957" spans="1:19">
      <c r="A957" s="63"/>
      <c r="B957" s="63"/>
      <c r="C957" s="63"/>
      <c r="D957" s="63"/>
      <c r="E957" s="63"/>
      <c r="F957" s="63"/>
      <c r="G957" s="63"/>
      <c r="I957" s="300" t="s">
        <v>795</v>
      </c>
      <c r="J957" s="301"/>
      <c r="K957" s="181"/>
      <c r="L957" s="182"/>
      <c r="M957" s="182"/>
      <c r="N957" s="182"/>
      <c r="O957" s="183"/>
      <c r="P957" s="182"/>
      <c r="Q957" s="182"/>
      <c r="R957" s="182"/>
      <c r="S957" s="182"/>
    </row>
    <row r="958" spans="1:19">
      <c r="A958" s="63"/>
      <c r="B958" s="63"/>
      <c r="C958" s="63"/>
      <c r="D958" s="63"/>
      <c r="E958" s="63"/>
      <c r="F958" s="63"/>
      <c r="G958" s="63"/>
      <c r="I958" s="302" t="s">
        <v>796</v>
      </c>
      <c r="J958" s="302"/>
      <c r="K958" s="184"/>
      <c r="L958" s="203"/>
      <c r="M958" s="203"/>
      <c r="N958" s="203"/>
      <c r="O958" s="203"/>
      <c r="P958" s="203"/>
      <c r="Q958" s="203"/>
      <c r="R958" s="203"/>
      <c r="S958" s="203"/>
    </row>
    <row r="959" spans="1:19">
      <c r="A959" s="63"/>
      <c r="B959" s="63"/>
      <c r="C959" s="63"/>
      <c r="D959" s="63"/>
      <c r="E959" s="63"/>
      <c r="F959" s="63"/>
      <c r="G959" s="63"/>
      <c r="I959" s="302" t="s">
        <v>797</v>
      </c>
      <c r="J959" s="302"/>
      <c r="K959" s="184"/>
      <c r="L959" s="203"/>
      <c r="M959" s="203"/>
      <c r="N959" s="203"/>
      <c r="O959" s="203"/>
      <c r="P959" s="203"/>
      <c r="Q959" s="203"/>
      <c r="R959" s="203"/>
      <c r="S959" s="203"/>
    </row>
    <row r="960" spans="1:19">
      <c r="A960" s="63"/>
      <c r="B960" s="63"/>
      <c r="C960" s="63"/>
      <c r="D960" s="63"/>
      <c r="E960" s="63"/>
      <c r="F960" s="63"/>
      <c r="G960" s="63"/>
      <c r="I960" s="303" t="s">
        <v>798</v>
      </c>
      <c r="J960" s="303"/>
      <c r="K960" s="184"/>
      <c r="L960" s="185"/>
      <c r="M960" s="185"/>
      <c r="N960" s="185"/>
      <c r="O960" s="185"/>
      <c r="P960" s="204"/>
      <c r="Q960" s="204"/>
      <c r="R960" s="204"/>
      <c r="S960" s="204"/>
    </row>
    <row r="961" spans="1:19">
      <c r="A961" s="3" t="s">
        <v>801</v>
      </c>
      <c r="B961" s="201" t="s">
        <v>802</v>
      </c>
      <c r="C961" s="201" t="s">
        <v>803</v>
      </c>
      <c r="D961" s="201" t="s">
        <v>119</v>
      </c>
      <c r="E961" s="201" t="s">
        <v>148</v>
      </c>
      <c r="F961" s="201" t="s">
        <v>806</v>
      </c>
      <c r="G961" s="201" t="s">
        <v>81</v>
      </c>
      <c r="I961" s="187"/>
      <c r="J961" s="187"/>
      <c r="K961" s="187"/>
      <c r="L961" s="188"/>
      <c r="M961" s="188"/>
      <c r="N961" s="188"/>
      <c r="O961" s="188"/>
      <c r="P961" s="187"/>
      <c r="Q961" s="187"/>
      <c r="R961" s="187"/>
      <c r="S961" s="187"/>
    </row>
    <row r="962" spans="1:19">
      <c r="A962" s="293">
        <v>44087</v>
      </c>
      <c r="B962" s="161"/>
      <c r="C962" s="162"/>
      <c r="D962" s="162"/>
      <c r="E962" s="162"/>
      <c r="F962" s="162"/>
      <c r="G962" s="163"/>
      <c r="I962" s="191"/>
      <c r="J962" s="190"/>
      <c r="K962" s="190"/>
      <c r="L962" s="190"/>
      <c r="M962" s="190">
        <v>44087</v>
      </c>
      <c r="N962" s="189" t="s">
        <v>864</v>
      </c>
      <c r="O962" s="189"/>
      <c r="P962" s="189"/>
      <c r="Q962" s="189"/>
      <c r="R962" s="189"/>
      <c r="S962" s="189"/>
    </row>
    <row r="963" spans="1:19">
      <c r="A963" s="294"/>
      <c r="B963" s="164"/>
      <c r="C963" s="165"/>
      <c r="D963" s="165"/>
      <c r="E963" s="165"/>
      <c r="F963" s="165"/>
      <c r="G963" s="166"/>
      <c r="I963" s="304"/>
      <c r="J963" s="304"/>
      <c r="K963" s="167"/>
      <c r="L963" s="168"/>
      <c r="M963" s="168"/>
      <c r="N963" s="168"/>
      <c r="O963" s="169"/>
      <c r="P963" s="169"/>
      <c r="Q963" s="169"/>
      <c r="R963" s="161"/>
      <c r="S963" s="161"/>
    </row>
    <row r="964" spans="1:19">
      <c r="A964" s="294"/>
      <c r="B964" s="161"/>
      <c r="C964" s="162"/>
      <c r="D964" s="162"/>
      <c r="E964" s="162"/>
      <c r="F964" s="162"/>
      <c r="G964" s="163"/>
      <c r="I964" s="295" t="s">
        <v>782</v>
      </c>
      <c r="J964" s="296"/>
      <c r="K964" s="170"/>
      <c r="L964" s="171"/>
      <c r="M964" s="50"/>
      <c r="N964" s="171"/>
      <c r="O964" s="202"/>
      <c r="P964" s="202"/>
      <c r="Q964" s="202"/>
      <c r="R964" s="162"/>
      <c r="S964" s="162"/>
    </row>
    <row r="965" spans="1:19">
      <c r="A965" s="294"/>
      <c r="B965" s="164"/>
      <c r="C965" s="165"/>
      <c r="D965" s="165"/>
      <c r="E965" s="165"/>
      <c r="F965" s="165"/>
      <c r="G965" s="166"/>
      <c r="I965" s="295" t="s">
        <v>783</v>
      </c>
      <c r="J965" s="295"/>
      <c r="K965" s="170"/>
      <c r="L965" s="171"/>
      <c r="M965" s="50"/>
      <c r="N965" s="171"/>
      <c r="O965" s="202"/>
      <c r="P965" s="202"/>
      <c r="Q965" s="202"/>
      <c r="R965" s="162"/>
      <c r="S965" s="162"/>
    </row>
    <row r="966" spans="1:19">
      <c r="A966" s="294"/>
      <c r="B966" s="161"/>
      <c r="C966" s="162"/>
      <c r="D966" s="162"/>
      <c r="E966" s="162"/>
      <c r="F966" s="162"/>
      <c r="G966" s="163"/>
      <c r="I966" s="295" t="s">
        <v>784</v>
      </c>
      <c r="J966" s="295"/>
      <c r="K966" s="170"/>
      <c r="L966" s="171"/>
      <c r="M966" s="50"/>
      <c r="N966" s="171"/>
      <c r="O966" s="202"/>
      <c r="P966" s="202"/>
      <c r="Q966" s="202"/>
      <c r="R966" s="162"/>
      <c r="S966" s="162"/>
    </row>
    <row r="967" spans="1:19">
      <c r="A967" s="294"/>
      <c r="B967" s="164"/>
      <c r="C967" s="165"/>
      <c r="D967" s="165"/>
      <c r="E967" s="165"/>
      <c r="F967" s="165"/>
      <c r="G967" s="166"/>
      <c r="I967" s="295" t="s">
        <v>785</v>
      </c>
      <c r="J967" s="295"/>
      <c r="K967" s="170"/>
      <c r="L967" s="171"/>
      <c r="M967" s="50"/>
      <c r="N967" s="171"/>
      <c r="O967" s="202"/>
      <c r="P967" s="202"/>
      <c r="Q967" s="202"/>
      <c r="R967" s="162"/>
      <c r="S967" s="162"/>
    </row>
    <row r="968" spans="1:19">
      <c r="A968" s="294"/>
      <c r="B968" s="161"/>
      <c r="C968" s="162"/>
      <c r="D968" s="162"/>
      <c r="E968" s="162"/>
      <c r="F968" s="162"/>
      <c r="G968" s="163"/>
      <c r="I968" s="295" t="s">
        <v>786</v>
      </c>
      <c r="J968" s="295"/>
      <c r="K968" s="170"/>
      <c r="L968" s="171"/>
      <c r="M968" s="50"/>
      <c r="N968" s="171"/>
      <c r="O968" s="202"/>
      <c r="P968" s="202"/>
      <c r="Q968" s="202"/>
      <c r="R968" s="162"/>
      <c r="S968" s="162"/>
    </row>
    <row r="969" spans="1:19">
      <c r="A969" s="294"/>
      <c r="B969" s="164"/>
      <c r="C969" s="165"/>
      <c r="D969" s="165"/>
      <c r="E969" s="165"/>
      <c r="F969" s="165"/>
      <c r="G969" s="166"/>
      <c r="I969" s="295" t="s">
        <v>787</v>
      </c>
      <c r="J969" s="295"/>
      <c r="K969" s="170"/>
      <c r="L969" s="171"/>
      <c r="M969" s="50"/>
      <c r="N969" s="171"/>
      <c r="O969" s="202"/>
      <c r="P969" s="202"/>
      <c r="Q969" s="202"/>
      <c r="R969" s="162"/>
      <c r="S969" s="162"/>
    </row>
    <row r="970" spans="1:19">
      <c r="A970" s="294"/>
      <c r="B970" s="161"/>
      <c r="C970" s="162"/>
      <c r="D970" s="162"/>
      <c r="E970" s="162"/>
      <c r="F970" s="162"/>
      <c r="G970" s="163"/>
      <c r="I970" s="295" t="s">
        <v>788</v>
      </c>
      <c r="J970" s="295"/>
      <c r="K970" s="170"/>
      <c r="L970" s="171"/>
      <c r="M970" s="50"/>
      <c r="N970" s="171"/>
      <c r="O970" s="202"/>
      <c r="P970" s="202"/>
      <c r="Q970" s="202"/>
      <c r="R970" s="162"/>
      <c r="S970" s="162"/>
    </row>
    <row r="971" spans="1:19">
      <c r="A971" s="294"/>
      <c r="B971" s="164"/>
      <c r="C971" s="165"/>
      <c r="D971" s="165"/>
      <c r="E971" s="165"/>
      <c r="F971" s="165"/>
      <c r="G971" s="166"/>
      <c r="I971" s="295" t="s">
        <v>789</v>
      </c>
      <c r="J971" s="295"/>
      <c r="K971" s="170"/>
      <c r="L971" s="171"/>
      <c r="M971" s="50"/>
      <c r="N971" s="171"/>
      <c r="O971" s="202"/>
      <c r="P971" s="202"/>
      <c r="Q971" s="202"/>
      <c r="R971" s="162"/>
      <c r="S971" s="162"/>
    </row>
    <row r="972" spans="1:19">
      <c r="A972" s="63"/>
      <c r="B972" s="63"/>
      <c r="C972" s="63"/>
      <c r="D972" s="63"/>
      <c r="E972" s="63"/>
      <c r="F972" s="63"/>
      <c r="G972" s="63"/>
      <c r="I972" s="295" t="s">
        <v>790</v>
      </c>
      <c r="J972" s="295"/>
      <c r="K972" s="170"/>
      <c r="L972" s="171"/>
      <c r="M972" s="50"/>
      <c r="N972" s="171"/>
      <c r="O972" s="202"/>
      <c r="P972" s="202"/>
      <c r="Q972" s="202"/>
      <c r="R972" s="162"/>
      <c r="S972" s="162"/>
    </row>
    <row r="973" spans="1:19">
      <c r="A973" s="63"/>
      <c r="B973" s="63"/>
      <c r="C973" s="63"/>
      <c r="D973" s="63"/>
      <c r="E973" s="63"/>
      <c r="F973" s="63"/>
      <c r="G973" s="63"/>
      <c r="I973" s="295" t="s">
        <v>791</v>
      </c>
      <c r="J973" s="295"/>
      <c r="K973" s="170"/>
      <c r="L973" s="171"/>
      <c r="M973" s="50"/>
      <c r="N973" s="171"/>
      <c r="O973" s="202"/>
      <c r="P973" s="202"/>
      <c r="Q973" s="202"/>
      <c r="R973" s="162"/>
      <c r="S973" s="162"/>
    </row>
    <row r="974" spans="1:19">
      <c r="A974" s="63"/>
      <c r="B974" s="63"/>
      <c r="C974" s="63"/>
      <c r="D974" s="63"/>
      <c r="E974" s="63"/>
      <c r="F974" s="63"/>
      <c r="G974" s="63"/>
      <c r="I974" s="296" t="s">
        <v>792</v>
      </c>
      <c r="J974" s="296"/>
      <c r="K974" s="170"/>
      <c r="L974" s="171"/>
      <c r="M974" s="50"/>
      <c r="N974" s="171"/>
      <c r="O974" s="202"/>
      <c r="P974" s="202"/>
      <c r="Q974" s="202"/>
      <c r="R974" s="162"/>
      <c r="S974" s="162"/>
    </row>
    <row r="975" spans="1:19" ht="17.25" thickBot="1">
      <c r="A975" s="63"/>
      <c r="B975" s="63"/>
      <c r="C975" s="63"/>
      <c r="D975" s="63"/>
      <c r="E975" s="63"/>
      <c r="F975" s="63"/>
      <c r="G975" s="63"/>
      <c r="I975" s="297" t="s">
        <v>793</v>
      </c>
      <c r="J975" s="297"/>
      <c r="K975" s="172">
        <f t="shared" ref="K975:S975" si="399">SUM(K964:K974)</f>
        <v>0</v>
      </c>
      <c r="L975" s="205">
        <f t="shared" si="399"/>
        <v>0</v>
      </c>
      <c r="M975" s="205">
        <f t="shared" si="399"/>
        <v>0</v>
      </c>
      <c r="N975" s="205">
        <f t="shared" si="399"/>
        <v>0</v>
      </c>
      <c r="O975" s="174">
        <f t="shared" si="399"/>
        <v>0</v>
      </c>
      <c r="P975" s="174">
        <f t="shared" si="399"/>
        <v>0</v>
      </c>
      <c r="Q975" s="174">
        <f t="shared" si="399"/>
        <v>0</v>
      </c>
      <c r="R975" s="175">
        <f t="shared" si="399"/>
        <v>0</v>
      </c>
      <c r="S975" s="175">
        <f t="shared" si="399"/>
        <v>0</v>
      </c>
    </row>
    <row r="976" spans="1:19" ht="17.25" thickBot="1">
      <c r="A976" s="63"/>
      <c r="B976" s="63"/>
      <c r="C976" s="63"/>
      <c r="D976" s="63"/>
      <c r="E976" s="63"/>
      <c r="F976" s="63"/>
      <c r="G976" s="63"/>
      <c r="I976" s="298" t="s">
        <v>794</v>
      </c>
      <c r="J976" s="299"/>
      <c r="K976" s="176">
        <f t="shared" ref="K976" si="400">S955-K975</f>
        <v>0</v>
      </c>
      <c r="L976" s="177">
        <f t="shared" ref="L976" si="401">K975-L975</f>
        <v>0</v>
      </c>
      <c r="M976" s="177">
        <f t="shared" ref="M976" si="402">K975-M975</f>
        <v>0</v>
      </c>
      <c r="N976" s="177">
        <f t="shared" ref="N976" si="403">K975-N975</f>
        <v>0</v>
      </c>
      <c r="O976" s="178">
        <f t="shared" ref="O976" si="404">K975-O975</f>
        <v>0</v>
      </c>
      <c r="P976" s="178">
        <f t="shared" ref="P976" si="405">K975-P975</f>
        <v>0</v>
      </c>
      <c r="Q976" s="178">
        <f t="shared" ref="Q976" si="406">K975-Q975</f>
        <v>0</v>
      </c>
      <c r="R976" s="179">
        <f t="shared" ref="R976" si="407">K975-R975</f>
        <v>0</v>
      </c>
      <c r="S976" s="180">
        <f t="shared" ref="S976" si="408">L975-S975</f>
        <v>0</v>
      </c>
    </row>
    <row r="977" spans="1:19">
      <c r="A977" s="63"/>
      <c r="B977" s="63"/>
      <c r="C977" s="63"/>
      <c r="D977" s="63"/>
      <c r="E977" s="63"/>
      <c r="F977" s="63"/>
      <c r="G977" s="63"/>
      <c r="I977" s="300" t="s">
        <v>795</v>
      </c>
      <c r="J977" s="301"/>
      <c r="K977" s="181"/>
      <c r="L977" s="182"/>
      <c r="M977" s="182"/>
      <c r="N977" s="182"/>
      <c r="O977" s="183"/>
      <c r="P977" s="182"/>
      <c r="Q977" s="182"/>
      <c r="R977" s="182"/>
      <c r="S977" s="182"/>
    </row>
    <row r="978" spans="1:19">
      <c r="A978" s="63"/>
      <c r="B978" s="63"/>
      <c r="C978" s="63"/>
      <c r="D978" s="63"/>
      <c r="E978" s="63"/>
      <c r="F978" s="63"/>
      <c r="G978" s="63"/>
      <c r="I978" s="302" t="s">
        <v>796</v>
      </c>
      <c r="J978" s="302"/>
      <c r="K978" s="184"/>
      <c r="L978" s="203"/>
      <c r="M978" s="203"/>
      <c r="N978" s="203"/>
      <c r="O978" s="203"/>
      <c r="P978" s="203"/>
      <c r="Q978" s="203"/>
      <c r="R978" s="203"/>
      <c r="S978" s="203"/>
    </row>
    <row r="979" spans="1:19">
      <c r="A979" s="63"/>
      <c r="B979" s="63"/>
      <c r="C979" s="63"/>
      <c r="D979" s="63"/>
      <c r="E979" s="63"/>
      <c r="F979" s="63"/>
      <c r="G979" s="63"/>
      <c r="I979" s="302" t="s">
        <v>797</v>
      </c>
      <c r="J979" s="302"/>
      <c r="K979" s="184"/>
      <c r="L979" s="203"/>
      <c r="M979" s="203"/>
      <c r="N979" s="203"/>
      <c r="O979" s="203"/>
      <c r="P979" s="203"/>
      <c r="Q979" s="203"/>
      <c r="R979" s="203"/>
      <c r="S979" s="203"/>
    </row>
    <row r="980" spans="1:19">
      <c r="A980" s="63"/>
      <c r="B980" s="63"/>
      <c r="C980" s="63"/>
      <c r="D980" s="63"/>
      <c r="E980" s="63"/>
      <c r="F980" s="63"/>
      <c r="G980" s="63"/>
      <c r="I980" s="303" t="s">
        <v>798</v>
      </c>
      <c r="J980" s="303"/>
      <c r="K980" s="184"/>
      <c r="L980" s="185"/>
      <c r="M980" s="185"/>
      <c r="N980" s="185"/>
      <c r="O980" s="185"/>
      <c r="P980" s="204"/>
      <c r="Q980" s="204"/>
      <c r="R980" s="204"/>
      <c r="S980" s="204"/>
    </row>
    <row r="981" spans="1:19">
      <c r="A981" s="3" t="s">
        <v>801</v>
      </c>
      <c r="B981" s="201" t="s">
        <v>802</v>
      </c>
      <c r="C981" s="201" t="s">
        <v>803</v>
      </c>
      <c r="D981" s="201" t="s">
        <v>119</v>
      </c>
      <c r="E981" s="201" t="s">
        <v>148</v>
      </c>
      <c r="F981" s="201" t="s">
        <v>806</v>
      </c>
      <c r="G981" s="201" t="s">
        <v>81</v>
      </c>
      <c r="I981" s="187"/>
      <c r="J981" s="187"/>
      <c r="K981" s="187"/>
      <c r="L981" s="188"/>
      <c r="M981" s="188"/>
      <c r="N981" s="188"/>
      <c r="O981" s="188"/>
      <c r="P981" s="187"/>
      <c r="Q981" s="187"/>
      <c r="R981" s="187"/>
      <c r="S981" s="187"/>
    </row>
    <row r="982" spans="1:19">
      <c r="A982" s="293">
        <v>44088</v>
      </c>
      <c r="B982" s="161"/>
      <c r="C982" s="162"/>
      <c r="D982" s="162"/>
      <c r="E982" s="162"/>
      <c r="F982" s="162"/>
      <c r="G982" s="163"/>
      <c r="I982" s="191"/>
      <c r="J982" s="190"/>
      <c r="K982" s="190"/>
      <c r="L982" s="190"/>
      <c r="M982" s="190">
        <v>44088</v>
      </c>
      <c r="N982" s="189" t="s">
        <v>864</v>
      </c>
      <c r="O982" s="189"/>
      <c r="P982" s="189"/>
      <c r="Q982" s="189"/>
      <c r="R982" s="189"/>
      <c r="S982" s="189"/>
    </row>
    <row r="983" spans="1:19">
      <c r="A983" s="294"/>
      <c r="B983" s="164"/>
      <c r="C983" s="165"/>
      <c r="D983" s="165"/>
      <c r="E983" s="165"/>
      <c r="F983" s="165"/>
      <c r="G983" s="166"/>
      <c r="I983" s="304"/>
      <c r="J983" s="304"/>
      <c r="K983" s="167"/>
      <c r="L983" s="168"/>
      <c r="M983" s="168"/>
      <c r="N983" s="168"/>
      <c r="O983" s="169"/>
      <c r="P983" s="169"/>
      <c r="Q983" s="169"/>
      <c r="R983" s="161"/>
      <c r="S983" s="161"/>
    </row>
    <row r="984" spans="1:19">
      <c r="A984" s="294"/>
      <c r="B984" s="161"/>
      <c r="C984" s="162"/>
      <c r="D984" s="162"/>
      <c r="E984" s="162"/>
      <c r="F984" s="162"/>
      <c r="G984" s="163"/>
      <c r="I984" s="295" t="s">
        <v>782</v>
      </c>
      <c r="J984" s="296"/>
      <c r="K984" s="170"/>
      <c r="L984" s="171"/>
      <c r="M984" s="50"/>
      <c r="N984" s="171"/>
      <c r="O984" s="202"/>
      <c r="P984" s="202"/>
      <c r="Q984" s="202"/>
      <c r="R984" s="162"/>
      <c r="S984" s="162"/>
    </row>
    <row r="985" spans="1:19">
      <c r="A985" s="294"/>
      <c r="B985" s="164"/>
      <c r="C985" s="165"/>
      <c r="D985" s="165"/>
      <c r="E985" s="165"/>
      <c r="F985" s="165"/>
      <c r="G985" s="166"/>
      <c r="I985" s="295" t="s">
        <v>783</v>
      </c>
      <c r="J985" s="295"/>
      <c r="K985" s="170"/>
      <c r="L985" s="171"/>
      <c r="M985" s="50"/>
      <c r="N985" s="171"/>
      <c r="O985" s="202"/>
      <c r="P985" s="202"/>
      <c r="Q985" s="202"/>
      <c r="R985" s="162"/>
      <c r="S985" s="162"/>
    </row>
    <row r="986" spans="1:19">
      <c r="A986" s="294"/>
      <c r="B986" s="161"/>
      <c r="C986" s="162"/>
      <c r="D986" s="162"/>
      <c r="E986" s="162"/>
      <c r="F986" s="162"/>
      <c r="G986" s="163"/>
      <c r="I986" s="295" t="s">
        <v>784</v>
      </c>
      <c r="J986" s="295"/>
      <c r="K986" s="170"/>
      <c r="L986" s="171"/>
      <c r="M986" s="50"/>
      <c r="N986" s="171"/>
      <c r="O986" s="202"/>
      <c r="P986" s="202"/>
      <c r="Q986" s="202"/>
      <c r="R986" s="162"/>
      <c r="S986" s="162"/>
    </row>
    <row r="987" spans="1:19">
      <c r="A987" s="294"/>
      <c r="B987" s="164"/>
      <c r="C987" s="165"/>
      <c r="D987" s="165"/>
      <c r="E987" s="165"/>
      <c r="F987" s="165"/>
      <c r="G987" s="166"/>
      <c r="I987" s="295" t="s">
        <v>785</v>
      </c>
      <c r="J987" s="295"/>
      <c r="K987" s="170"/>
      <c r="L987" s="171"/>
      <c r="M987" s="50"/>
      <c r="N987" s="171"/>
      <c r="O987" s="202"/>
      <c r="P987" s="202"/>
      <c r="Q987" s="202"/>
      <c r="R987" s="162"/>
      <c r="S987" s="162"/>
    </row>
    <row r="988" spans="1:19">
      <c r="A988" s="294"/>
      <c r="B988" s="161"/>
      <c r="C988" s="162"/>
      <c r="D988" s="162"/>
      <c r="E988" s="162"/>
      <c r="F988" s="162"/>
      <c r="G988" s="163"/>
      <c r="I988" s="295" t="s">
        <v>786</v>
      </c>
      <c r="J988" s="295"/>
      <c r="K988" s="170"/>
      <c r="L988" s="171"/>
      <c r="M988" s="50"/>
      <c r="N988" s="171"/>
      <c r="O988" s="202"/>
      <c r="P988" s="202"/>
      <c r="Q988" s="202"/>
      <c r="R988" s="162"/>
      <c r="S988" s="162"/>
    </row>
    <row r="989" spans="1:19">
      <c r="A989" s="294"/>
      <c r="B989" s="164"/>
      <c r="C989" s="165"/>
      <c r="D989" s="165"/>
      <c r="E989" s="165"/>
      <c r="F989" s="165"/>
      <c r="G989" s="166"/>
      <c r="I989" s="295" t="s">
        <v>787</v>
      </c>
      <c r="J989" s="295"/>
      <c r="K989" s="170"/>
      <c r="L989" s="171"/>
      <c r="M989" s="50"/>
      <c r="N989" s="171"/>
      <c r="O989" s="202"/>
      <c r="P989" s="202"/>
      <c r="Q989" s="202"/>
      <c r="R989" s="162"/>
      <c r="S989" s="162"/>
    </row>
    <row r="990" spans="1:19">
      <c r="A990" s="294"/>
      <c r="B990" s="161"/>
      <c r="C990" s="162"/>
      <c r="D990" s="162"/>
      <c r="E990" s="162"/>
      <c r="F990" s="162"/>
      <c r="G990" s="163"/>
      <c r="I990" s="295" t="s">
        <v>788</v>
      </c>
      <c r="J990" s="295"/>
      <c r="K990" s="170"/>
      <c r="L990" s="171"/>
      <c r="M990" s="50"/>
      <c r="N990" s="171"/>
      <c r="O990" s="202"/>
      <c r="P990" s="202"/>
      <c r="Q990" s="202"/>
      <c r="R990" s="162"/>
      <c r="S990" s="162"/>
    </row>
    <row r="991" spans="1:19">
      <c r="A991" s="294"/>
      <c r="B991" s="164"/>
      <c r="C991" s="165"/>
      <c r="D991" s="165"/>
      <c r="E991" s="165"/>
      <c r="F991" s="165"/>
      <c r="G991" s="166"/>
      <c r="I991" s="295" t="s">
        <v>789</v>
      </c>
      <c r="J991" s="295"/>
      <c r="K991" s="170"/>
      <c r="L991" s="171"/>
      <c r="M991" s="50"/>
      <c r="N991" s="171"/>
      <c r="O991" s="202"/>
      <c r="P991" s="202"/>
      <c r="Q991" s="202"/>
      <c r="R991" s="162"/>
      <c r="S991" s="162"/>
    </row>
    <row r="992" spans="1:19">
      <c r="A992" s="63"/>
      <c r="B992" s="63"/>
      <c r="C992" s="63"/>
      <c r="D992" s="63"/>
      <c r="E992" s="63"/>
      <c r="F992" s="63"/>
      <c r="G992" s="63"/>
      <c r="I992" s="295" t="s">
        <v>790</v>
      </c>
      <c r="J992" s="295"/>
      <c r="K992" s="170"/>
      <c r="L992" s="171"/>
      <c r="M992" s="50"/>
      <c r="N992" s="171"/>
      <c r="O992" s="202"/>
      <c r="P992" s="202"/>
      <c r="Q992" s="202"/>
      <c r="R992" s="162"/>
      <c r="S992" s="162"/>
    </row>
    <row r="993" spans="1:19">
      <c r="A993" s="63"/>
      <c r="B993" s="63"/>
      <c r="C993" s="63"/>
      <c r="D993" s="63"/>
      <c r="E993" s="63"/>
      <c r="F993" s="63"/>
      <c r="G993" s="63"/>
      <c r="I993" s="295" t="s">
        <v>791</v>
      </c>
      <c r="J993" s="295"/>
      <c r="K993" s="170"/>
      <c r="L993" s="171"/>
      <c r="M993" s="50"/>
      <c r="N993" s="171"/>
      <c r="O993" s="202"/>
      <c r="P993" s="202"/>
      <c r="Q993" s="202"/>
      <c r="R993" s="162"/>
      <c r="S993" s="162"/>
    </row>
    <row r="994" spans="1:19">
      <c r="A994" s="63"/>
      <c r="B994" s="63"/>
      <c r="C994" s="63"/>
      <c r="D994" s="63"/>
      <c r="E994" s="63"/>
      <c r="F994" s="63"/>
      <c r="G994" s="63"/>
      <c r="I994" s="296" t="s">
        <v>792</v>
      </c>
      <c r="J994" s="296"/>
      <c r="K994" s="170"/>
      <c r="L994" s="171"/>
      <c r="M994" s="50"/>
      <c r="N994" s="171"/>
      <c r="O994" s="202"/>
      <c r="P994" s="202"/>
      <c r="Q994" s="202"/>
      <c r="R994" s="162"/>
      <c r="S994" s="162"/>
    </row>
    <row r="995" spans="1:19" ht="17.25" thickBot="1">
      <c r="A995" s="63"/>
      <c r="B995" s="63"/>
      <c r="C995" s="63"/>
      <c r="D995" s="63"/>
      <c r="E995" s="63"/>
      <c r="F995" s="63"/>
      <c r="G995" s="63"/>
      <c r="I995" s="297" t="s">
        <v>793</v>
      </c>
      <c r="J995" s="297"/>
      <c r="K995" s="172">
        <f t="shared" ref="K995:S995" si="409">SUM(K984:K994)</f>
        <v>0</v>
      </c>
      <c r="L995" s="205">
        <f t="shared" si="409"/>
        <v>0</v>
      </c>
      <c r="M995" s="205">
        <f t="shared" si="409"/>
        <v>0</v>
      </c>
      <c r="N995" s="205">
        <f t="shared" si="409"/>
        <v>0</v>
      </c>
      <c r="O995" s="174">
        <f t="shared" si="409"/>
        <v>0</v>
      </c>
      <c r="P995" s="174">
        <f t="shared" si="409"/>
        <v>0</v>
      </c>
      <c r="Q995" s="174">
        <f t="shared" si="409"/>
        <v>0</v>
      </c>
      <c r="R995" s="175">
        <f t="shared" si="409"/>
        <v>0</v>
      </c>
      <c r="S995" s="175">
        <f t="shared" si="409"/>
        <v>0</v>
      </c>
    </row>
    <row r="996" spans="1:19" ht="17.25" thickBot="1">
      <c r="A996" s="63"/>
      <c r="B996" s="63"/>
      <c r="C996" s="63"/>
      <c r="D996" s="63"/>
      <c r="E996" s="63"/>
      <c r="F996" s="63"/>
      <c r="G996" s="63"/>
      <c r="I996" s="298" t="s">
        <v>794</v>
      </c>
      <c r="J996" s="299"/>
      <c r="K996" s="176">
        <f t="shared" ref="K996" si="410">S975-K995</f>
        <v>0</v>
      </c>
      <c r="L996" s="177">
        <f t="shared" ref="L996" si="411">K995-L995</f>
        <v>0</v>
      </c>
      <c r="M996" s="177">
        <f t="shared" ref="M996" si="412">K995-M995</f>
        <v>0</v>
      </c>
      <c r="N996" s="177">
        <f t="shared" ref="N996" si="413">K995-N995</f>
        <v>0</v>
      </c>
      <c r="O996" s="178">
        <f t="shared" ref="O996" si="414">K995-O995</f>
        <v>0</v>
      </c>
      <c r="P996" s="178">
        <f t="shared" ref="P996" si="415">K995-P995</f>
        <v>0</v>
      </c>
      <c r="Q996" s="178">
        <f t="shared" ref="Q996" si="416">K995-Q995</f>
        <v>0</v>
      </c>
      <c r="R996" s="179">
        <f t="shared" ref="R996" si="417">K995-R995</f>
        <v>0</v>
      </c>
      <c r="S996" s="180">
        <f t="shared" ref="S996" si="418">L995-S995</f>
        <v>0</v>
      </c>
    </row>
    <row r="997" spans="1:19">
      <c r="A997" s="63"/>
      <c r="B997" s="63"/>
      <c r="C997" s="63"/>
      <c r="D997" s="63"/>
      <c r="E997" s="63"/>
      <c r="F997" s="63"/>
      <c r="G997" s="63"/>
      <c r="I997" s="300" t="s">
        <v>795</v>
      </c>
      <c r="J997" s="301"/>
      <c r="K997" s="181"/>
      <c r="L997" s="182"/>
      <c r="M997" s="182"/>
      <c r="N997" s="182"/>
      <c r="O997" s="183"/>
      <c r="P997" s="182"/>
      <c r="Q997" s="182"/>
      <c r="R997" s="182"/>
      <c r="S997" s="182"/>
    </row>
    <row r="998" spans="1:19">
      <c r="A998" s="63"/>
      <c r="B998" s="63"/>
      <c r="C998" s="63"/>
      <c r="D998" s="63"/>
      <c r="E998" s="63"/>
      <c r="F998" s="63"/>
      <c r="G998" s="63"/>
      <c r="I998" s="302" t="s">
        <v>796</v>
      </c>
      <c r="J998" s="302"/>
      <c r="K998" s="184"/>
      <c r="L998" s="203"/>
      <c r="M998" s="203"/>
      <c r="N998" s="203"/>
      <c r="O998" s="203"/>
      <c r="P998" s="203"/>
      <c r="Q998" s="203"/>
      <c r="R998" s="203"/>
      <c r="S998" s="203"/>
    </row>
    <row r="999" spans="1:19">
      <c r="A999" s="63"/>
      <c r="B999" s="63"/>
      <c r="C999" s="63"/>
      <c r="D999" s="63"/>
      <c r="E999" s="63"/>
      <c r="F999" s="63"/>
      <c r="G999" s="63"/>
      <c r="I999" s="302" t="s">
        <v>797</v>
      </c>
      <c r="J999" s="302"/>
      <c r="K999" s="184"/>
      <c r="L999" s="203"/>
      <c r="M999" s="203"/>
      <c r="N999" s="203"/>
      <c r="O999" s="203"/>
      <c r="P999" s="203"/>
      <c r="Q999" s="203"/>
      <c r="R999" s="203"/>
      <c r="S999" s="203"/>
    </row>
    <row r="1000" spans="1:19">
      <c r="A1000" s="63"/>
      <c r="B1000" s="63"/>
      <c r="C1000" s="63"/>
      <c r="D1000" s="63"/>
      <c r="E1000" s="63"/>
      <c r="F1000" s="63"/>
      <c r="G1000" s="63"/>
      <c r="I1000" s="303" t="s">
        <v>798</v>
      </c>
      <c r="J1000" s="303"/>
      <c r="K1000" s="184"/>
      <c r="L1000" s="185"/>
      <c r="M1000" s="185"/>
      <c r="N1000" s="185"/>
      <c r="O1000" s="185"/>
      <c r="P1000" s="204"/>
      <c r="Q1000" s="204"/>
      <c r="R1000" s="204"/>
      <c r="S1000" s="204"/>
    </row>
    <row r="1001" spans="1:19">
      <c r="A1001" s="3" t="s">
        <v>801</v>
      </c>
      <c r="B1001" s="201" t="s">
        <v>802</v>
      </c>
      <c r="C1001" s="201" t="s">
        <v>803</v>
      </c>
      <c r="D1001" s="201" t="s">
        <v>119</v>
      </c>
      <c r="E1001" s="201" t="s">
        <v>148</v>
      </c>
      <c r="F1001" s="201" t="s">
        <v>806</v>
      </c>
      <c r="G1001" s="201" t="s">
        <v>81</v>
      </c>
      <c r="I1001" s="187"/>
      <c r="J1001" s="187"/>
      <c r="K1001" s="187"/>
      <c r="L1001" s="188"/>
      <c r="M1001" s="188"/>
      <c r="N1001" s="188"/>
      <c r="O1001" s="188"/>
      <c r="P1001" s="187"/>
      <c r="Q1001" s="187"/>
      <c r="R1001" s="187"/>
      <c r="S1001" s="187"/>
    </row>
    <row r="1002" spans="1:19">
      <c r="A1002" s="293">
        <v>44089</v>
      </c>
      <c r="B1002" s="161"/>
      <c r="C1002" s="162"/>
      <c r="D1002" s="162"/>
      <c r="E1002" s="162"/>
      <c r="F1002" s="162"/>
      <c r="G1002" s="163"/>
      <c r="I1002" s="191"/>
      <c r="J1002" s="190"/>
      <c r="K1002" s="190"/>
      <c r="L1002" s="190"/>
      <c r="M1002" s="190">
        <v>44089</v>
      </c>
      <c r="N1002" s="189" t="s">
        <v>864</v>
      </c>
      <c r="O1002" s="189"/>
      <c r="P1002" s="189"/>
      <c r="Q1002" s="189"/>
      <c r="R1002" s="189"/>
      <c r="S1002" s="189"/>
    </row>
    <row r="1003" spans="1:19">
      <c r="A1003" s="294"/>
      <c r="B1003" s="164"/>
      <c r="C1003" s="165"/>
      <c r="D1003" s="165"/>
      <c r="E1003" s="165"/>
      <c r="F1003" s="165"/>
      <c r="G1003" s="166"/>
      <c r="I1003" s="304"/>
      <c r="J1003" s="304"/>
      <c r="K1003" s="167"/>
      <c r="L1003" s="168"/>
      <c r="M1003" s="168"/>
      <c r="N1003" s="168"/>
      <c r="O1003" s="169"/>
      <c r="P1003" s="169"/>
      <c r="Q1003" s="169"/>
      <c r="R1003" s="161"/>
      <c r="S1003" s="161"/>
    </row>
    <row r="1004" spans="1:19">
      <c r="A1004" s="294"/>
      <c r="B1004" s="161"/>
      <c r="C1004" s="162"/>
      <c r="D1004" s="162"/>
      <c r="E1004" s="162"/>
      <c r="F1004" s="162"/>
      <c r="G1004" s="163"/>
      <c r="I1004" s="295" t="s">
        <v>782</v>
      </c>
      <c r="J1004" s="296"/>
      <c r="K1004" s="170"/>
      <c r="L1004" s="171"/>
      <c r="M1004" s="50"/>
      <c r="N1004" s="171"/>
      <c r="O1004" s="202"/>
      <c r="P1004" s="202"/>
      <c r="Q1004" s="202"/>
      <c r="R1004" s="162"/>
      <c r="S1004" s="162"/>
    </row>
    <row r="1005" spans="1:19">
      <c r="A1005" s="294"/>
      <c r="B1005" s="164"/>
      <c r="C1005" s="165"/>
      <c r="D1005" s="165"/>
      <c r="E1005" s="165"/>
      <c r="F1005" s="165"/>
      <c r="G1005" s="166"/>
      <c r="I1005" s="295" t="s">
        <v>783</v>
      </c>
      <c r="J1005" s="295"/>
      <c r="K1005" s="170"/>
      <c r="L1005" s="171"/>
      <c r="M1005" s="50"/>
      <c r="N1005" s="171"/>
      <c r="O1005" s="202"/>
      <c r="P1005" s="202"/>
      <c r="Q1005" s="202"/>
      <c r="R1005" s="162"/>
      <c r="S1005" s="162"/>
    </row>
    <row r="1006" spans="1:19">
      <c r="A1006" s="294"/>
      <c r="B1006" s="161"/>
      <c r="C1006" s="162"/>
      <c r="D1006" s="162"/>
      <c r="E1006" s="162"/>
      <c r="F1006" s="162"/>
      <c r="G1006" s="163"/>
      <c r="I1006" s="295" t="s">
        <v>784</v>
      </c>
      <c r="J1006" s="295"/>
      <c r="K1006" s="170"/>
      <c r="L1006" s="171"/>
      <c r="M1006" s="50"/>
      <c r="N1006" s="171"/>
      <c r="O1006" s="202"/>
      <c r="P1006" s="202"/>
      <c r="Q1006" s="202"/>
      <c r="R1006" s="162"/>
      <c r="S1006" s="162"/>
    </row>
    <row r="1007" spans="1:19">
      <c r="A1007" s="294"/>
      <c r="B1007" s="164"/>
      <c r="C1007" s="165"/>
      <c r="D1007" s="165"/>
      <c r="E1007" s="165"/>
      <c r="F1007" s="165"/>
      <c r="G1007" s="166"/>
      <c r="I1007" s="295" t="s">
        <v>785</v>
      </c>
      <c r="J1007" s="295"/>
      <c r="K1007" s="170"/>
      <c r="L1007" s="171"/>
      <c r="M1007" s="50"/>
      <c r="N1007" s="171"/>
      <c r="O1007" s="202"/>
      <c r="P1007" s="202"/>
      <c r="Q1007" s="202"/>
      <c r="R1007" s="162"/>
      <c r="S1007" s="162"/>
    </row>
    <row r="1008" spans="1:19">
      <c r="A1008" s="294"/>
      <c r="B1008" s="161"/>
      <c r="C1008" s="162"/>
      <c r="D1008" s="162"/>
      <c r="E1008" s="162"/>
      <c r="F1008" s="162"/>
      <c r="G1008" s="163"/>
      <c r="I1008" s="295" t="s">
        <v>786</v>
      </c>
      <c r="J1008" s="295"/>
      <c r="K1008" s="170"/>
      <c r="L1008" s="171"/>
      <c r="M1008" s="50"/>
      <c r="N1008" s="171"/>
      <c r="O1008" s="202"/>
      <c r="P1008" s="202"/>
      <c r="Q1008" s="202"/>
      <c r="R1008" s="162"/>
      <c r="S1008" s="162"/>
    </row>
    <row r="1009" spans="1:19">
      <c r="A1009" s="294"/>
      <c r="B1009" s="164"/>
      <c r="C1009" s="165"/>
      <c r="D1009" s="165"/>
      <c r="E1009" s="165"/>
      <c r="F1009" s="165"/>
      <c r="G1009" s="166"/>
      <c r="I1009" s="295" t="s">
        <v>787</v>
      </c>
      <c r="J1009" s="295"/>
      <c r="K1009" s="170"/>
      <c r="L1009" s="171"/>
      <c r="M1009" s="50"/>
      <c r="N1009" s="171"/>
      <c r="O1009" s="202"/>
      <c r="P1009" s="202"/>
      <c r="Q1009" s="202"/>
      <c r="R1009" s="162"/>
      <c r="S1009" s="162"/>
    </row>
    <row r="1010" spans="1:19">
      <c r="A1010" s="294"/>
      <c r="B1010" s="161"/>
      <c r="C1010" s="162"/>
      <c r="D1010" s="162"/>
      <c r="E1010" s="162"/>
      <c r="F1010" s="162"/>
      <c r="G1010" s="163"/>
      <c r="I1010" s="295" t="s">
        <v>788</v>
      </c>
      <c r="J1010" s="295"/>
      <c r="K1010" s="170"/>
      <c r="L1010" s="171"/>
      <c r="M1010" s="50"/>
      <c r="N1010" s="171"/>
      <c r="O1010" s="202"/>
      <c r="P1010" s="202"/>
      <c r="Q1010" s="202"/>
      <c r="R1010" s="162"/>
      <c r="S1010" s="162"/>
    </row>
    <row r="1011" spans="1:19">
      <c r="A1011" s="294"/>
      <c r="B1011" s="164"/>
      <c r="C1011" s="165"/>
      <c r="D1011" s="165"/>
      <c r="E1011" s="165"/>
      <c r="F1011" s="165"/>
      <c r="G1011" s="166"/>
      <c r="I1011" s="295" t="s">
        <v>789</v>
      </c>
      <c r="J1011" s="295"/>
      <c r="K1011" s="170"/>
      <c r="L1011" s="171"/>
      <c r="M1011" s="50"/>
      <c r="N1011" s="171"/>
      <c r="O1011" s="202"/>
      <c r="P1011" s="202"/>
      <c r="Q1011" s="202"/>
      <c r="R1011" s="162"/>
      <c r="S1011" s="162"/>
    </row>
    <row r="1012" spans="1:19">
      <c r="A1012" s="63"/>
      <c r="B1012" s="63"/>
      <c r="C1012" s="63"/>
      <c r="D1012" s="63"/>
      <c r="E1012" s="63"/>
      <c r="F1012" s="63"/>
      <c r="G1012" s="63"/>
      <c r="I1012" s="295" t="s">
        <v>790</v>
      </c>
      <c r="J1012" s="295"/>
      <c r="K1012" s="170"/>
      <c r="L1012" s="171"/>
      <c r="M1012" s="50"/>
      <c r="N1012" s="171"/>
      <c r="O1012" s="202"/>
      <c r="P1012" s="202"/>
      <c r="Q1012" s="202"/>
      <c r="R1012" s="162"/>
      <c r="S1012" s="162"/>
    </row>
    <row r="1013" spans="1:19">
      <c r="A1013" s="63"/>
      <c r="B1013" s="63"/>
      <c r="C1013" s="63"/>
      <c r="D1013" s="63"/>
      <c r="E1013" s="63"/>
      <c r="F1013" s="63"/>
      <c r="G1013" s="63"/>
      <c r="I1013" s="295" t="s">
        <v>791</v>
      </c>
      <c r="J1013" s="295"/>
      <c r="K1013" s="170"/>
      <c r="L1013" s="171"/>
      <c r="M1013" s="50"/>
      <c r="N1013" s="171"/>
      <c r="O1013" s="202"/>
      <c r="P1013" s="202"/>
      <c r="Q1013" s="202"/>
      <c r="R1013" s="162"/>
      <c r="S1013" s="162"/>
    </row>
    <row r="1014" spans="1:19">
      <c r="A1014" s="63"/>
      <c r="B1014" s="63"/>
      <c r="C1014" s="63"/>
      <c r="D1014" s="63"/>
      <c r="E1014" s="63"/>
      <c r="F1014" s="63"/>
      <c r="G1014" s="63"/>
      <c r="I1014" s="296" t="s">
        <v>792</v>
      </c>
      <c r="J1014" s="296"/>
      <c r="K1014" s="170"/>
      <c r="L1014" s="171"/>
      <c r="M1014" s="50"/>
      <c r="N1014" s="171"/>
      <c r="O1014" s="202"/>
      <c r="P1014" s="202"/>
      <c r="Q1014" s="202"/>
      <c r="R1014" s="162"/>
      <c r="S1014" s="162"/>
    </row>
    <row r="1015" spans="1:19" ht="17.25" thickBot="1">
      <c r="A1015" s="63"/>
      <c r="B1015" s="63"/>
      <c r="C1015" s="63"/>
      <c r="D1015" s="63"/>
      <c r="E1015" s="63"/>
      <c r="F1015" s="63"/>
      <c r="G1015" s="63"/>
      <c r="I1015" s="297" t="s">
        <v>793</v>
      </c>
      <c r="J1015" s="297"/>
      <c r="K1015" s="172">
        <f t="shared" ref="K1015:S1015" si="419">SUM(K1004:K1014)</f>
        <v>0</v>
      </c>
      <c r="L1015" s="205">
        <f t="shared" si="419"/>
        <v>0</v>
      </c>
      <c r="M1015" s="205">
        <f t="shared" si="419"/>
        <v>0</v>
      </c>
      <c r="N1015" s="205">
        <f t="shared" si="419"/>
        <v>0</v>
      </c>
      <c r="O1015" s="174">
        <f t="shared" si="419"/>
        <v>0</v>
      </c>
      <c r="P1015" s="174">
        <f t="shared" si="419"/>
        <v>0</v>
      </c>
      <c r="Q1015" s="174">
        <f t="shared" si="419"/>
        <v>0</v>
      </c>
      <c r="R1015" s="175">
        <f t="shared" si="419"/>
        <v>0</v>
      </c>
      <c r="S1015" s="175">
        <f t="shared" si="419"/>
        <v>0</v>
      </c>
    </row>
    <row r="1016" spans="1:19" ht="17.25" thickBot="1">
      <c r="A1016" s="63"/>
      <c r="B1016" s="63"/>
      <c r="C1016" s="63"/>
      <c r="D1016" s="63"/>
      <c r="E1016" s="63"/>
      <c r="F1016" s="63"/>
      <c r="G1016" s="63"/>
      <c r="I1016" s="298" t="s">
        <v>794</v>
      </c>
      <c r="J1016" s="299"/>
      <c r="K1016" s="176">
        <f t="shared" ref="K1016" si="420">S995-K1015</f>
        <v>0</v>
      </c>
      <c r="L1016" s="177">
        <f t="shared" ref="L1016" si="421">K1015-L1015</f>
        <v>0</v>
      </c>
      <c r="M1016" s="177">
        <f t="shared" ref="M1016" si="422">K1015-M1015</f>
        <v>0</v>
      </c>
      <c r="N1016" s="177">
        <f t="shared" ref="N1016" si="423">K1015-N1015</f>
        <v>0</v>
      </c>
      <c r="O1016" s="178">
        <f t="shared" ref="O1016" si="424">K1015-O1015</f>
        <v>0</v>
      </c>
      <c r="P1016" s="178">
        <f t="shared" ref="P1016" si="425">K1015-P1015</f>
        <v>0</v>
      </c>
      <c r="Q1016" s="178">
        <f t="shared" ref="Q1016" si="426">K1015-Q1015</f>
        <v>0</v>
      </c>
      <c r="R1016" s="179">
        <f t="shared" ref="R1016" si="427">K1015-R1015</f>
        <v>0</v>
      </c>
      <c r="S1016" s="180">
        <f t="shared" ref="S1016" si="428">L1015-S1015</f>
        <v>0</v>
      </c>
    </row>
    <row r="1017" spans="1:19">
      <c r="A1017" s="63"/>
      <c r="B1017" s="63"/>
      <c r="C1017" s="63"/>
      <c r="D1017" s="63"/>
      <c r="E1017" s="63"/>
      <c r="F1017" s="63"/>
      <c r="G1017" s="63"/>
      <c r="I1017" s="300" t="s">
        <v>795</v>
      </c>
      <c r="J1017" s="301"/>
      <c r="K1017" s="181"/>
      <c r="L1017" s="182"/>
      <c r="M1017" s="182"/>
      <c r="N1017" s="182"/>
      <c r="O1017" s="183"/>
      <c r="P1017" s="182"/>
      <c r="Q1017" s="182"/>
      <c r="R1017" s="182"/>
      <c r="S1017" s="182"/>
    </row>
    <row r="1018" spans="1:19">
      <c r="A1018" s="63"/>
      <c r="B1018" s="63"/>
      <c r="C1018" s="63"/>
      <c r="D1018" s="63"/>
      <c r="E1018" s="63"/>
      <c r="F1018" s="63"/>
      <c r="G1018" s="63"/>
      <c r="I1018" s="302" t="s">
        <v>796</v>
      </c>
      <c r="J1018" s="302"/>
      <c r="K1018" s="184"/>
      <c r="L1018" s="203"/>
      <c r="M1018" s="203"/>
      <c r="N1018" s="203"/>
      <c r="O1018" s="203"/>
      <c r="P1018" s="203"/>
      <c r="Q1018" s="203"/>
      <c r="R1018" s="203"/>
      <c r="S1018" s="203"/>
    </row>
    <row r="1019" spans="1:19">
      <c r="A1019" s="63"/>
      <c r="B1019" s="63"/>
      <c r="C1019" s="63"/>
      <c r="D1019" s="63"/>
      <c r="E1019" s="63"/>
      <c r="F1019" s="63"/>
      <c r="G1019" s="63"/>
      <c r="I1019" s="302" t="s">
        <v>797</v>
      </c>
      <c r="J1019" s="302"/>
      <c r="K1019" s="184"/>
      <c r="L1019" s="203"/>
      <c r="M1019" s="203"/>
      <c r="N1019" s="203"/>
      <c r="O1019" s="203"/>
      <c r="P1019" s="203"/>
      <c r="Q1019" s="203"/>
      <c r="R1019" s="203"/>
      <c r="S1019" s="203"/>
    </row>
    <row r="1020" spans="1:19">
      <c r="A1020" s="63"/>
      <c r="B1020" s="63"/>
      <c r="C1020" s="63"/>
      <c r="D1020" s="63"/>
      <c r="E1020" s="63"/>
      <c r="F1020" s="63"/>
      <c r="G1020" s="63"/>
      <c r="I1020" s="303" t="s">
        <v>798</v>
      </c>
      <c r="J1020" s="303"/>
      <c r="K1020" s="184"/>
      <c r="L1020" s="185"/>
      <c r="M1020" s="185"/>
      <c r="N1020" s="185"/>
      <c r="O1020" s="185"/>
      <c r="P1020" s="204"/>
      <c r="Q1020" s="204"/>
      <c r="R1020" s="204"/>
      <c r="S1020" s="204"/>
    </row>
    <row r="1021" spans="1:19">
      <c r="A1021" s="3" t="s">
        <v>801</v>
      </c>
      <c r="B1021" s="201" t="s">
        <v>802</v>
      </c>
      <c r="C1021" s="201" t="s">
        <v>803</v>
      </c>
      <c r="D1021" s="201" t="s">
        <v>119</v>
      </c>
      <c r="E1021" s="201" t="s">
        <v>148</v>
      </c>
      <c r="F1021" s="201" t="s">
        <v>806</v>
      </c>
      <c r="G1021" s="201" t="s">
        <v>81</v>
      </c>
      <c r="I1021" s="187"/>
      <c r="J1021" s="187"/>
      <c r="K1021" s="187"/>
      <c r="L1021" s="188"/>
      <c r="M1021" s="188"/>
      <c r="N1021" s="188"/>
      <c r="O1021" s="188"/>
      <c r="P1021" s="187"/>
      <c r="Q1021" s="187"/>
      <c r="R1021" s="187"/>
      <c r="S1021" s="187"/>
    </row>
    <row r="1022" spans="1:19">
      <c r="A1022" s="293">
        <v>44090</v>
      </c>
      <c r="B1022" s="161"/>
      <c r="C1022" s="162"/>
      <c r="D1022" s="162"/>
      <c r="E1022" s="162"/>
      <c r="F1022" s="162"/>
      <c r="G1022" s="163"/>
      <c r="I1022" s="191"/>
      <c r="J1022" s="190"/>
      <c r="K1022" s="190"/>
      <c r="L1022" s="190"/>
      <c r="M1022" s="190">
        <v>44090</v>
      </c>
      <c r="N1022" s="189" t="s">
        <v>864</v>
      </c>
      <c r="O1022" s="189"/>
      <c r="P1022" s="189"/>
      <c r="Q1022" s="189"/>
      <c r="R1022" s="189"/>
      <c r="S1022" s="189"/>
    </row>
    <row r="1023" spans="1:19">
      <c r="A1023" s="294"/>
      <c r="B1023" s="164"/>
      <c r="C1023" s="165"/>
      <c r="D1023" s="165"/>
      <c r="E1023" s="165"/>
      <c r="F1023" s="165"/>
      <c r="G1023" s="166"/>
      <c r="I1023" s="304"/>
      <c r="J1023" s="304"/>
      <c r="K1023" s="167"/>
      <c r="L1023" s="168"/>
      <c r="M1023" s="168"/>
      <c r="N1023" s="168"/>
      <c r="O1023" s="169"/>
      <c r="P1023" s="169"/>
      <c r="Q1023" s="169"/>
      <c r="R1023" s="161"/>
      <c r="S1023" s="161"/>
    </row>
    <row r="1024" spans="1:19">
      <c r="A1024" s="294"/>
      <c r="B1024" s="161"/>
      <c r="C1024" s="162"/>
      <c r="D1024" s="162"/>
      <c r="E1024" s="162"/>
      <c r="F1024" s="162"/>
      <c r="G1024" s="163"/>
      <c r="I1024" s="295" t="s">
        <v>782</v>
      </c>
      <c r="J1024" s="296"/>
      <c r="K1024" s="170"/>
      <c r="L1024" s="171"/>
      <c r="M1024" s="50"/>
      <c r="N1024" s="171"/>
      <c r="O1024" s="202"/>
      <c r="P1024" s="202"/>
      <c r="Q1024" s="202"/>
      <c r="R1024" s="162"/>
      <c r="S1024" s="162"/>
    </row>
    <row r="1025" spans="1:19">
      <c r="A1025" s="294"/>
      <c r="B1025" s="164"/>
      <c r="C1025" s="165"/>
      <c r="D1025" s="165"/>
      <c r="E1025" s="165"/>
      <c r="F1025" s="165"/>
      <c r="G1025" s="166"/>
      <c r="I1025" s="295" t="s">
        <v>783</v>
      </c>
      <c r="J1025" s="295"/>
      <c r="K1025" s="170"/>
      <c r="L1025" s="171"/>
      <c r="M1025" s="50"/>
      <c r="N1025" s="171"/>
      <c r="O1025" s="202"/>
      <c r="P1025" s="202"/>
      <c r="Q1025" s="202"/>
      <c r="R1025" s="162"/>
      <c r="S1025" s="162"/>
    </row>
    <row r="1026" spans="1:19">
      <c r="A1026" s="294"/>
      <c r="B1026" s="161"/>
      <c r="C1026" s="162"/>
      <c r="D1026" s="162"/>
      <c r="E1026" s="162"/>
      <c r="F1026" s="162"/>
      <c r="G1026" s="163"/>
      <c r="I1026" s="295" t="s">
        <v>784</v>
      </c>
      <c r="J1026" s="295"/>
      <c r="K1026" s="170"/>
      <c r="L1026" s="171"/>
      <c r="M1026" s="50"/>
      <c r="N1026" s="171"/>
      <c r="O1026" s="202"/>
      <c r="P1026" s="202"/>
      <c r="Q1026" s="202"/>
      <c r="R1026" s="162"/>
      <c r="S1026" s="162"/>
    </row>
    <row r="1027" spans="1:19">
      <c r="A1027" s="294"/>
      <c r="B1027" s="164"/>
      <c r="C1027" s="165"/>
      <c r="D1027" s="165"/>
      <c r="E1027" s="165"/>
      <c r="F1027" s="165"/>
      <c r="G1027" s="166"/>
      <c r="I1027" s="295" t="s">
        <v>785</v>
      </c>
      <c r="J1027" s="295"/>
      <c r="K1027" s="170"/>
      <c r="L1027" s="171"/>
      <c r="M1027" s="50"/>
      <c r="N1027" s="171"/>
      <c r="O1027" s="202"/>
      <c r="P1027" s="202"/>
      <c r="Q1027" s="202"/>
      <c r="R1027" s="162"/>
      <c r="S1027" s="162"/>
    </row>
    <row r="1028" spans="1:19">
      <c r="A1028" s="294"/>
      <c r="B1028" s="161"/>
      <c r="C1028" s="162"/>
      <c r="D1028" s="162"/>
      <c r="E1028" s="162"/>
      <c r="F1028" s="162"/>
      <c r="G1028" s="163"/>
      <c r="I1028" s="295" t="s">
        <v>786</v>
      </c>
      <c r="J1028" s="295"/>
      <c r="K1028" s="170"/>
      <c r="L1028" s="171"/>
      <c r="M1028" s="50"/>
      <c r="N1028" s="171"/>
      <c r="O1028" s="202"/>
      <c r="P1028" s="202"/>
      <c r="Q1028" s="202"/>
      <c r="R1028" s="162"/>
      <c r="S1028" s="162"/>
    </row>
    <row r="1029" spans="1:19">
      <c r="A1029" s="294"/>
      <c r="B1029" s="164"/>
      <c r="C1029" s="165"/>
      <c r="D1029" s="165"/>
      <c r="E1029" s="165"/>
      <c r="F1029" s="165"/>
      <c r="G1029" s="166"/>
      <c r="I1029" s="295" t="s">
        <v>787</v>
      </c>
      <c r="J1029" s="295"/>
      <c r="K1029" s="170"/>
      <c r="L1029" s="171"/>
      <c r="M1029" s="50"/>
      <c r="N1029" s="171"/>
      <c r="O1029" s="202"/>
      <c r="P1029" s="202"/>
      <c r="Q1029" s="202"/>
      <c r="R1029" s="162"/>
      <c r="S1029" s="162"/>
    </row>
    <row r="1030" spans="1:19">
      <c r="A1030" s="294"/>
      <c r="B1030" s="161"/>
      <c r="C1030" s="162"/>
      <c r="D1030" s="162"/>
      <c r="E1030" s="162"/>
      <c r="F1030" s="162"/>
      <c r="G1030" s="163"/>
      <c r="I1030" s="295" t="s">
        <v>788</v>
      </c>
      <c r="J1030" s="295"/>
      <c r="K1030" s="170"/>
      <c r="L1030" s="171"/>
      <c r="M1030" s="50"/>
      <c r="N1030" s="171"/>
      <c r="O1030" s="202"/>
      <c r="P1030" s="202"/>
      <c r="Q1030" s="202"/>
      <c r="R1030" s="162"/>
      <c r="S1030" s="162"/>
    </row>
    <row r="1031" spans="1:19">
      <c r="A1031" s="294"/>
      <c r="B1031" s="164"/>
      <c r="C1031" s="165"/>
      <c r="D1031" s="165"/>
      <c r="E1031" s="165"/>
      <c r="F1031" s="165"/>
      <c r="G1031" s="166"/>
      <c r="I1031" s="295" t="s">
        <v>789</v>
      </c>
      <c r="J1031" s="295"/>
      <c r="K1031" s="170"/>
      <c r="L1031" s="171"/>
      <c r="M1031" s="50"/>
      <c r="N1031" s="171"/>
      <c r="O1031" s="202"/>
      <c r="P1031" s="202"/>
      <c r="Q1031" s="202"/>
      <c r="R1031" s="162"/>
      <c r="S1031" s="162"/>
    </row>
    <row r="1032" spans="1:19">
      <c r="A1032" s="63"/>
      <c r="B1032" s="63"/>
      <c r="C1032" s="63"/>
      <c r="D1032" s="63"/>
      <c r="E1032" s="63"/>
      <c r="F1032" s="63"/>
      <c r="G1032" s="63"/>
      <c r="I1032" s="295" t="s">
        <v>790</v>
      </c>
      <c r="J1032" s="295"/>
      <c r="K1032" s="170"/>
      <c r="L1032" s="171"/>
      <c r="M1032" s="50"/>
      <c r="N1032" s="171"/>
      <c r="O1032" s="202"/>
      <c r="P1032" s="202"/>
      <c r="Q1032" s="202"/>
      <c r="R1032" s="162"/>
      <c r="S1032" s="162"/>
    </row>
    <row r="1033" spans="1:19">
      <c r="A1033" s="63"/>
      <c r="B1033" s="63"/>
      <c r="C1033" s="63"/>
      <c r="D1033" s="63"/>
      <c r="E1033" s="63"/>
      <c r="F1033" s="63"/>
      <c r="G1033" s="63"/>
      <c r="I1033" s="295" t="s">
        <v>791</v>
      </c>
      <c r="J1033" s="295"/>
      <c r="K1033" s="170"/>
      <c r="L1033" s="171"/>
      <c r="M1033" s="50"/>
      <c r="N1033" s="171"/>
      <c r="O1033" s="202"/>
      <c r="P1033" s="202"/>
      <c r="Q1033" s="202"/>
      <c r="R1033" s="162"/>
      <c r="S1033" s="162"/>
    </row>
    <row r="1034" spans="1:19">
      <c r="A1034" s="63"/>
      <c r="B1034" s="63"/>
      <c r="C1034" s="63"/>
      <c r="D1034" s="63"/>
      <c r="E1034" s="63"/>
      <c r="F1034" s="63"/>
      <c r="G1034" s="63"/>
      <c r="I1034" s="296" t="s">
        <v>792</v>
      </c>
      <c r="J1034" s="296"/>
      <c r="K1034" s="170"/>
      <c r="L1034" s="171"/>
      <c r="M1034" s="50"/>
      <c r="N1034" s="171"/>
      <c r="O1034" s="202"/>
      <c r="P1034" s="202"/>
      <c r="Q1034" s="202"/>
      <c r="R1034" s="162"/>
      <c r="S1034" s="162"/>
    </row>
    <row r="1035" spans="1:19" ht="17.25" thickBot="1">
      <c r="A1035" s="63"/>
      <c r="B1035" s="63"/>
      <c r="C1035" s="63"/>
      <c r="D1035" s="63"/>
      <c r="E1035" s="63"/>
      <c r="F1035" s="63"/>
      <c r="G1035" s="63"/>
      <c r="I1035" s="297" t="s">
        <v>793</v>
      </c>
      <c r="J1035" s="297"/>
      <c r="K1035" s="172">
        <f t="shared" ref="K1035:S1035" si="429">SUM(K1024:K1034)</f>
        <v>0</v>
      </c>
      <c r="L1035" s="205">
        <f t="shared" si="429"/>
        <v>0</v>
      </c>
      <c r="M1035" s="205">
        <f t="shared" si="429"/>
        <v>0</v>
      </c>
      <c r="N1035" s="205">
        <f t="shared" si="429"/>
        <v>0</v>
      </c>
      <c r="O1035" s="174">
        <f t="shared" si="429"/>
        <v>0</v>
      </c>
      <c r="P1035" s="174">
        <f t="shared" si="429"/>
        <v>0</v>
      </c>
      <c r="Q1035" s="174">
        <f t="shared" si="429"/>
        <v>0</v>
      </c>
      <c r="R1035" s="175">
        <f t="shared" si="429"/>
        <v>0</v>
      </c>
      <c r="S1035" s="175">
        <f t="shared" si="429"/>
        <v>0</v>
      </c>
    </row>
    <row r="1036" spans="1:19" ht="17.25" thickBot="1">
      <c r="A1036" s="63"/>
      <c r="B1036" s="63"/>
      <c r="C1036" s="63"/>
      <c r="D1036" s="63"/>
      <c r="E1036" s="63"/>
      <c r="F1036" s="63"/>
      <c r="G1036" s="63"/>
      <c r="I1036" s="298" t="s">
        <v>794</v>
      </c>
      <c r="J1036" s="299"/>
      <c r="K1036" s="176">
        <f t="shared" ref="K1036" si="430">S1015-K1035</f>
        <v>0</v>
      </c>
      <c r="L1036" s="177">
        <f t="shared" ref="L1036" si="431">K1035-L1035</f>
        <v>0</v>
      </c>
      <c r="M1036" s="177">
        <f t="shared" ref="M1036" si="432">K1035-M1035</f>
        <v>0</v>
      </c>
      <c r="N1036" s="177">
        <f t="shared" ref="N1036" si="433">K1035-N1035</f>
        <v>0</v>
      </c>
      <c r="O1036" s="178">
        <f t="shared" ref="O1036" si="434">K1035-O1035</f>
        <v>0</v>
      </c>
      <c r="P1036" s="178">
        <f t="shared" ref="P1036" si="435">K1035-P1035</f>
        <v>0</v>
      </c>
      <c r="Q1036" s="178">
        <f t="shared" ref="Q1036" si="436">K1035-Q1035</f>
        <v>0</v>
      </c>
      <c r="R1036" s="179">
        <f t="shared" ref="R1036" si="437">K1035-R1035</f>
        <v>0</v>
      </c>
      <c r="S1036" s="180">
        <f t="shared" ref="S1036" si="438">L1035-S1035</f>
        <v>0</v>
      </c>
    </row>
    <row r="1037" spans="1:19">
      <c r="A1037" s="63"/>
      <c r="B1037" s="63"/>
      <c r="C1037" s="63"/>
      <c r="D1037" s="63"/>
      <c r="E1037" s="63"/>
      <c r="F1037" s="63"/>
      <c r="G1037" s="63"/>
      <c r="I1037" s="300" t="s">
        <v>795</v>
      </c>
      <c r="J1037" s="301"/>
      <c r="K1037" s="181"/>
      <c r="L1037" s="182"/>
      <c r="M1037" s="182"/>
      <c r="N1037" s="182"/>
      <c r="O1037" s="183"/>
      <c r="P1037" s="182"/>
      <c r="Q1037" s="182"/>
      <c r="R1037" s="182"/>
      <c r="S1037" s="182"/>
    </row>
    <row r="1038" spans="1:19">
      <c r="A1038" s="63"/>
      <c r="B1038" s="63"/>
      <c r="C1038" s="63"/>
      <c r="D1038" s="63"/>
      <c r="E1038" s="63"/>
      <c r="F1038" s="63"/>
      <c r="G1038" s="63"/>
      <c r="I1038" s="302" t="s">
        <v>796</v>
      </c>
      <c r="J1038" s="302"/>
      <c r="K1038" s="184"/>
      <c r="L1038" s="203"/>
      <c r="M1038" s="203"/>
      <c r="N1038" s="203"/>
      <c r="O1038" s="203"/>
      <c r="P1038" s="203"/>
      <c r="Q1038" s="203"/>
      <c r="R1038" s="203"/>
      <c r="S1038" s="203"/>
    </row>
    <row r="1039" spans="1:19">
      <c r="A1039" s="63"/>
      <c r="B1039" s="63"/>
      <c r="C1039" s="63"/>
      <c r="D1039" s="63"/>
      <c r="E1039" s="63"/>
      <c r="F1039" s="63"/>
      <c r="G1039" s="63"/>
      <c r="I1039" s="302" t="s">
        <v>797</v>
      </c>
      <c r="J1039" s="302"/>
      <c r="K1039" s="184"/>
      <c r="L1039" s="203"/>
      <c r="M1039" s="203"/>
      <c r="N1039" s="203"/>
      <c r="O1039" s="203"/>
      <c r="P1039" s="203"/>
      <c r="Q1039" s="203"/>
      <c r="R1039" s="203"/>
      <c r="S1039" s="203"/>
    </row>
    <row r="1040" spans="1:19">
      <c r="A1040" s="63"/>
      <c r="B1040" s="63"/>
      <c r="C1040" s="63"/>
      <c r="D1040" s="63"/>
      <c r="E1040" s="63"/>
      <c r="F1040" s="63"/>
      <c r="G1040" s="63"/>
      <c r="I1040" s="303" t="s">
        <v>798</v>
      </c>
      <c r="J1040" s="303"/>
      <c r="K1040" s="184"/>
      <c r="L1040" s="185"/>
      <c r="M1040" s="185"/>
      <c r="N1040" s="185"/>
      <c r="O1040" s="185"/>
      <c r="P1040" s="204"/>
      <c r="Q1040" s="204"/>
      <c r="R1040" s="204"/>
      <c r="S1040" s="204"/>
    </row>
    <row r="1041" spans="1:19">
      <c r="A1041" s="3" t="s">
        <v>801</v>
      </c>
      <c r="B1041" s="201" t="s">
        <v>802</v>
      </c>
      <c r="C1041" s="201" t="s">
        <v>803</v>
      </c>
      <c r="D1041" s="201" t="s">
        <v>119</v>
      </c>
      <c r="E1041" s="201" t="s">
        <v>148</v>
      </c>
      <c r="F1041" s="201" t="s">
        <v>806</v>
      </c>
      <c r="G1041" s="201" t="s">
        <v>81</v>
      </c>
      <c r="I1041" s="187"/>
      <c r="J1041" s="187"/>
      <c r="K1041" s="187"/>
      <c r="L1041" s="188"/>
      <c r="M1041" s="188"/>
      <c r="N1041" s="188"/>
      <c r="O1041" s="188"/>
      <c r="P1041" s="187"/>
      <c r="Q1041" s="187"/>
      <c r="R1041" s="187"/>
      <c r="S1041" s="187"/>
    </row>
    <row r="1042" spans="1:19">
      <c r="A1042" s="293">
        <v>44091</v>
      </c>
      <c r="B1042" s="161"/>
      <c r="C1042" s="162"/>
      <c r="D1042" s="162"/>
      <c r="E1042" s="162"/>
      <c r="F1042" s="162"/>
      <c r="G1042" s="163"/>
      <c r="I1042" s="191"/>
      <c r="J1042" s="190"/>
      <c r="K1042" s="190"/>
      <c r="L1042" s="190"/>
      <c r="M1042" s="190">
        <v>44091</v>
      </c>
      <c r="N1042" s="189" t="s">
        <v>864</v>
      </c>
      <c r="O1042" s="189"/>
      <c r="P1042" s="189"/>
      <c r="Q1042" s="189"/>
      <c r="R1042" s="189"/>
      <c r="S1042" s="189"/>
    </row>
    <row r="1043" spans="1:19">
      <c r="A1043" s="294"/>
      <c r="B1043" s="164"/>
      <c r="C1043" s="165"/>
      <c r="D1043" s="165"/>
      <c r="E1043" s="165"/>
      <c r="F1043" s="165"/>
      <c r="G1043" s="166"/>
      <c r="I1043" s="304"/>
      <c r="J1043" s="304"/>
      <c r="K1043" s="167"/>
      <c r="L1043" s="168"/>
      <c r="M1043" s="168"/>
      <c r="N1043" s="168"/>
      <c r="O1043" s="169"/>
      <c r="P1043" s="169"/>
      <c r="Q1043" s="169"/>
      <c r="R1043" s="161"/>
      <c r="S1043" s="161"/>
    </row>
    <row r="1044" spans="1:19">
      <c r="A1044" s="294"/>
      <c r="B1044" s="161"/>
      <c r="C1044" s="162"/>
      <c r="D1044" s="162"/>
      <c r="E1044" s="162"/>
      <c r="F1044" s="162"/>
      <c r="G1044" s="163"/>
      <c r="I1044" s="295" t="s">
        <v>782</v>
      </c>
      <c r="J1044" s="296"/>
      <c r="K1044" s="170"/>
      <c r="L1044" s="171"/>
      <c r="M1044" s="50"/>
      <c r="N1044" s="171"/>
      <c r="O1044" s="202"/>
      <c r="P1044" s="202"/>
      <c r="Q1044" s="202"/>
      <c r="R1044" s="162"/>
      <c r="S1044" s="162"/>
    </row>
    <row r="1045" spans="1:19">
      <c r="A1045" s="294"/>
      <c r="B1045" s="164"/>
      <c r="C1045" s="165"/>
      <c r="D1045" s="165"/>
      <c r="E1045" s="165"/>
      <c r="F1045" s="165"/>
      <c r="G1045" s="166"/>
      <c r="I1045" s="295" t="s">
        <v>783</v>
      </c>
      <c r="J1045" s="295"/>
      <c r="K1045" s="170"/>
      <c r="L1045" s="171"/>
      <c r="M1045" s="50"/>
      <c r="N1045" s="171"/>
      <c r="O1045" s="202"/>
      <c r="P1045" s="202"/>
      <c r="Q1045" s="202"/>
      <c r="R1045" s="162"/>
      <c r="S1045" s="162"/>
    </row>
    <row r="1046" spans="1:19">
      <c r="A1046" s="294"/>
      <c r="B1046" s="161"/>
      <c r="C1046" s="162"/>
      <c r="D1046" s="162"/>
      <c r="E1046" s="162"/>
      <c r="F1046" s="162"/>
      <c r="G1046" s="163"/>
      <c r="I1046" s="295" t="s">
        <v>784</v>
      </c>
      <c r="J1046" s="295"/>
      <c r="K1046" s="170"/>
      <c r="L1046" s="171"/>
      <c r="M1046" s="50"/>
      <c r="N1046" s="171"/>
      <c r="O1046" s="202"/>
      <c r="P1046" s="202"/>
      <c r="Q1046" s="202"/>
      <c r="R1046" s="162"/>
      <c r="S1046" s="162"/>
    </row>
    <row r="1047" spans="1:19">
      <c r="A1047" s="294"/>
      <c r="B1047" s="164"/>
      <c r="C1047" s="165"/>
      <c r="D1047" s="165"/>
      <c r="E1047" s="165"/>
      <c r="F1047" s="165"/>
      <c r="G1047" s="166"/>
      <c r="I1047" s="295" t="s">
        <v>785</v>
      </c>
      <c r="J1047" s="295"/>
      <c r="K1047" s="170"/>
      <c r="L1047" s="171"/>
      <c r="M1047" s="50"/>
      <c r="N1047" s="171"/>
      <c r="O1047" s="202"/>
      <c r="P1047" s="202"/>
      <c r="Q1047" s="202"/>
      <c r="R1047" s="162"/>
      <c r="S1047" s="162"/>
    </row>
    <row r="1048" spans="1:19">
      <c r="A1048" s="294"/>
      <c r="B1048" s="161"/>
      <c r="C1048" s="162"/>
      <c r="D1048" s="162"/>
      <c r="E1048" s="162"/>
      <c r="F1048" s="162"/>
      <c r="G1048" s="163"/>
      <c r="I1048" s="295" t="s">
        <v>786</v>
      </c>
      <c r="J1048" s="295"/>
      <c r="K1048" s="170"/>
      <c r="L1048" s="171"/>
      <c r="M1048" s="50"/>
      <c r="N1048" s="171"/>
      <c r="O1048" s="202"/>
      <c r="P1048" s="202"/>
      <c r="Q1048" s="202"/>
      <c r="R1048" s="162"/>
      <c r="S1048" s="162"/>
    </row>
    <row r="1049" spans="1:19">
      <c r="A1049" s="294"/>
      <c r="B1049" s="164"/>
      <c r="C1049" s="165"/>
      <c r="D1049" s="165"/>
      <c r="E1049" s="165"/>
      <c r="F1049" s="165"/>
      <c r="G1049" s="166"/>
      <c r="I1049" s="295" t="s">
        <v>787</v>
      </c>
      <c r="J1049" s="295"/>
      <c r="K1049" s="170"/>
      <c r="L1049" s="171"/>
      <c r="M1049" s="50"/>
      <c r="N1049" s="171"/>
      <c r="O1049" s="202"/>
      <c r="P1049" s="202"/>
      <c r="Q1049" s="202"/>
      <c r="R1049" s="162"/>
      <c r="S1049" s="162"/>
    </row>
    <row r="1050" spans="1:19">
      <c r="A1050" s="294"/>
      <c r="B1050" s="161"/>
      <c r="C1050" s="162"/>
      <c r="D1050" s="162"/>
      <c r="E1050" s="162"/>
      <c r="F1050" s="162"/>
      <c r="G1050" s="163"/>
      <c r="I1050" s="295" t="s">
        <v>788</v>
      </c>
      <c r="J1050" s="295"/>
      <c r="K1050" s="170"/>
      <c r="L1050" s="171"/>
      <c r="M1050" s="50"/>
      <c r="N1050" s="171"/>
      <c r="O1050" s="202"/>
      <c r="P1050" s="202"/>
      <c r="Q1050" s="202"/>
      <c r="R1050" s="162"/>
      <c r="S1050" s="162"/>
    </row>
    <row r="1051" spans="1:19">
      <c r="A1051" s="294"/>
      <c r="B1051" s="164"/>
      <c r="C1051" s="165"/>
      <c r="D1051" s="165"/>
      <c r="E1051" s="165"/>
      <c r="F1051" s="165"/>
      <c r="G1051" s="166"/>
      <c r="I1051" s="295" t="s">
        <v>789</v>
      </c>
      <c r="J1051" s="295"/>
      <c r="K1051" s="170"/>
      <c r="L1051" s="171"/>
      <c r="M1051" s="50"/>
      <c r="N1051" s="171"/>
      <c r="O1051" s="202"/>
      <c r="P1051" s="202"/>
      <c r="Q1051" s="202"/>
      <c r="R1051" s="162"/>
      <c r="S1051" s="162"/>
    </row>
    <row r="1052" spans="1:19">
      <c r="A1052" s="63"/>
      <c r="B1052" s="63"/>
      <c r="C1052" s="63"/>
      <c r="D1052" s="63"/>
      <c r="E1052" s="63"/>
      <c r="F1052" s="63"/>
      <c r="G1052" s="63"/>
      <c r="I1052" s="295" t="s">
        <v>790</v>
      </c>
      <c r="J1052" s="295"/>
      <c r="K1052" s="170"/>
      <c r="L1052" s="171"/>
      <c r="M1052" s="50"/>
      <c r="N1052" s="171"/>
      <c r="O1052" s="202"/>
      <c r="P1052" s="202"/>
      <c r="Q1052" s="202"/>
      <c r="R1052" s="162"/>
      <c r="S1052" s="162"/>
    </row>
    <row r="1053" spans="1:19">
      <c r="A1053" s="63"/>
      <c r="B1053" s="63"/>
      <c r="C1053" s="63"/>
      <c r="D1053" s="63"/>
      <c r="E1053" s="63"/>
      <c r="F1053" s="63"/>
      <c r="G1053" s="63"/>
      <c r="I1053" s="295" t="s">
        <v>791</v>
      </c>
      <c r="J1053" s="295"/>
      <c r="K1053" s="170"/>
      <c r="L1053" s="171"/>
      <c r="M1053" s="50"/>
      <c r="N1053" s="171"/>
      <c r="O1053" s="202"/>
      <c r="P1053" s="202"/>
      <c r="Q1053" s="202"/>
      <c r="R1053" s="162"/>
      <c r="S1053" s="162"/>
    </row>
    <row r="1054" spans="1:19">
      <c r="A1054" s="63"/>
      <c r="B1054" s="63"/>
      <c r="C1054" s="63"/>
      <c r="D1054" s="63"/>
      <c r="E1054" s="63"/>
      <c r="F1054" s="63"/>
      <c r="G1054" s="63"/>
      <c r="I1054" s="296" t="s">
        <v>792</v>
      </c>
      <c r="J1054" s="296"/>
      <c r="K1054" s="170"/>
      <c r="L1054" s="171"/>
      <c r="M1054" s="50"/>
      <c r="N1054" s="171"/>
      <c r="O1054" s="202"/>
      <c r="P1054" s="202"/>
      <c r="Q1054" s="202"/>
      <c r="R1054" s="162"/>
      <c r="S1054" s="162"/>
    </row>
    <row r="1055" spans="1:19" ht="17.25" thickBot="1">
      <c r="A1055" s="63"/>
      <c r="B1055" s="63"/>
      <c r="C1055" s="63"/>
      <c r="D1055" s="63"/>
      <c r="E1055" s="63"/>
      <c r="F1055" s="63"/>
      <c r="G1055" s="63"/>
      <c r="I1055" s="297" t="s">
        <v>793</v>
      </c>
      <c r="J1055" s="297"/>
      <c r="K1055" s="172">
        <f t="shared" ref="K1055:S1055" si="439">SUM(K1044:K1054)</f>
        <v>0</v>
      </c>
      <c r="L1055" s="205">
        <f t="shared" si="439"/>
        <v>0</v>
      </c>
      <c r="M1055" s="205">
        <f t="shared" si="439"/>
        <v>0</v>
      </c>
      <c r="N1055" s="205">
        <f t="shared" si="439"/>
        <v>0</v>
      </c>
      <c r="O1055" s="174">
        <f t="shared" si="439"/>
        <v>0</v>
      </c>
      <c r="P1055" s="174">
        <f t="shared" si="439"/>
        <v>0</v>
      </c>
      <c r="Q1055" s="174">
        <f t="shared" si="439"/>
        <v>0</v>
      </c>
      <c r="R1055" s="175">
        <f t="shared" si="439"/>
        <v>0</v>
      </c>
      <c r="S1055" s="175">
        <f t="shared" si="439"/>
        <v>0</v>
      </c>
    </row>
    <row r="1056" spans="1:19" ht="17.25" thickBot="1">
      <c r="A1056" s="63"/>
      <c r="B1056" s="63"/>
      <c r="C1056" s="63"/>
      <c r="D1056" s="63"/>
      <c r="E1056" s="63"/>
      <c r="F1056" s="63"/>
      <c r="G1056" s="63"/>
      <c r="I1056" s="298" t="s">
        <v>794</v>
      </c>
      <c r="J1056" s="299"/>
      <c r="K1056" s="176">
        <f t="shared" ref="K1056" si="440">S1035-K1055</f>
        <v>0</v>
      </c>
      <c r="L1056" s="177">
        <f t="shared" ref="L1056" si="441">K1055-L1055</f>
        <v>0</v>
      </c>
      <c r="M1056" s="177">
        <f t="shared" ref="M1056" si="442">K1055-M1055</f>
        <v>0</v>
      </c>
      <c r="N1056" s="177">
        <f t="shared" ref="N1056" si="443">K1055-N1055</f>
        <v>0</v>
      </c>
      <c r="O1056" s="178">
        <f t="shared" ref="O1056" si="444">K1055-O1055</f>
        <v>0</v>
      </c>
      <c r="P1056" s="178">
        <f t="shared" ref="P1056" si="445">K1055-P1055</f>
        <v>0</v>
      </c>
      <c r="Q1056" s="178">
        <f t="shared" ref="Q1056" si="446">K1055-Q1055</f>
        <v>0</v>
      </c>
      <c r="R1056" s="179">
        <f t="shared" ref="R1056" si="447">K1055-R1055</f>
        <v>0</v>
      </c>
      <c r="S1056" s="180">
        <f t="shared" ref="S1056" si="448">L1055-S1055</f>
        <v>0</v>
      </c>
    </row>
    <row r="1057" spans="1:19">
      <c r="A1057" s="63"/>
      <c r="B1057" s="63"/>
      <c r="C1057" s="63"/>
      <c r="D1057" s="63"/>
      <c r="E1057" s="63"/>
      <c r="F1057" s="63"/>
      <c r="G1057" s="63"/>
      <c r="I1057" s="300" t="s">
        <v>795</v>
      </c>
      <c r="J1057" s="301"/>
      <c r="K1057" s="181"/>
      <c r="L1057" s="182"/>
      <c r="M1057" s="182"/>
      <c r="N1057" s="182"/>
      <c r="O1057" s="183"/>
      <c r="P1057" s="182"/>
      <c r="Q1057" s="182"/>
      <c r="R1057" s="182"/>
      <c r="S1057" s="182"/>
    </row>
    <row r="1058" spans="1:19">
      <c r="A1058" s="63"/>
      <c r="B1058" s="63"/>
      <c r="C1058" s="63"/>
      <c r="D1058" s="63"/>
      <c r="E1058" s="63"/>
      <c r="F1058" s="63"/>
      <c r="G1058" s="63"/>
      <c r="I1058" s="302" t="s">
        <v>796</v>
      </c>
      <c r="J1058" s="302"/>
      <c r="K1058" s="184"/>
      <c r="L1058" s="203"/>
      <c r="M1058" s="203"/>
      <c r="N1058" s="203"/>
      <c r="O1058" s="203"/>
      <c r="P1058" s="203"/>
      <c r="Q1058" s="203"/>
      <c r="R1058" s="203"/>
      <c r="S1058" s="203"/>
    </row>
    <row r="1059" spans="1:19">
      <c r="A1059" s="63"/>
      <c r="B1059" s="63"/>
      <c r="C1059" s="63"/>
      <c r="D1059" s="63"/>
      <c r="E1059" s="63"/>
      <c r="F1059" s="63"/>
      <c r="G1059" s="63"/>
      <c r="I1059" s="302" t="s">
        <v>797</v>
      </c>
      <c r="J1059" s="302"/>
      <c r="K1059" s="184"/>
      <c r="L1059" s="203"/>
      <c r="M1059" s="203"/>
      <c r="N1059" s="203"/>
      <c r="O1059" s="203"/>
      <c r="P1059" s="203"/>
      <c r="Q1059" s="203"/>
      <c r="R1059" s="203"/>
      <c r="S1059" s="203"/>
    </row>
    <row r="1060" spans="1:19">
      <c r="A1060" s="63"/>
      <c r="B1060" s="63"/>
      <c r="C1060" s="63"/>
      <c r="D1060" s="63"/>
      <c r="E1060" s="63"/>
      <c r="F1060" s="63"/>
      <c r="G1060" s="63"/>
      <c r="I1060" s="303" t="s">
        <v>798</v>
      </c>
      <c r="J1060" s="303"/>
      <c r="K1060" s="184"/>
      <c r="L1060" s="185"/>
      <c r="M1060" s="185"/>
      <c r="N1060" s="185"/>
      <c r="O1060" s="185"/>
      <c r="P1060" s="204"/>
      <c r="Q1060" s="204"/>
      <c r="R1060" s="204"/>
      <c r="S1060" s="204"/>
    </row>
    <row r="1061" spans="1:19">
      <c r="A1061" s="3" t="s">
        <v>801</v>
      </c>
      <c r="B1061" s="201" t="s">
        <v>802</v>
      </c>
      <c r="C1061" s="201" t="s">
        <v>803</v>
      </c>
      <c r="D1061" s="201" t="s">
        <v>119</v>
      </c>
      <c r="E1061" s="201" t="s">
        <v>148</v>
      </c>
      <c r="F1061" s="201" t="s">
        <v>806</v>
      </c>
      <c r="G1061" s="201" t="s">
        <v>81</v>
      </c>
      <c r="I1061" s="187"/>
      <c r="J1061" s="187"/>
      <c r="K1061" s="187"/>
      <c r="L1061" s="188"/>
      <c r="M1061" s="188"/>
      <c r="N1061" s="188"/>
      <c r="O1061" s="188"/>
      <c r="P1061" s="187"/>
      <c r="Q1061" s="187"/>
      <c r="R1061" s="187"/>
      <c r="S1061" s="187"/>
    </row>
    <row r="1062" spans="1:19">
      <c r="A1062" s="293">
        <v>44092</v>
      </c>
      <c r="B1062" s="161"/>
      <c r="C1062" s="162"/>
      <c r="D1062" s="162"/>
      <c r="E1062" s="162"/>
      <c r="F1062" s="162"/>
      <c r="G1062" s="163"/>
      <c r="I1062" s="191"/>
      <c r="J1062" s="190"/>
      <c r="K1062" s="190"/>
      <c r="L1062" s="190"/>
      <c r="M1062" s="190">
        <v>44092</v>
      </c>
      <c r="N1062" s="189" t="s">
        <v>864</v>
      </c>
      <c r="O1062" s="189"/>
      <c r="P1062" s="189"/>
      <c r="Q1062" s="189"/>
      <c r="R1062" s="189"/>
      <c r="S1062" s="189"/>
    </row>
    <row r="1063" spans="1:19">
      <c r="A1063" s="294"/>
      <c r="B1063" s="164"/>
      <c r="C1063" s="165"/>
      <c r="D1063" s="165"/>
      <c r="E1063" s="165"/>
      <c r="F1063" s="165"/>
      <c r="G1063" s="166"/>
      <c r="I1063" s="304"/>
      <c r="J1063" s="304"/>
      <c r="K1063" s="167"/>
      <c r="L1063" s="168"/>
      <c r="M1063" s="168"/>
      <c r="N1063" s="168"/>
      <c r="O1063" s="169"/>
      <c r="P1063" s="169"/>
      <c r="Q1063" s="169"/>
      <c r="R1063" s="161"/>
      <c r="S1063" s="161"/>
    </row>
    <row r="1064" spans="1:19">
      <c r="A1064" s="294"/>
      <c r="B1064" s="161"/>
      <c r="C1064" s="162"/>
      <c r="D1064" s="162"/>
      <c r="E1064" s="162"/>
      <c r="F1064" s="162"/>
      <c r="G1064" s="163"/>
      <c r="I1064" s="295" t="s">
        <v>782</v>
      </c>
      <c r="J1064" s="296"/>
      <c r="K1064" s="170"/>
      <c r="L1064" s="171"/>
      <c r="M1064" s="50"/>
      <c r="N1064" s="171"/>
      <c r="O1064" s="202"/>
      <c r="P1064" s="202"/>
      <c r="Q1064" s="202"/>
      <c r="R1064" s="162"/>
      <c r="S1064" s="162"/>
    </row>
    <row r="1065" spans="1:19">
      <c r="A1065" s="294"/>
      <c r="B1065" s="164"/>
      <c r="C1065" s="165"/>
      <c r="D1065" s="165"/>
      <c r="E1065" s="165"/>
      <c r="F1065" s="165"/>
      <c r="G1065" s="166"/>
      <c r="I1065" s="295" t="s">
        <v>783</v>
      </c>
      <c r="J1065" s="295"/>
      <c r="K1065" s="170"/>
      <c r="L1065" s="171"/>
      <c r="M1065" s="50"/>
      <c r="N1065" s="171"/>
      <c r="O1065" s="202"/>
      <c r="P1065" s="202"/>
      <c r="Q1065" s="202"/>
      <c r="R1065" s="162"/>
      <c r="S1065" s="162"/>
    </row>
    <row r="1066" spans="1:19">
      <c r="A1066" s="294"/>
      <c r="B1066" s="161"/>
      <c r="C1066" s="162"/>
      <c r="D1066" s="162"/>
      <c r="E1066" s="162"/>
      <c r="F1066" s="162"/>
      <c r="G1066" s="163"/>
      <c r="I1066" s="295" t="s">
        <v>784</v>
      </c>
      <c r="J1066" s="295"/>
      <c r="K1066" s="170"/>
      <c r="L1066" s="171"/>
      <c r="M1066" s="50"/>
      <c r="N1066" s="171"/>
      <c r="O1066" s="202"/>
      <c r="P1066" s="202"/>
      <c r="Q1066" s="202"/>
      <c r="R1066" s="162"/>
      <c r="S1066" s="162"/>
    </row>
    <row r="1067" spans="1:19">
      <c r="A1067" s="294"/>
      <c r="B1067" s="164"/>
      <c r="C1067" s="165"/>
      <c r="D1067" s="165"/>
      <c r="E1067" s="165"/>
      <c r="F1067" s="165"/>
      <c r="G1067" s="166"/>
      <c r="I1067" s="295" t="s">
        <v>785</v>
      </c>
      <c r="J1067" s="295"/>
      <c r="K1067" s="170"/>
      <c r="L1067" s="171"/>
      <c r="M1067" s="50"/>
      <c r="N1067" s="171"/>
      <c r="O1067" s="202"/>
      <c r="P1067" s="202"/>
      <c r="Q1067" s="202"/>
      <c r="R1067" s="162"/>
      <c r="S1067" s="162"/>
    </row>
    <row r="1068" spans="1:19">
      <c r="A1068" s="294"/>
      <c r="B1068" s="161"/>
      <c r="C1068" s="162"/>
      <c r="D1068" s="162"/>
      <c r="E1068" s="162"/>
      <c r="F1068" s="162"/>
      <c r="G1068" s="163"/>
      <c r="I1068" s="295" t="s">
        <v>786</v>
      </c>
      <c r="J1068" s="295"/>
      <c r="K1068" s="170"/>
      <c r="L1068" s="171"/>
      <c r="M1068" s="50"/>
      <c r="N1068" s="171"/>
      <c r="O1068" s="202"/>
      <c r="P1068" s="202"/>
      <c r="Q1068" s="202"/>
      <c r="R1068" s="162"/>
      <c r="S1068" s="162"/>
    </row>
    <row r="1069" spans="1:19">
      <c r="A1069" s="294"/>
      <c r="B1069" s="164"/>
      <c r="C1069" s="165"/>
      <c r="D1069" s="165"/>
      <c r="E1069" s="165"/>
      <c r="F1069" s="165"/>
      <c r="G1069" s="166"/>
      <c r="I1069" s="295" t="s">
        <v>787</v>
      </c>
      <c r="J1069" s="295"/>
      <c r="K1069" s="170"/>
      <c r="L1069" s="171"/>
      <c r="M1069" s="50"/>
      <c r="N1069" s="171"/>
      <c r="O1069" s="202"/>
      <c r="P1069" s="202"/>
      <c r="Q1069" s="202"/>
      <c r="R1069" s="162"/>
      <c r="S1069" s="162"/>
    </row>
    <row r="1070" spans="1:19">
      <c r="A1070" s="294"/>
      <c r="B1070" s="161"/>
      <c r="C1070" s="162"/>
      <c r="D1070" s="162"/>
      <c r="E1070" s="162"/>
      <c r="F1070" s="162"/>
      <c r="G1070" s="163"/>
      <c r="I1070" s="295" t="s">
        <v>788</v>
      </c>
      <c r="J1070" s="295"/>
      <c r="K1070" s="170"/>
      <c r="L1070" s="171"/>
      <c r="M1070" s="50"/>
      <c r="N1070" s="171"/>
      <c r="O1070" s="202"/>
      <c r="P1070" s="202"/>
      <c r="Q1070" s="202"/>
      <c r="R1070" s="162"/>
      <c r="S1070" s="162"/>
    </row>
    <row r="1071" spans="1:19">
      <c r="A1071" s="294"/>
      <c r="B1071" s="164"/>
      <c r="C1071" s="165"/>
      <c r="D1071" s="165"/>
      <c r="E1071" s="165"/>
      <c r="F1071" s="165"/>
      <c r="G1071" s="166"/>
      <c r="I1071" s="295" t="s">
        <v>789</v>
      </c>
      <c r="J1071" s="295"/>
      <c r="K1071" s="170"/>
      <c r="L1071" s="171"/>
      <c r="M1071" s="50"/>
      <c r="N1071" s="171"/>
      <c r="O1071" s="202"/>
      <c r="P1071" s="202"/>
      <c r="Q1071" s="202"/>
      <c r="R1071" s="162"/>
      <c r="S1071" s="162"/>
    </row>
    <row r="1072" spans="1:19">
      <c r="A1072" s="63"/>
      <c r="B1072" s="63"/>
      <c r="C1072" s="63"/>
      <c r="D1072" s="63"/>
      <c r="E1072" s="63"/>
      <c r="F1072" s="63"/>
      <c r="G1072" s="63"/>
      <c r="I1072" s="295" t="s">
        <v>790</v>
      </c>
      <c r="J1072" s="295"/>
      <c r="K1072" s="170"/>
      <c r="L1072" s="171"/>
      <c r="M1072" s="50"/>
      <c r="N1072" s="171"/>
      <c r="O1072" s="202"/>
      <c r="P1072" s="202"/>
      <c r="Q1072" s="202"/>
      <c r="R1072" s="162"/>
      <c r="S1072" s="162"/>
    </row>
    <row r="1073" spans="1:19">
      <c r="A1073" s="63"/>
      <c r="B1073" s="63"/>
      <c r="C1073" s="63"/>
      <c r="D1073" s="63"/>
      <c r="E1073" s="63"/>
      <c r="F1073" s="63"/>
      <c r="G1073" s="63"/>
      <c r="I1073" s="295" t="s">
        <v>791</v>
      </c>
      <c r="J1073" s="295"/>
      <c r="K1073" s="170"/>
      <c r="L1073" s="171"/>
      <c r="M1073" s="50"/>
      <c r="N1073" s="171"/>
      <c r="O1073" s="202"/>
      <c r="P1073" s="202"/>
      <c r="Q1073" s="202"/>
      <c r="R1073" s="162"/>
      <c r="S1073" s="162"/>
    </row>
    <row r="1074" spans="1:19">
      <c r="A1074" s="63"/>
      <c r="B1074" s="63"/>
      <c r="C1074" s="63"/>
      <c r="D1074" s="63"/>
      <c r="E1074" s="63"/>
      <c r="F1074" s="63"/>
      <c r="G1074" s="63"/>
      <c r="I1074" s="296" t="s">
        <v>792</v>
      </c>
      <c r="J1074" s="296"/>
      <c r="K1074" s="170"/>
      <c r="L1074" s="171"/>
      <c r="M1074" s="50"/>
      <c r="N1074" s="171"/>
      <c r="O1074" s="202"/>
      <c r="P1074" s="202"/>
      <c r="Q1074" s="202"/>
      <c r="R1074" s="162"/>
      <c r="S1074" s="162"/>
    </row>
    <row r="1075" spans="1:19" ht="17.25" thickBot="1">
      <c r="A1075" s="63"/>
      <c r="B1075" s="63"/>
      <c r="C1075" s="63"/>
      <c r="D1075" s="63"/>
      <c r="E1075" s="63"/>
      <c r="F1075" s="63"/>
      <c r="G1075" s="63"/>
      <c r="I1075" s="297" t="s">
        <v>793</v>
      </c>
      <c r="J1075" s="297"/>
      <c r="K1075" s="172">
        <f t="shared" ref="K1075:S1075" si="449">SUM(K1064:K1074)</f>
        <v>0</v>
      </c>
      <c r="L1075" s="205">
        <f t="shared" si="449"/>
        <v>0</v>
      </c>
      <c r="M1075" s="205">
        <f t="shared" si="449"/>
        <v>0</v>
      </c>
      <c r="N1075" s="205">
        <f t="shared" si="449"/>
        <v>0</v>
      </c>
      <c r="O1075" s="174">
        <f t="shared" si="449"/>
        <v>0</v>
      </c>
      <c r="P1075" s="174">
        <f t="shared" si="449"/>
        <v>0</v>
      </c>
      <c r="Q1075" s="174">
        <f t="shared" si="449"/>
        <v>0</v>
      </c>
      <c r="R1075" s="175">
        <f t="shared" si="449"/>
        <v>0</v>
      </c>
      <c r="S1075" s="175">
        <f t="shared" si="449"/>
        <v>0</v>
      </c>
    </row>
    <row r="1076" spans="1:19" ht="17.25" thickBot="1">
      <c r="A1076" s="63"/>
      <c r="B1076" s="63"/>
      <c r="C1076" s="63"/>
      <c r="D1076" s="63"/>
      <c r="E1076" s="63"/>
      <c r="F1076" s="63"/>
      <c r="G1076" s="63"/>
      <c r="I1076" s="298" t="s">
        <v>794</v>
      </c>
      <c r="J1076" s="299"/>
      <c r="K1076" s="176">
        <f t="shared" ref="K1076" si="450">S1055-K1075</f>
        <v>0</v>
      </c>
      <c r="L1076" s="177">
        <f t="shared" ref="L1076" si="451">K1075-L1075</f>
        <v>0</v>
      </c>
      <c r="M1076" s="177">
        <f t="shared" ref="M1076" si="452">K1075-M1075</f>
        <v>0</v>
      </c>
      <c r="N1076" s="177">
        <f t="shared" ref="N1076" si="453">K1075-N1075</f>
        <v>0</v>
      </c>
      <c r="O1076" s="178">
        <f t="shared" ref="O1076" si="454">K1075-O1075</f>
        <v>0</v>
      </c>
      <c r="P1076" s="178">
        <f t="shared" ref="P1076" si="455">K1075-P1075</f>
        <v>0</v>
      </c>
      <c r="Q1076" s="178">
        <f t="shared" ref="Q1076" si="456">K1075-Q1075</f>
        <v>0</v>
      </c>
      <c r="R1076" s="179">
        <f t="shared" ref="R1076" si="457">K1075-R1075</f>
        <v>0</v>
      </c>
      <c r="S1076" s="180">
        <f t="shared" ref="S1076" si="458">L1075-S1075</f>
        <v>0</v>
      </c>
    </row>
    <row r="1077" spans="1:19">
      <c r="A1077" s="63"/>
      <c r="B1077" s="63"/>
      <c r="C1077" s="63"/>
      <c r="D1077" s="63"/>
      <c r="E1077" s="63"/>
      <c r="F1077" s="63"/>
      <c r="G1077" s="63"/>
      <c r="I1077" s="300" t="s">
        <v>795</v>
      </c>
      <c r="J1077" s="301"/>
      <c r="K1077" s="181"/>
      <c r="L1077" s="182"/>
      <c r="M1077" s="182"/>
      <c r="N1077" s="182"/>
      <c r="O1077" s="183"/>
      <c r="P1077" s="182"/>
      <c r="Q1077" s="182"/>
      <c r="R1077" s="182"/>
      <c r="S1077" s="182"/>
    </row>
    <row r="1078" spans="1:19">
      <c r="A1078" s="63"/>
      <c r="B1078" s="63"/>
      <c r="C1078" s="63"/>
      <c r="D1078" s="63"/>
      <c r="E1078" s="63"/>
      <c r="F1078" s="63"/>
      <c r="G1078" s="63"/>
      <c r="I1078" s="302" t="s">
        <v>796</v>
      </c>
      <c r="J1078" s="302"/>
      <c r="K1078" s="184"/>
      <c r="L1078" s="203"/>
      <c r="M1078" s="203"/>
      <c r="N1078" s="203"/>
      <c r="O1078" s="203"/>
      <c r="P1078" s="203"/>
      <c r="Q1078" s="203"/>
      <c r="R1078" s="203"/>
      <c r="S1078" s="203"/>
    </row>
    <row r="1079" spans="1:19">
      <c r="A1079" s="63"/>
      <c r="B1079" s="63"/>
      <c r="C1079" s="63"/>
      <c r="D1079" s="63"/>
      <c r="E1079" s="63"/>
      <c r="F1079" s="63"/>
      <c r="G1079" s="63"/>
      <c r="I1079" s="302" t="s">
        <v>797</v>
      </c>
      <c r="J1079" s="302"/>
      <c r="K1079" s="184"/>
      <c r="L1079" s="203"/>
      <c r="M1079" s="203"/>
      <c r="N1079" s="203"/>
      <c r="O1079" s="203"/>
      <c r="P1079" s="203"/>
      <c r="Q1079" s="203"/>
      <c r="R1079" s="203"/>
      <c r="S1079" s="203"/>
    </row>
    <row r="1080" spans="1:19">
      <c r="A1080" s="63"/>
      <c r="B1080" s="63"/>
      <c r="C1080" s="63"/>
      <c r="D1080" s="63"/>
      <c r="E1080" s="63"/>
      <c r="F1080" s="63"/>
      <c r="G1080" s="63"/>
      <c r="I1080" s="303" t="s">
        <v>798</v>
      </c>
      <c r="J1080" s="303"/>
      <c r="K1080" s="184"/>
      <c r="L1080" s="185"/>
      <c r="M1080" s="185"/>
      <c r="N1080" s="185"/>
      <c r="O1080" s="185"/>
      <c r="P1080" s="204"/>
      <c r="Q1080" s="204"/>
      <c r="R1080" s="204"/>
      <c r="S1080" s="204"/>
    </row>
    <row r="1081" spans="1:19">
      <c r="A1081" s="3" t="s">
        <v>801</v>
      </c>
      <c r="B1081" s="201" t="s">
        <v>802</v>
      </c>
      <c r="C1081" s="201" t="s">
        <v>803</v>
      </c>
      <c r="D1081" s="201" t="s">
        <v>119</v>
      </c>
      <c r="E1081" s="201" t="s">
        <v>148</v>
      </c>
      <c r="F1081" s="201" t="s">
        <v>806</v>
      </c>
      <c r="G1081" s="201" t="s">
        <v>81</v>
      </c>
      <c r="I1081" s="187"/>
      <c r="J1081" s="187"/>
      <c r="K1081" s="187"/>
      <c r="L1081" s="188"/>
      <c r="M1081" s="188"/>
      <c r="N1081" s="188"/>
      <c r="O1081" s="188"/>
      <c r="P1081" s="187"/>
      <c r="Q1081" s="187"/>
      <c r="R1081" s="187"/>
      <c r="S1081" s="187"/>
    </row>
    <row r="1082" spans="1:19">
      <c r="A1082" s="293">
        <v>44093</v>
      </c>
      <c r="B1082" s="161"/>
      <c r="C1082" s="162"/>
      <c r="D1082" s="162"/>
      <c r="E1082" s="162"/>
      <c r="F1082" s="162"/>
      <c r="G1082" s="163"/>
      <c r="I1082" s="191"/>
      <c r="J1082" s="190"/>
      <c r="K1082" s="190"/>
      <c r="L1082" s="190"/>
      <c r="M1082" s="190">
        <v>44093</v>
      </c>
      <c r="N1082" s="189" t="s">
        <v>864</v>
      </c>
      <c r="O1082" s="189"/>
      <c r="P1082" s="189"/>
      <c r="Q1082" s="189"/>
      <c r="R1082" s="189"/>
      <c r="S1082" s="189"/>
    </row>
    <row r="1083" spans="1:19">
      <c r="A1083" s="294"/>
      <c r="B1083" s="164"/>
      <c r="C1083" s="165"/>
      <c r="D1083" s="165"/>
      <c r="E1083" s="165"/>
      <c r="F1083" s="165"/>
      <c r="G1083" s="166"/>
      <c r="I1083" s="304"/>
      <c r="J1083" s="304"/>
      <c r="K1083" s="167"/>
      <c r="L1083" s="168"/>
      <c r="M1083" s="168"/>
      <c r="N1083" s="168"/>
      <c r="O1083" s="169"/>
      <c r="P1083" s="169"/>
      <c r="Q1083" s="169"/>
      <c r="R1083" s="161"/>
      <c r="S1083" s="161"/>
    </row>
    <row r="1084" spans="1:19">
      <c r="A1084" s="294"/>
      <c r="B1084" s="161"/>
      <c r="C1084" s="162"/>
      <c r="D1084" s="162"/>
      <c r="E1084" s="162"/>
      <c r="F1084" s="162"/>
      <c r="G1084" s="163"/>
      <c r="I1084" s="295" t="s">
        <v>782</v>
      </c>
      <c r="J1084" s="296"/>
      <c r="K1084" s="170"/>
      <c r="L1084" s="171"/>
      <c r="M1084" s="50"/>
      <c r="N1084" s="171"/>
      <c r="O1084" s="202"/>
      <c r="P1084" s="202"/>
      <c r="Q1084" s="202"/>
      <c r="R1084" s="162"/>
      <c r="S1084" s="162"/>
    </row>
    <row r="1085" spans="1:19">
      <c r="A1085" s="294"/>
      <c r="B1085" s="164"/>
      <c r="C1085" s="165"/>
      <c r="D1085" s="165"/>
      <c r="E1085" s="165"/>
      <c r="F1085" s="165"/>
      <c r="G1085" s="166"/>
      <c r="I1085" s="295" t="s">
        <v>783</v>
      </c>
      <c r="J1085" s="295"/>
      <c r="K1085" s="170"/>
      <c r="L1085" s="171"/>
      <c r="M1085" s="50"/>
      <c r="N1085" s="171"/>
      <c r="O1085" s="202"/>
      <c r="P1085" s="202"/>
      <c r="Q1085" s="202"/>
      <c r="R1085" s="162"/>
      <c r="S1085" s="162"/>
    </row>
    <row r="1086" spans="1:19">
      <c r="A1086" s="294"/>
      <c r="B1086" s="161"/>
      <c r="C1086" s="162"/>
      <c r="D1086" s="162"/>
      <c r="E1086" s="162"/>
      <c r="F1086" s="162"/>
      <c r="G1086" s="163"/>
      <c r="I1086" s="295" t="s">
        <v>784</v>
      </c>
      <c r="J1086" s="295"/>
      <c r="K1086" s="170"/>
      <c r="L1086" s="171"/>
      <c r="M1086" s="50"/>
      <c r="N1086" s="171"/>
      <c r="O1086" s="202"/>
      <c r="P1086" s="202"/>
      <c r="Q1086" s="202"/>
      <c r="R1086" s="162"/>
      <c r="S1086" s="162"/>
    </row>
    <row r="1087" spans="1:19">
      <c r="A1087" s="294"/>
      <c r="B1087" s="164"/>
      <c r="C1087" s="165"/>
      <c r="D1087" s="165"/>
      <c r="E1087" s="165"/>
      <c r="F1087" s="165"/>
      <c r="G1087" s="166"/>
      <c r="I1087" s="295" t="s">
        <v>785</v>
      </c>
      <c r="J1087" s="295"/>
      <c r="K1087" s="170"/>
      <c r="L1087" s="171"/>
      <c r="M1087" s="50"/>
      <c r="N1087" s="171"/>
      <c r="O1087" s="202"/>
      <c r="P1087" s="202"/>
      <c r="Q1087" s="202"/>
      <c r="R1087" s="162"/>
      <c r="S1087" s="162"/>
    </row>
    <row r="1088" spans="1:19">
      <c r="A1088" s="294"/>
      <c r="B1088" s="161"/>
      <c r="C1088" s="162"/>
      <c r="D1088" s="162"/>
      <c r="E1088" s="162"/>
      <c r="F1088" s="162"/>
      <c r="G1088" s="163"/>
      <c r="I1088" s="295" t="s">
        <v>786</v>
      </c>
      <c r="J1088" s="295"/>
      <c r="K1088" s="170"/>
      <c r="L1088" s="171"/>
      <c r="M1088" s="50"/>
      <c r="N1088" s="171"/>
      <c r="O1088" s="202"/>
      <c r="P1088" s="202"/>
      <c r="Q1088" s="202"/>
      <c r="R1088" s="162"/>
      <c r="S1088" s="162"/>
    </row>
    <row r="1089" spans="1:19">
      <c r="A1089" s="294"/>
      <c r="B1089" s="164"/>
      <c r="C1089" s="165"/>
      <c r="D1089" s="165"/>
      <c r="E1089" s="165"/>
      <c r="F1089" s="165"/>
      <c r="G1089" s="166"/>
      <c r="I1089" s="295" t="s">
        <v>787</v>
      </c>
      <c r="J1089" s="295"/>
      <c r="K1089" s="170"/>
      <c r="L1089" s="171"/>
      <c r="M1089" s="50"/>
      <c r="N1089" s="171"/>
      <c r="O1089" s="202"/>
      <c r="P1089" s="202"/>
      <c r="Q1089" s="202"/>
      <c r="R1089" s="162"/>
      <c r="S1089" s="162"/>
    </row>
    <row r="1090" spans="1:19">
      <c r="A1090" s="294"/>
      <c r="B1090" s="161"/>
      <c r="C1090" s="162"/>
      <c r="D1090" s="162"/>
      <c r="E1090" s="162"/>
      <c r="F1090" s="162"/>
      <c r="G1090" s="163"/>
      <c r="I1090" s="295" t="s">
        <v>788</v>
      </c>
      <c r="J1090" s="295"/>
      <c r="K1090" s="170"/>
      <c r="L1090" s="171"/>
      <c r="M1090" s="50"/>
      <c r="N1090" s="171"/>
      <c r="O1090" s="202"/>
      <c r="P1090" s="202"/>
      <c r="Q1090" s="202"/>
      <c r="R1090" s="162"/>
      <c r="S1090" s="162"/>
    </row>
    <row r="1091" spans="1:19">
      <c r="A1091" s="294"/>
      <c r="B1091" s="164"/>
      <c r="C1091" s="165"/>
      <c r="D1091" s="165"/>
      <c r="E1091" s="165"/>
      <c r="F1091" s="165"/>
      <c r="G1091" s="166"/>
      <c r="I1091" s="295" t="s">
        <v>789</v>
      </c>
      <c r="J1091" s="295"/>
      <c r="K1091" s="170"/>
      <c r="L1091" s="171"/>
      <c r="M1091" s="50"/>
      <c r="N1091" s="171"/>
      <c r="O1091" s="202"/>
      <c r="P1091" s="202"/>
      <c r="Q1091" s="202"/>
      <c r="R1091" s="162"/>
      <c r="S1091" s="162"/>
    </row>
    <row r="1092" spans="1:19">
      <c r="A1092" s="63"/>
      <c r="B1092" s="63"/>
      <c r="C1092" s="63"/>
      <c r="D1092" s="63"/>
      <c r="E1092" s="63"/>
      <c r="F1092" s="63"/>
      <c r="G1092" s="63"/>
      <c r="I1092" s="295" t="s">
        <v>790</v>
      </c>
      <c r="J1092" s="295"/>
      <c r="K1092" s="170"/>
      <c r="L1092" s="171"/>
      <c r="M1092" s="50"/>
      <c r="N1092" s="171"/>
      <c r="O1092" s="202"/>
      <c r="P1092" s="202"/>
      <c r="Q1092" s="202"/>
      <c r="R1092" s="162"/>
      <c r="S1092" s="162"/>
    </row>
    <row r="1093" spans="1:19">
      <c r="A1093" s="63"/>
      <c r="B1093" s="63"/>
      <c r="C1093" s="63"/>
      <c r="D1093" s="63"/>
      <c r="E1093" s="63"/>
      <c r="F1093" s="63"/>
      <c r="G1093" s="63"/>
      <c r="I1093" s="295" t="s">
        <v>791</v>
      </c>
      <c r="J1093" s="295"/>
      <c r="K1093" s="170"/>
      <c r="L1093" s="171"/>
      <c r="M1093" s="50"/>
      <c r="N1093" s="171"/>
      <c r="O1093" s="202"/>
      <c r="P1093" s="202"/>
      <c r="Q1093" s="202"/>
      <c r="R1093" s="162"/>
      <c r="S1093" s="162"/>
    </row>
    <row r="1094" spans="1:19">
      <c r="A1094" s="63"/>
      <c r="B1094" s="63"/>
      <c r="C1094" s="63"/>
      <c r="D1094" s="63"/>
      <c r="E1094" s="63"/>
      <c r="F1094" s="63"/>
      <c r="G1094" s="63"/>
      <c r="I1094" s="296" t="s">
        <v>792</v>
      </c>
      <c r="J1094" s="296"/>
      <c r="K1094" s="170"/>
      <c r="L1094" s="171"/>
      <c r="M1094" s="50"/>
      <c r="N1094" s="171"/>
      <c r="O1094" s="202"/>
      <c r="P1094" s="202"/>
      <c r="Q1094" s="202"/>
      <c r="R1094" s="162"/>
      <c r="S1094" s="162"/>
    </row>
    <row r="1095" spans="1:19" ht="17.25" thickBot="1">
      <c r="A1095" s="63"/>
      <c r="B1095" s="63"/>
      <c r="C1095" s="63"/>
      <c r="D1095" s="63"/>
      <c r="E1095" s="63"/>
      <c r="F1095" s="63"/>
      <c r="G1095" s="63"/>
      <c r="I1095" s="297" t="s">
        <v>793</v>
      </c>
      <c r="J1095" s="297"/>
      <c r="K1095" s="172">
        <f t="shared" ref="K1095:S1095" si="459">SUM(K1084:K1094)</f>
        <v>0</v>
      </c>
      <c r="L1095" s="205">
        <f t="shared" si="459"/>
        <v>0</v>
      </c>
      <c r="M1095" s="205">
        <f t="shared" si="459"/>
        <v>0</v>
      </c>
      <c r="N1095" s="205">
        <f t="shared" si="459"/>
        <v>0</v>
      </c>
      <c r="O1095" s="174">
        <f t="shared" si="459"/>
        <v>0</v>
      </c>
      <c r="P1095" s="174">
        <f t="shared" si="459"/>
        <v>0</v>
      </c>
      <c r="Q1095" s="174">
        <f t="shared" si="459"/>
        <v>0</v>
      </c>
      <c r="R1095" s="175">
        <f t="shared" si="459"/>
        <v>0</v>
      </c>
      <c r="S1095" s="175">
        <f t="shared" si="459"/>
        <v>0</v>
      </c>
    </row>
    <row r="1096" spans="1:19" ht="17.25" thickBot="1">
      <c r="A1096" s="63"/>
      <c r="B1096" s="63"/>
      <c r="C1096" s="63"/>
      <c r="D1096" s="63"/>
      <c r="E1096" s="63"/>
      <c r="F1096" s="63"/>
      <c r="G1096" s="63"/>
      <c r="I1096" s="298" t="s">
        <v>794</v>
      </c>
      <c r="J1096" s="299"/>
      <c r="K1096" s="176">
        <f t="shared" ref="K1096" si="460">S1075-K1095</f>
        <v>0</v>
      </c>
      <c r="L1096" s="177">
        <f t="shared" ref="L1096" si="461">K1095-L1095</f>
        <v>0</v>
      </c>
      <c r="M1096" s="177">
        <f t="shared" ref="M1096" si="462">K1095-M1095</f>
        <v>0</v>
      </c>
      <c r="N1096" s="177">
        <f t="shared" ref="N1096" si="463">K1095-N1095</f>
        <v>0</v>
      </c>
      <c r="O1096" s="178">
        <f t="shared" ref="O1096" si="464">K1095-O1095</f>
        <v>0</v>
      </c>
      <c r="P1096" s="178">
        <f t="shared" ref="P1096" si="465">K1095-P1095</f>
        <v>0</v>
      </c>
      <c r="Q1096" s="178">
        <f t="shared" ref="Q1096" si="466">K1095-Q1095</f>
        <v>0</v>
      </c>
      <c r="R1096" s="179">
        <f t="shared" ref="R1096" si="467">K1095-R1095</f>
        <v>0</v>
      </c>
      <c r="S1096" s="180">
        <f t="shared" ref="S1096" si="468">L1095-S1095</f>
        <v>0</v>
      </c>
    </row>
    <row r="1097" spans="1:19">
      <c r="A1097" s="63"/>
      <c r="B1097" s="63"/>
      <c r="C1097" s="63"/>
      <c r="D1097" s="63"/>
      <c r="E1097" s="63"/>
      <c r="F1097" s="63"/>
      <c r="G1097" s="63"/>
      <c r="I1097" s="300" t="s">
        <v>795</v>
      </c>
      <c r="J1097" s="301"/>
      <c r="K1097" s="181"/>
      <c r="L1097" s="182"/>
      <c r="M1097" s="182"/>
      <c r="N1097" s="182"/>
      <c r="O1097" s="183"/>
      <c r="P1097" s="182"/>
      <c r="Q1097" s="182"/>
      <c r="R1097" s="182"/>
      <c r="S1097" s="182"/>
    </row>
    <row r="1098" spans="1:19">
      <c r="A1098" s="63"/>
      <c r="B1098" s="63"/>
      <c r="C1098" s="63"/>
      <c r="D1098" s="63"/>
      <c r="E1098" s="63"/>
      <c r="F1098" s="63"/>
      <c r="G1098" s="63"/>
      <c r="I1098" s="302" t="s">
        <v>796</v>
      </c>
      <c r="J1098" s="302"/>
      <c r="K1098" s="184"/>
      <c r="L1098" s="203"/>
      <c r="M1098" s="203"/>
      <c r="N1098" s="203"/>
      <c r="O1098" s="203"/>
      <c r="P1098" s="203"/>
      <c r="Q1098" s="203"/>
      <c r="R1098" s="203"/>
      <c r="S1098" s="203"/>
    </row>
    <row r="1099" spans="1:19">
      <c r="A1099" s="63"/>
      <c r="B1099" s="63"/>
      <c r="C1099" s="63"/>
      <c r="D1099" s="63"/>
      <c r="E1099" s="63"/>
      <c r="F1099" s="63"/>
      <c r="G1099" s="63"/>
      <c r="I1099" s="302" t="s">
        <v>797</v>
      </c>
      <c r="J1099" s="302"/>
      <c r="K1099" s="184"/>
      <c r="L1099" s="203"/>
      <c r="M1099" s="203"/>
      <c r="N1099" s="203"/>
      <c r="O1099" s="203"/>
      <c r="P1099" s="203"/>
      <c r="Q1099" s="203"/>
      <c r="R1099" s="203"/>
      <c r="S1099" s="203"/>
    </row>
    <row r="1100" spans="1:19">
      <c r="A1100" s="63"/>
      <c r="B1100" s="63"/>
      <c r="C1100" s="63"/>
      <c r="D1100" s="63"/>
      <c r="E1100" s="63"/>
      <c r="F1100" s="63"/>
      <c r="G1100" s="63"/>
      <c r="I1100" s="303" t="s">
        <v>798</v>
      </c>
      <c r="J1100" s="303"/>
      <c r="K1100" s="184"/>
      <c r="L1100" s="185"/>
      <c r="M1100" s="185"/>
      <c r="N1100" s="185"/>
      <c r="O1100" s="185"/>
      <c r="P1100" s="204"/>
      <c r="Q1100" s="204"/>
      <c r="R1100" s="204"/>
      <c r="S1100" s="204"/>
    </row>
    <row r="1101" spans="1:19">
      <c r="A1101" s="3" t="s">
        <v>801</v>
      </c>
      <c r="B1101" s="201" t="s">
        <v>802</v>
      </c>
      <c r="C1101" s="201" t="s">
        <v>803</v>
      </c>
      <c r="D1101" s="201" t="s">
        <v>119</v>
      </c>
      <c r="E1101" s="201" t="s">
        <v>148</v>
      </c>
      <c r="F1101" s="201" t="s">
        <v>806</v>
      </c>
      <c r="G1101" s="201" t="s">
        <v>81</v>
      </c>
      <c r="I1101" s="187"/>
      <c r="J1101" s="187"/>
      <c r="K1101" s="187"/>
      <c r="L1101" s="188"/>
      <c r="M1101" s="188"/>
      <c r="N1101" s="188"/>
      <c r="O1101" s="188"/>
      <c r="P1101" s="187"/>
      <c r="Q1101" s="187"/>
      <c r="R1101" s="187"/>
      <c r="S1101" s="187"/>
    </row>
    <row r="1102" spans="1:19">
      <c r="A1102" s="293">
        <v>44094</v>
      </c>
      <c r="B1102" s="161"/>
      <c r="C1102" s="162"/>
      <c r="D1102" s="162"/>
      <c r="E1102" s="162"/>
      <c r="F1102" s="162"/>
      <c r="G1102" s="163"/>
      <c r="I1102" s="191"/>
      <c r="J1102" s="190"/>
      <c r="K1102" s="190"/>
      <c r="L1102" s="190"/>
      <c r="M1102" s="190">
        <v>44094</v>
      </c>
      <c r="N1102" s="189" t="s">
        <v>864</v>
      </c>
      <c r="O1102" s="189"/>
      <c r="P1102" s="189"/>
      <c r="Q1102" s="189"/>
      <c r="R1102" s="189"/>
      <c r="S1102" s="189"/>
    </row>
    <row r="1103" spans="1:19">
      <c r="A1103" s="294"/>
      <c r="B1103" s="164"/>
      <c r="C1103" s="165"/>
      <c r="D1103" s="165"/>
      <c r="E1103" s="165"/>
      <c r="F1103" s="165"/>
      <c r="G1103" s="166"/>
      <c r="I1103" s="304"/>
      <c r="J1103" s="304"/>
      <c r="K1103" s="167"/>
      <c r="L1103" s="168"/>
      <c r="M1103" s="168"/>
      <c r="N1103" s="168"/>
      <c r="O1103" s="169"/>
      <c r="P1103" s="169"/>
      <c r="Q1103" s="169"/>
      <c r="R1103" s="161"/>
      <c r="S1103" s="161"/>
    </row>
    <row r="1104" spans="1:19">
      <c r="A1104" s="294"/>
      <c r="B1104" s="161"/>
      <c r="C1104" s="162"/>
      <c r="D1104" s="162"/>
      <c r="E1104" s="162"/>
      <c r="F1104" s="162"/>
      <c r="G1104" s="163"/>
      <c r="I1104" s="295" t="s">
        <v>782</v>
      </c>
      <c r="J1104" s="296"/>
      <c r="K1104" s="170"/>
      <c r="L1104" s="171"/>
      <c r="M1104" s="50"/>
      <c r="N1104" s="171"/>
      <c r="O1104" s="202"/>
      <c r="P1104" s="202"/>
      <c r="Q1104" s="202"/>
      <c r="R1104" s="162"/>
      <c r="S1104" s="162"/>
    </row>
    <row r="1105" spans="1:19">
      <c r="A1105" s="294"/>
      <c r="B1105" s="164"/>
      <c r="C1105" s="165"/>
      <c r="D1105" s="165"/>
      <c r="E1105" s="165"/>
      <c r="F1105" s="165"/>
      <c r="G1105" s="166"/>
      <c r="I1105" s="295" t="s">
        <v>783</v>
      </c>
      <c r="J1105" s="295"/>
      <c r="K1105" s="170"/>
      <c r="L1105" s="171"/>
      <c r="M1105" s="50"/>
      <c r="N1105" s="171"/>
      <c r="O1105" s="202"/>
      <c r="P1105" s="202"/>
      <c r="Q1105" s="202"/>
      <c r="R1105" s="162"/>
      <c r="S1105" s="162"/>
    </row>
    <row r="1106" spans="1:19">
      <c r="A1106" s="294"/>
      <c r="B1106" s="161"/>
      <c r="C1106" s="162"/>
      <c r="D1106" s="162"/>
      <c r="E1106" s="162"/>
      <c r="F1106" s="162"/>
      <c r="G1106" s="163"/>
      <c r="I1106" s="295" t="s">
        <v>784</v>
      </c>
      <c r="J1106" s="295"/>
      <c r="K1106" s="170"/>
      <c r="L1106" s="171"/>
      <c r="M1106" s="50"/>
      <c r="N1106" s="171"/>
      <c r="O1106" s="202"/>
      <c r="P1106" s="202"/>
      <c r="Q1106" s="202"/>
      <c r="R1106" s="162"/>
      <c r="S1106" s="162"/>
    </row>
    <row r="1107" spans="1:19">
      <c r="A1107" s="294"/>
      <c r="B1107" s="164"/>
      <c r="C1107" s="165"/>
      <c r="D1107" s="165"/>
      <c r="E1107" s="165"/>
      <c r="F1107" s="165"/>
      <c r="G1107" s="166"/>
      <c r="I1107" s="295" t="s">
        <v>785</v>
      </c>
      <c r="J1107" s="295"/>
      <c r="K1107" s="170"/>
      <c r="L1107" s="171"/>
      <c r="M1107" s="50"/>
      <c r="N1107" s="171"/>
      <c r="O1107" s="202"/>
      <c r="P1107" s="202"/>
      <c r="Q1107" s="202"/>
      <c r="R1107" s="162"/>
      <c r="S1107" s="162"/>
    </row>
    <row r="1108" spans="1:19">
      <c r="A1108" s="294"/>
      <c r="B1108" s="161"/>
      <c r="C1108" s="162"/>
      <c r="D1108" s="162"/>
      <c r="E1108" s="162"/>
      <c r="F1108" s="162"/>
      <c r="G1108" s="163"/>
      <c r="I1108" s="295" t="s">
        <v>786</v>
      </c>
      <c r="J1108" s="295"/>
      <c r="K1108" s="170"/>
      <c r="L1108" s="171"/>
      <c r="M1108" s="50"/>
      <c r="N1108" s="171"/>
      <c r="O1108" s="202"/>
      <c r="P1108" s="202"/>
      <c r="Q1108" s="202"/>
      <c r="R1108" s="162"/>
      <c r="S1108" s="162"/>
    </row>
    <row r="1109" spans="1:19">
      <c r="A1109" s="294"/>
      <c r="B1109" s="164"/>
      <c r="C1109" s="165"/>
      <c r="D1109" s="165"/>
      <c r="E1109" s="165"/>
      <c r="F1109" s="165"/>
      <c r="G1109" s="166"/>
      <c r="I1109" s="295" t="s">
        <v>787</v>
      </c>
      <c r="J1109" s="295"/>
      <c r="K1109" s="170"/>
      <c r="L1109" s="171"/>
      <c r="M1109" s="50"/>
      <c r="N1109" s="171"/>
      <c r="O1109" s="202"/>
      <c r="P1109" s="202"/>
      <c r="Q1109" s="202"/>
      <c r="R1109" s="162"/>
      <c r="S1109" s="162"/>
    </row>
    <row r="1110" spans="1:19">
      <c r="A1110" s="294"/>
      <c r="B1110" s="161"/>
      <c r="C1110" s="162"/>
      <c r="D1110" s="162"/>
      <c r="E1110" s="162"/>
      <c r="F1110" s="162"/>
      <c r="G1110" s="163"/>
      <c r="I1110" s="295" t="s">
        <v>788</v>
      </c>
      <c r="J1110" s="295"/>
      <c r="K1110" s="170"/>
      <c r="L1110" s="171"/>
      <c r="M1110" s="50"/>
      <c r="N1110" s="171"/>
      <c r="O1110" s="202"/>
      <c r="P1110" s="202"/>
      <c r="Q1110" s="202"/>
      <c r="R1110" s="162"/>
      <c r="S1110" s="162"/>
    </row>
    <row r="1111" spans="1:19">
      <c r="A1111" s="294"/>
      <c r="B1111" s="164"/>
      <c r="C1111" s="165"/>
      <c r="D1111" s="165"/>
      <c r="E1111" s="165"/>
      <c r="F1111" s="165"/>
      <c r="G1111" s="166"/>
      <c r="I1111" s="295" t="s">
        <v>789</v>
      </c>
      <c r="J1111" s="295"/>
      <c r="K1111" s="170"/>
      <c r="L1111" s="171"/>
      <c r="M1111" s="50"/>
      <c r="N1111" s="171"/>
      <c r="O1111" s="202"/>
      <c r="P1111" s="202"/>
      <c r="Q1111" s="202"/>
      <c r="R1111" s="162"/>
      <c r="S1111" s="162"/>
    </row>
    <row r="1112" spans="1:19">
      <c r="A1112" s="63"/>
      <c r="B1112" s="63"/>
      <c r="C1112" s="63"/>
      <c r="D1112" s="63"/>
      <c r="E1112" s="63"/>
      <c r="F1112" s="63"/>
      <c r="G1112" s="63"/>
      <c r="I1112" s="295" t="s">
        <v>790</v>
      </c>
      <c r="J1112" s="295"/>
      <c r="K1112" s="170"/>
      <c r="L1112" s="171"/>
      <c r="M1112" s="50"/>
      <c r="N1112" s="171"/>
      <c r="O1112" s="202"/>
      <c r="P1112" s="202"/>
      <c r="Q1112" s="202"/>
      <c r="R1112" s="162"/>
      <c r="S1112" s="162"/>
    </row>
    <row r="1113" spans="1:19">
      <c r="A1113" s="63"/>
      <c r="B1113" s="63"/>
      <c r="C1113" s="63"/>
      <c r="D1113" s="63"/>
      <c r="E1113" s="63"/>
      <c r="F1113" s="63"/>
      <c r="G1113" s="63"/>
      <c r="I1113" s="295" t="s">
        <v>791</v>
      </c>
      <c r="J1113" s="295"/>
      <c r="K1113" s="170"/>
      <c r="L1113" s="171"/>
      <c r="M1113" s="50"/>
      <c r="N1113" s="171"/>
      <c r="O1113" s="202"/>
      <c r="P1113" s="202"/>
      <c r="Q1113" s="202"/>
      <c r="R1113" s="162"/>
      <c r="S1113" s="162"/>
    </row>
    <row r="1114" spans="1:19">
      <c r="A1114" s="63"/>
      <c r="B1114" s="63"/>
      <c r="C1114" s="63"/>
      <c r="D1114" s="63"/>
      <c r="E1114" s="63"/>
      <c r="F1114" s="63"/>
      <c r="G1114" s="63"/>
      <c r="I1114" s="296" t="s">
        <v>792</v>
      </c>
      <c r="J1114" s="296"/>
      <c r="K1114" s="170"/>
      <c r="L1114" s="171"/>
      <c r="M1114" s="50"/>
      <c r="N1114" s="171"/>
      <c r="O1114" s="202"/>
      <c r="P1114" s="202"/>
      <c r="Q1114" s="202"/>
      <c r="R1114" s="162"/>
      <c r="S1114" s="162"/>
    </row>
    <row r="1115" spans="1:19" ht="17.25" thickBot="1">
      <c r="A1115" s="63"/>
      <c r="B1115" s="63"/>
      <c r="C1115" s="63"/>
      <c r="D1115" s="63"/>
      <c r="E1115" s="63"/>
      <c r="F1115" s="63"/>
      <c r="G1115" s="63"/>
      <c r="I1115" s="297" t="s">
        <v>793</v>
      </c>
      <c r="J1115" s="297"/>
      <c r="K1115" s="172">
        <f t="shared" ref="K1115:S1115" si="469">SUM(K1104:K1114)</f>
        <v>0</v>
      </c>
      <c r="L1115" s="205">
        <f t="shared" si="469"/>
        <v>0</v>
      </c>
      <c r="M1115" s="205">
        <f t="shared" si="469"/>
        <v>0</v>
      </c>
      <c r="N1115" s="205">
        <f t="shared" si="469"/>
        <v>0</v>
      </c>
      <c r="O1115" s="174">
        <f t="shared" si="469"/>
        <v>0</v>
      </c>
      <c r="P1115" s="174">
        <f t="shared" si="469"/>
        <v>0</v>
      </c>
      <c r="Q1115" s="174">
        <f t="shared" si="469"/>
        <v>0</v>
      </c>
      <c r="R1115" s="175">
        <f t="shared" si="469"/>
        <v>0</v>
      </c>
      <c r="S1115" s="175">
        <f t="shared" si="469"/>
        <v>0</v>
      </c>
    </row>
    <row r="1116" spans="1:19" ht="17.25" thickBot="1">
      <c r="A1116" s="63"/>
      <c r="B1116" s="63"/>
      <c r="C1116" s="63"/>
      <c r="D1116" s="63"/>
      <c r="E1116" s="63"/>
      <c r="F1116" s="63"/>
      <c r="G1116" s="63"/>
      <c r="I1116" s="298" t="s">
        <v>794</v>
      </c>
      <c r="J1116" s="299"/>
      <c r="K1116" s="176">
        <f t="shared" ref="K1116" si="470">S1095-K1115</f>
        <v>0</v>
      </c>
      <c r="L1116" s="177">
        <f t="shared" ref="L1116" si="471">K1115-L1115</f>
        <v>0</v>
      </c>
      <c r="M1116" s="177">
        <f t="shared" ref="M1116" si="472">K1115-M1115</f>
        <v>0</v>
      </c>
      <c r="N1116" s="177">
        <f t="shared" ref="N1116" si="473">K1115-N1115</f>
        <v>0</v>
      </c>
      <c r="O1116" s="178">
        <f t="shared" ref="O1116" si="474">K1115-O1115</f>
        <v>0</v>
      </c>
      <c r="P1116" s="178">
        <f t="shared" ref="P1116" si="475">K1115-P1115</f>
        <v>0</v>
      </c>
      <c r="Q1116" s="178">
        <f t="shared" ref="Q1116" si="476">K1115-Q1115</f>
        <v>0</v>
      </c>
      <c r="R1116" s="179">
        <f t="shared" ref="R1116" si="477">K1115-R1115</f>
        <v>0</v>
      </c>
      <c r="S1116" s="180">
        <f t="shared" ref="S1116" si="478">L1115-S1115</f>
        <v>0</v>
      </c>
    </row>
    <row r="1117" spans="1:19">
      <c r="A1117" s="63"/>
      <c r="B1117" s="63"/>
      <c r="C1117" s="63"/>
      <c r="D1117" s="63"/>
      <c r="E1117" s="63"/>
      <c r="F1117" s="63"/>
      <c r="G1117" s="63"/>
      <c r="I1117" s="300" t="s">
        <v>795</v>
      </c>
      <c r="J1117" s="301"/>
      <c r="K1117" s="181"/>
      <c r="L1117" s="182"/>
      <c r="M1117" s="182"/>
      <c r="N1117" s="182"/>
      <c r="O1117" s="183"/>
      <c r="P1117" s="182"/>
      <c r="Q1117" s="182"/>
      <c r="R1117" s="182"/>
      <c r="S1117" s="182"/>
    </row>
    <row r="1118" spans="1:19">
      <c r="A1118" s="63"/>
      <c r="B1118" s="63"/>
      <c r="C1118" s="63"/>
      <c r="D1118" s="63"/>
      <c r="E1118" s="63"/>
      <c r="F1118" s="63"/>
      <c r="G1118" s="63"/>
      <c r="I1118" s="302" t="s">
        <v>796</v>
      </c>
      <c r="J1118" s="302"/>
      <c r="K1118" s="184"/>
      <c r="L1118" s="203"/>
      <c r="M1118" s="203"/>
      <c r="N1118" s="203"/>
      <c r="O1118" s="203"/>
      <c r="P1118" s="203"/>
      <c r="Q1118" s="203"/>
      <c r="R1118" s="203"/>
      <c r="S1118" s="203"/>
    </row>
    <row r="1119" spans="1:19">
      <c r="A1119" s="63"/>
      <c r="B1119" s="63"/>
      <c r="C1119" s="63"/>
      <c r="D1119" s="63"/>
      <c r="E1119" s="63"/>
      <c r="F1119" s="63"/>
      <c r="G1119" s="63"/>
      <c r="I1119" s="302" t="s">
        <v>797</v>
      </c>
      <c r="J1119" s="302"/>
      <c r="K1119" s="184"/>
      <c r="L1119" s="203"/>
      <c r="M1119" s="203"/>
      <c r="N1119" s="203"/>
      <c r="O1119" s="203"/>
      <c r="P1119" s="203"/>
      <c r="Q1119" s="203"/>
      <c r="R1119" s="203"/>
      <c r="S1119" s="203"/>
    </row>
    <row r="1120" spans="1:19">
      <c r="A1120" s="63"/>
      <c r="B1120" s="63"/>
      <c r="C1120" s="63"/>
      <c r="D1120" s="63"/>
      <c r="E1120" s="63"/>
      <c r="F1120" s="63"/>
      <c r="G1120" s="63"/>
      <c r="I1120" s="303" t="s">
        <v>798</v>
      </c>
      <c r="J1120" s="303"/>
      <c r="K1120" s="184"/>
      <c r="L1120" s="185"/>
      <c r="M1120" s="185"/>
      <c r="N1120" s="185"/>
      <c r="O1120" s="185"/>
      <c r="P1120" s="204"/>
      <c r="Q1120" s="204"/>
      <c r="R1120" s="204"/>
      <c r="S1120" s="204"/>
    </row>
    <row r="1121" spans="1:19">
      <c r="A1121" s="3" t="s">
        <v>801</v>
      </c>
      <c r="B1121" s="201" t="s">
        <v>802</v>
      </c>
      <c r="C1121" s="201" t="s">
        <v>803</v>
      </c>
      <c r="D1121" s="201" t="s">
        <v>119</v>
      </c>
      <c r="E1121" s="201" t="s">
        <v>148</v>
      </c>
      <c r="F1121" s="201" t="s">
        <v>806</v>
      </c>
      <c r="G1121" s="201" t="s">
        <v>81</v>
      </c>
      <c r="I1121" s="187"/>
      <c r="J1121" s="187"/>
      <c r="K1121" s="187"/>
      <c r="L1121" s="188"/>
      <c r="M1121" s="188"/>
      <c r="N1121" s="188"/>
      <c r="O1121" s="188"/>
      <c r="P1121" s="187"/>
      <c r="Q1121" s="187"/>
      <c r="R1121" s="187"/>
      <c r="S1121" s="187"/>
    </row>
    <row r="1122" spans="1:19">
      <c r="A1122" s="293">
        <v>44095</v>
      </c>
      <c r="B1122" s="161"/>
      <c r="C1122" s="162"/>
      <c r="D1122" s="162"/>
      <c r="E1122" s="162"/>
      <c r="F1122" s="162"/>
      <c r="G1122" s="163"/>
      <c r="I1122" s="191"/>
      <c r="J1122" s="190"/>
      <c r="K1122" s="190"/>
      <c r="L1122" s="190"/>
      <c r="M1122" s="190">
        <v>44095</v>
      </c>
      <c r="N1122" s="189" t="s">
        <v>864</v>
      </c>
      <c r="O1122" s="189"/>
      <c r="P1122" s="189"/>
      <c r="Q1122" s="189"/>
      <c r="R1122" s="189"/>
      <c r="S1122" s="189"/>
    </row>
    <row r="1123" spans="1:19">
      <c r="A1123" s="294"/>
      <c r="B1123" s="164"/>
      <c r="C1123" s="165"/>
      <c r="D1123" s="165"/>
      <c r="E1123" s="165"/>
      <c r="F1123" s="165"/>
      <c r="G1123" s="166"/>
      <c r="I1123" s="304"/>
      <c r="J1123" s="304"/>
      <c r="K1123" s="167"/>
      <c r="L1123" s="168"/>
      <c r="M1123" s="168"/>
      <c r="N1123" s="168"/>
      <c r="O1123" s="169"/>
      <c r="P1123" s="169"/>
      <c r="Q1123" s="169"/>
      <c r="R1123" s="161"/>
      <c r="S1123" s="161"/>
    </row>
    <row r="1124" spans="1:19">
      <c r="A1124" s="294"/>
      <c r="B1124" s="161"/>
      <c r="C1124" s="162"/>
      <c r="D1124" s="162"/>
      <c r="E1124" s="162"/>
      <c r="F1124" s="162"/>
      <c r="G1124" s="163"/>
      <c r="I1124" s="295" t="s">
        <v>782</v>
      </c>
      <c r="J1124" s="296"/>
      <c r="K1124" s="170"/>
      <c r="L1124" s="171"/>
      <c r="M1124" s="50"/>
      <c r="N1124" s="171"/>
      <c r="O1124" s="202"/>
      <c r="P1124" s="202"/>
      <c r="Q1124" s="202"/>
      <c r="R1124" s="162"/>
      <c r="S1124" s="162"/>
    </row>
    <row r="1125" spans="1:19">
      <c r="A1125" s="294"/>
      <c r="B1125" s="164"/>
      <c r="C1125" s="165"/>
      <c r="D1125" s="165"/>
      <c r="E1125" s="165"/>
      <c r="F1125" s="165"/>
      <c r="G1125" s="166"/>
      <c r="I1125" s="295" t="s">
        <v>783</v>
      </c>
      <c r="J1125" s="295"/>
      <c r="K1125" s="170"/>
      <c r="L1125" s="171"/>
      <c r="M1125" s="50"/>
      <c r="N1125" s="171"/>
      <c r="O1125" s="202"/>
      <c r="P1125" s="202"/>
      <c r="Q1125" s="202"/>
      <c r="R1125" s="162"/>
      <c r="S1125" s="162"/>
    </row>
    <row r="1126" spans="1:19">
      <c r="A1126" s="294"/>
      <c r="B1126" s="161"/>
      <c r="C1126" s="162"/>
      <c r="D1126" s="162"/>
      <c r="E1126" s="162"/>
      <c r="F1126" s="162"/>
      <c r="G1126" s="163"/>
      <c r="I1126" s="295" t="s">
        <v>784</v>
      </c>
      <c r="J1126" s="295"/>
      <c r="K1126" s="170"/>
      <c r="L1126" s="171"/>
      <c r="M1126" s="50"/>
      <c r="N1126" s="171"/>
      <c r="O1126" s="202"/>
      <c r="P1126" s="202"/>
      <c r="Q1126" s="202"/>
      <c r="R1126" s="162"/>
      <c r="S1126" s="162"/>
    </row>
    <row r="1127" spans="1:19">
      <c r="A1127" s="294"/>
      <c r="B1127" s="164"/>
      <c r="C1127" s="165"/>
      <c r="D1127" s="165"/>
      <c r="E1127" s="165"/>
      <c r="F1127" s="165"/>
      <c r="G1127" s="166"/>
      <c r="I1127" s="295" t="s">
        <v>785</v>
      </c>
      <c r="J1127" s="295"/>
      <c r="K1127" s="170"/>
      <c r="L1127" s="171"/>
      <c r="M1127" s="50"/>
      <c r="N1127" s="171"/>
      <c r="O1127" s="202"/>
      <c r="P1127" s="202"/>
      <c r="Q1127" s="202"/>
      <c r="R1127" s="162"/>
      <c r="S1127" s="162"/>
    </row>
    <row r="1128" spans="1:19">
      <c r="A1128" s="294"/>
      <c r="B1128" s="161"/>
      <c r="C1128" s="162"/>
      <c r="D1128" s="162"/>
      <c r="E1128" s="162"/>
      <c r="F1128" s="162"/>
      <c r="G1128" s="163"/>
      <c r="I1128" s="295" t="s">
        <v>786</v>
      </c>
      <c r="J1128" s="295"/>
      <c r="K1128" s="170"/>
      <c r="L1128" s="171"/>
      <c r="M1128" s="50"/>
      <c r="N1128" s="171"/>
      <c r="O1128" s="202"/>
      <c r="P1128" s="202"/>
      <c r="Q1128" s="202"/>
      <c r="R1128" s="162"/>
      <c r="S1128" s="162"/>
    </row>
    <row r="1129" spans="1:19">
      <c r="A1129" s="294"/>
      <c r="B1129" s="164"/>
      <c r="C1129" s="165"/>
      <c r="D1129" s="165"/>
      <c r="E1129" s="165"/>
      <c r="F1129" s="165"/>
      <c r="G1129" s="166"/>
      <c r="I1129" s="295" t="s">
        <v>787</v>
      </c>
      <c r="J1129" s="295"/>
      <c r="K1129" s="170"/>
      <c r="L1129" s="171"/>
      <c r="M1129" s="50"/>
      <c r="N1129" s="171"/>
      <c r="O1129" s="202"/>
      <c r="P1129" s="202"/>
      <c r="Q1129" s="202"/>
      <c r="R1129" s="162"/>
      <c r="S1129" s="162"/>
    </row>
    <row r="1130" spans="1:19">
      <c r="A1130" s="294"/>
      <c r="B1130" s="161"/>
      <c r="C1130" s="162"/>
      <c r="D1130" s="162"/>
      <c r="E1130" s="162"/>
      <c r="F1130" s="162"/>
      <c r="G1130" s="163"/>
      <c r="I1130" s="295" t="s">
        <v>788</v>
      </c>
      <c r="J1130" s="295"/>
      <c r="K1130" s="170"/>
      <c r="L1130" s="171"/>
      <c r="M1130" s="50"/>
      <c r="N1130" s="171"/>
      <c r="O1130" s="202"/>
      <c r="P1130" s="202"/>
      <c r="Q1130" s="202"/>
      <c r="R1130" s="162"/>
      <c r="S1130" s="162"/>
    </row>
    <row r="1131" spans="1:19">
      <c r="A1131" s="294"/>
      <c r="B1131" s="164"/>
      <c r="C1131" s="165"/>
      <c r="D1131" s="165"/>
      <c r="E1131" s="165"/>
      <c r="F1131" s="165"/>
      <c r="G1131" s="166"/>
      <c r="I1131" s="295" t="s">
        <v>789</v>
      </c>
      <c r="J1131" s="295"/>
      <c r="K1131" s="170"/>
      <c r="L1131" s="171"/>
      <c r="M1131" s="50"/>
      <c r="N1131" s="171"/>
      <c r="O1131" s="202"/>
      <c r="P1131" s="202"/>
      <c r="Q1131" s="202"/>
      <c r="R1131" s="162"/>
      <c r="S1131" s="162"/>
    </row>
    <row r="1132" spans="1:19">
      <c r="A1132" s="63"/>
      <c r="B1132" s="63"/>
      <c r="C1132" s="63"/>
      <c r="D1132" s="63"/>
      <c r="E1132" s="63"/>
      <c r="F1132" s="63"/>
      <c r="G1132" s="63"/>
      <c r="I1132" s="295" t="s">
        <v>790</v>
      </c>
      <c r="J1132" s="295"/>
      <c r="K1132" s="170"/>
      <c r="L1132" s="171"/>
      <c r="M1132" s="50"/>
      <c r="N1132" s="171"/>
      <c r="O1132" s="202"/>
      <c r="P1132" s="202"/>
      <c r="Q1132" s="202"/>
      <c r="R1132" s="162"/>
      <c r="S1132" s="162"/>
    </row>
    <row r="1133" spans="1:19">
      <c r="A1133" s="63"/>
      <c r="B1133" s="63"/>
      <c r="C1133" s="63"/>
      <c r="D1133" s="63"/>
      <c r="E1133" s="63"/>
      <c r="F1133" s="63"/>
      <c r="G1133" s="63"/>
      <c r="I1133" s="295" t="s">
        <v>791</v>
      </c>
      <c r="J1133" s="295"/>
      <c r="K1133" s="170"/>
      <c r="L1133" s="171"/>
      <c r="M1133" s="50"/>
      <c r="N1133" s="171"/>
      <c r="O1133" s="202"/>
      <c r="P1133" s="202"/>
      <c r="Q1133" s="202"/>
      <c r="R1133" s="162"/>
      <c r="S1133" s="162"/>
    </row>
    <row r="1134" spans="1:19">
      <c r="A1134" s="63"/>
      <c r="B1134" s="63"/>
      <c r="C1134" s="63"/>
      <c r="D1134" s="63"/>
      <c r="E1134" s="63"/>
      <c r="F1134" s="63"/>
      <c r="G1134" s="63"/>
      <c r="I1134" s="296" t="s">
        <v>792</v>
      </c>
      <c r="J1134" s="296"/>
      <c r="K1134" s="170"/>
      <c r="L1134" s="171"/>
      <c r="M1134" s="50"/>
      <c r="N1134" s="171"/>
      <c r="O1134" s="202"/>
      <c r="P1134" s="202"/>
      <c r="Q1134" s="202"/>
      <c r="R1134" s="162"/>
      <c r="S1134" s="162"/>
    </row>
    <row r="1135" spans="1:19" ht="17.25" thickBot="1">
      <c r="A1135" s="63"/>
      <c r="B1135" s="63"/>
      <c r="C1135" s="63"/>
      <c r="D1135" s="63"/>
      <c r="E1135" s="63"/>
      <c r="F1135" s="63"/>
      <c r="G1135" s="63"/>
      <c r="I1135" s="297" t="s">
        <v>793</v>
      </c>
      <c r="J1135" s="297"/>
      <c r="K1135" s="172">
        <f t="shared" ref="K1135:S1135" si="479">SUM(K1124:K1134)</f>
        <v>0</v>
      </c>
      <c r="L1135" s="205">
        <f t="shared" si="479"/>
        <v>0</v>
      </c>
      <c r="M1135" s="205">
        <f t="shared" si="479"/>
        <v>0</v>
      </c>
      <c r="N1135" s="205">
        <f t="shared" si="479"/>
        <v>0</v>
      </c>
      <c r="O1135" s="174">
        <f t="shared" si="479"/>
        <v>0</v>
      </c>
      <c r="P1135" s="174">
        <f t="shared" si="479"/>
        <v>0</v>
      </c>
      <c r="Q1135" s="174">
        <f t="shared" si="479"/>
        <v>0</v>
      </c>
      <c r="R1135" s="175">
        <f t="shared" si="479"/>
        <v>0</v>
      </c>
      <c r="S1135" s="175">
        <f t="shared" si="479"/>
        <v>0</v>
      </c>
    </row>
    <row r="1136" spans="1:19" ht="17.25" thickBot="1">
      <c r="A1136" s="63"/>
      <c r="B1136" s="63"/>
      <c r="C1136" s="63"/>
      <c r="D1136" s="63"/>
      <c r="E1136" s="63"/>
      <c r="F1136" s="63"/>
      <c r="G1136" s="63"/>
      <c r="I1136" s="298" t="s">
        <v>794</v>
      </c>
      <c r="J1136" s="299"/>
      <c r="K1136" s="176">
        <f t="shared" ref="K1136" si="480">S1115-K1135</f>
        <v>0</v>
      </c>
      <c r="L1136" s="177">
        <f t="shared" ref="L1136" si="481">K1135-L1135</f>
        <v>0</v>
      </c>
      <c r="M1136" s="177">
        <f t="shared" ref="M1136" si="482">K1135-M1135</f>
        <v>0</v>
      </c>
      <c r="N1136" s="177">
        <f t="shared" ref="N1136" si="483">K1135-N1135</f>
        <v>0</v>
      </c>
      <c r="O1136" s="178">
        <f t="shared" ref="O1136" si="484">K1135-O1135</f>
        <v>0</v>
      </c>
      <c r="P1136" s="178">
        <f t="shared" ref="P1136" si="485">K1135-P1135</f>
        <v>0</v>
      </c>
      <c r="Q1136" s="178">
        <f t="shared" ref="Q1136" si="486">K1135-Q1135</f>
        <v>0</v>
      </c>
      <c r="R1136" s="179">
        <f t="shared" ref="R1136" si="487">K1135-R1135</f>
        <v>0</v>
      </c>
      <c r="S1136" s="180">
        <f t="shared" ref="S1136" si="488">L1135-S1135</f>
        <v>0</v>
      </c>
    </row>
    <row r="1137" spans="1:19">
      <c r="A1137" s="63"/>
      <c r="B1137" s="63"/>
      <c r="C1137" s="63"/>
      <c r="D1137" s="63"/>
      <c r="E1137" s="63"/>
      <c r="F1137" s="63"/>
      <c r="G1137" s="63"/>
      <c r="I1137" s="300" t="s">
        <v>795</v>
      </c>
      <c r="J1137" s="301"/>
      <c r="K1137" s="181"/>
      <c r="L1137" s="182"/>
      <c r="M1137" s="182"/>
      <c r="N1137" s="182"/>
      <c r="O1137" s="183"/>
      <c r="P1137" s="182"/>
      <c r="Q1137" s="182"/>
      <c r="R1137" s="182"/>
      <c r="S1137" s="182"/>
    </row>
    <row r="1138" spans="1:19">
      <c r="A1138" s="63"/>
      <c r="B1138" s="63"/>
      <c r="C1138" s="63"/>
      <c r="D1138" s="63"/>
      <c r="E1138" s="63"/>
      <c r="F1138" s="63"/>
      <c r="G1138" s="63"/>
      <c r="I1138" s="302" t="s">
        <v>796</v>
      </c>
      <c r="J1138" s="302"/>
      <c r="K1138" s="184"/>
      <c r="L1138" s="203"/>
      <c r="M1138" s="203"/>
      <c r="N1138" s="203"/>
      <c r="O1138" s="203"/>
      <c r="P1138" s="203"/>
      <c r="Q1138" s="203"/>
      <c r="R1138" s="203"/>
      <c r="S1138" s="203"/>
    </row>
    <row r="1139" spans="1:19">
      <c r="A1139" s="63"/>
      <c r="B1139" s="63"/>
      <c r="C1139" s="63"/>
      <c r="D1139" s="63"/>
      <c r="E1139" s="63"/>
      <c r="F1139" s="63"/>
      <c r="G1139" s="63"/>
      <c r="I1139" s="302" t="s">
        <v>797</v>
      </c>
      <c r="J1139" s="302"/>
      <c r="K1139" s="184"/>
      <c r="L1139" s="203"/>
      <c r="M1139" s="203"/>
      <c r="N1139" s="203"/>
      <c r="O1139" s="203"/>
      <c r="P1139" s="203"/>
      <c r="Q1139" s="203"/>
      <c r="R1139" s="203"/>
      <c r="S1139" s="203"/>
    </row>
    <row r="1140" spans="1:19">
      <c r="A1140" s="63"/>
      <c r="B1140" s="63"/>
      <c r="C1140" s="63"/>
      <c r="D1140" s="63"/>
      <c r="E1140" s="63"/>
      <c r="F1140" s="63"/>
      <c r="G1140" s="63"/>
      <c r="I1140" s="303" t="s">
        <v>798</v>
      </c>
      <c r="J1140" s="303"/>
      <c r="K1140" s="184"/>
      <c r="L1140" s="185"/>
      <c r="M1140" s="185"/>
      <c r="N1140" s="185"/>
      <c r="O1140" s="185"/>
      <c r="P1140" s="204"/>
      <c r="Q1140" s="204"/>
      <c r="R1140" s="204"/>
      <c r="S1140" s="204"/>
    </row>
    <row r="1141" spans="1:19">
      <c r="A1141" s="3" t="s">
        <v>801</v>
      </c>
      <c r="B1141" s="201" t="s">
        <v>802</v>
      </c>
      <c r="C1141" s="201" t="s">
        <v>803</v>
      </c>
      <c r="D1141" s="201" t="s">
        <v>119</v>
      </c>
      <c r="E1141" s="201" t="s">
        <v>148</v>
      </c>
      <c r="F1141" s="201" t="s">
        <v>806</v>
      </c>
      <c r="G1141" s="201" t="s">
        <v>81</v>
      </c>
      <c r="I1141" s="187"/>
      <c r="J1141" s="187"/>
      <c r="K1141" s="187"/>
      <c r="L1141" s="188"/>
      <c r="M1141" s="188"/>
      <c r="N1141" s="188"/>
      <c r="O1141" s="188"/>
      <c r="P1141" s="187"/>
      <c r="Q1141" s="187"/>
      <c r="R1141" s="187"/>
      <c r="S1141" s="187"/>
    </row>
    <row r="1142" spans="1:19">
      <c r="A1142" s="293">
        <v>44096</v>
      </c>
      <c r="B1142" s="161"/>
      <c r="C1142" s="162"/>
      <c r="D1142" s="162"/>
      <c r="E1142" s="162"/>
      <c r="F1142" s="162"/>
      <c r="G1142" s="163"/>
      <c r="I1142" s="191"/>
      <c r="J1142" s="190"/>
      <c r="K1142" s="190"/>
      <c r="L1142" s="190"/>
      <c r="M1142" s="190">
        <v>44096</v>
      </c>
      <c r="N1142" s="189" t="s">
        <v>864</v>
      </c>
      <c r="O1142" s="189"/>
      <c r="P1142" s="189"/>
      <c r="Q1142" s="189"/>
      <c r="R1142" s="189"/>
      <c r="S1142" s="189"/>
    </row>
    <row r="1143" spans="1:19">
      <c r="A1143" s="294"/>
      <c r="B1143" s="164"/>
      <c r="C1143" s="165"/>
      <c r="D1143" s="165"/>
      <c r="E1143" s="165"/>
      <c r="F1143" s="165"/>
      <c r="G1143" s="166"/>
      <c r="I1143" s="304"/>
      <c r="J1143" s="304"/>
      <c r="K1143" s="167"/>
      <c r="L1143" s="168"/>
      <c r="M1143" s="168"/>
      <c r="N1143" s="168"/>
      <c r="O1143" s="169"/>
      <c r="P1143" s="169"/>
      <c r="Q1143" s="169"/>
      <c r="R1143" s="161"/>
      <c r="S1143" s="161"/>
    </row>
    <row r="1144" spans="1:19">
      <c r="A1144" s="294"/>
      <c r="B1144" s="161"/>
      <c r="C1144" s="162"/>
      <c r="D1144" s="162"/>
      <c r="E1144" s="162"/>
      <c r="F1144" s="162"/>
      <c r="G1144" s="163"/>
      <c r="I1144" s="295" t="s">
        <v>782</v>
      </c>
      <c r="J1144" s="296"/>
      <c r="K1144" s="170"/>
      <c r="L1144" s="171"/>
      <c r="M1144" s="50"/>
      <c r="N1144" s="171"/>
      <c r="O1144" s="202"/>
      <c r="P1144" s="202"/>
      <c r="Q1144" s="202"/>
      <c r="R1144" s="162"/>
      <c r="S1144" s="162"/>
    </row>
    <row r="1145" spans="1:19">
      <c r="A1145" s="294"/>
      <c r="B1145" s="164"/>
      <c r="C1145" s="165"/>
      <c r="D1145" s="165"/>
      <c r="E1145" s="165"/>
      <c r="F1145" s="165"/>
      <c r="G1145" s="166"/>
      <c r="I1145" s="295" t="s">
        <v>783</v>
      </c>
      <c r="J1145" s="295"/>
      <c r="K1145" s="170"/>
      <c r="L1145" s="171"/>
      <c r="M1145" s="50"/>
      <c r="N1145" s="171"/>
      <c r="O1145" s="202"/>
      <c r="P1145" s="202"/>
      <c r="Q1145" s="202"/>
      <c r="R1145" s="162"/>
      <c r="S1145" s="162"/>
    </row>
    <row r="1146" spans="1:19">
      <c r="A1146" s="294"/>
      <c r="B1146" s="161"/>
      <c r="C1146" s="162"/>
      <c r="D1146" s="162"/>
      <c r="E1146" s="162"/>
      <c r="F1146" s="162"/>
      <c r="G1146" s="163"/>
      <c r="I1146" s="295" t="s">
        <v>784</v>
      </c>
      <c r="J1146" s="295"/>
      <c r="K1146" s="170"/>
      <c r="L1146" s="171"/>
      <c r="M1146" s="50"/>
      <c r="N1146" s="171"/>
      <c r="O1146" s="202"/>
      <c r="P1146" s="202"/>
      <c r="Q1146" s="202"/>
      <c r="R1146" s="162"/>
      <c r="S1146" s="162"/>
    </row>
    <row r="1147" spans="1:19">
      <c r="A1147" s="294"/>
      <c r="B1147" s="164"/>
      <c r="C1147" s="165"/>
      <c r="D1147" s="165"/>
      <c r="E1147" s="165"/>
      <c r="F1147" s="165"/>
      <c r="G1147" s="166"/>
      <c r="I1147" s="295" t="s">
        <v>785</v>
      </c>
      <c r="J1147" s="295"/>
      <c r="K1147" s="170"/>
      <c r="L1147" s="171"/>
      <c r="M1147" s="50"/>
      <c r="N1147" s="171"/>
      <c r="O1147" s="202"/>
      <c r="P1147" s="202"/>
      <c r="Q1147" s="202"/>
      <c r="R1147" s="162"/>
      <c r="S1147" s="162"/>
    </row>
    <row r="1148" spans="1:19">
      <c r="A1148" s="294"/>
      <c r="B1148" s="161"/>
      <c r="C1148" s="162"/>
      <c r="D1148" s="162"/>
      <c r="E1148" s="162"/>
      <c r="F1148" s="162"/>
      <c r="G1148" s="163"/>
      <c r="I1148" s="295" t="s">
        <v>786</v>
      </c>
      <c r="J1148" s="295"/>
      <c r="K1148" s="170"/>
      <c r="L1148" s="171"/>
      <c r="M1148" s="50"/>
      <c r="N1148" s="171"/>
      <c r="O1148" s="202"/>
      <c r="P1148" s="202"/>
      <c r="Q1148" s="202"/>
      <c r="R1148" s="162"/>
      <c r="S1148" s="162"/>
    </row>
    <row r="1149" spans="1:19">
      <c r="A1149" s="294"/>
      <c r="B1149" s="164"/>
      <c r="C1149" s="165"/>
      <c r="D1149" s="165"/>
      <c r="E1149" s="165"/>
      <c r="F1149" s="165"/>
      <c r="G1149" s="166"/>
      <c r="I1149" s="295" t="s">
        <v>787</v>
      </c>
      <c r="J1149" s="295"/>
      <c r="K1149" s="170"/>
      <c r="L1149" s="171"/>
      <c r="M1149" s="50"/>
      <c r="N1149" s="171"/>
      <c r="O1149" s="202"/>
      <c r="P1149" s="202"/>
      <c r="Q1149" s="202"/>
      <c r="R1149" s="162"/>
      <c r="S1149" s="162"/>
    </row>
    <row r="1150" spans="1:19">
      <c r="A1150" s="294"/>
      <c r="B1150" s="161"/>
      <c r="C1150" s="162"/>
      <c r="D1150" s="162"/>
      <c r="E1150" s="162"/>
      <c r="F1150" s="162"/>
      <c r="G1150" s="163"/>
      <c r="I1150" s="295" t="s">
        <v>788</v>
      </c>
      <c r="J1150" s="295"/>
      <c r="K1150" s="170"/>
      <c r="L1150" s="171"/>
      <c r="M1150" s="50"/>
      <c r="N1150" s="171"/>
      <c r="O1150" s="202"/>
      <c r="P1150" s="202"/>
      <c r="Q1150" s="202"/>
      <c r="R1150" s="162"/>
      <c r="S1150" s="162"/>
    </row>
    <row r="1151" spans="1:19">
      <c r="A1151" s="294"/>
      <c r="B1151" s="164"/>
      <c r="C1151" s="165"/>
      <c r="D1151" s="165"/>
      <c r="E1151" s="165"/>
      <c r="F1151" s="165"/>
      <c r="G1151" s="166"/>
      <c r="I1151" s="295" t="s">
        <v>789</v>
      </c>
      <c r="J1151" s="295"/>
      <c r="K1151" s="170"/>
      <c r="L1151" s="171"/>
      <c r="M1151" s="50"/>
      <c r="N1151" s="171"/>
      <c r="O1151" s="202"/>
      <c r="P1151" s="202"/>
      <c r="Q1151" s="202"/>
      <c r="R1151" s="162"/>
      <c r="S1151" s="162"/>
    </row>
    <row r="1152" spans="1:19">
      <c r="A1152" s="63"/>
      <c r="B1152" s="63"/>
      <c r="C1152" s="63"/>
      <c r="D1152" s="63"/>
      <c r="E1152" s="63"/>
      <c r="F1152" s="63"/>
      <c r="G1152" s="63"/>
      <c r="I1152" s="295" t="s">
        <v>790</v>
      </c>
      <c r="J1152" s="295"/>
      <c r="K1152" s="170"/>
      <c r="L1152" s="171"/>
      <c r="M1152" s="50"/>
      <c r="N1152" s="171"/>
      <c r="O1152" s="202"/>
      <c r="P1152" s="202"/>
      <c r="Q1152" s="202"/>
      <c r="R1152" s="162"/>
      <c r="S1152" s="162"/>
    </row>
    <row r="1153" spans="1:19">
      <c r="A1153" s="63"/>
      <c r="B1153" s="63"/>
      <c r="C1153" s="63"/>
      <c r="D1153" s="63"/>
      <c r="E1153" s="63"/>
      <c r="F1153" s="63"/>
      <c r="G1153" s="63"/>
      <c r="I1153" s="295" t="s">
        <v>791</v>
      </c>
      <c r="J1153" s="295"/>
      <c r="K1153" s="170"/>
      <c r="L1153" s="171"/>
      <c r="M1153" s="50"/>
      <c r="N1153" s="171"/>
      <c r="O1153" s="202"/>
      <c r="P1153" s="202"/>
      <c r="Q1153" s="202"/>
      <c r="R1153" s="162"/>
      <c r="S1153" s="162"/>
    </row>
    <row r="1154" spans="1:19">
      <c r="A1154" s="63"/>
      <c r="B1154" s="63"/>
      <c r="C1154" s="63"/>
      <c r="D1154" s="63"/>
      <c r="E1154" s="63"/>
      <c r="F1154" s="63"/>
      <c r="G1154" s="63"/>
      <c r="I1154" s="296" t="s">
        <v>792</v>
      </c>
      <c r="J1154" s="296"/>
      <c r="K1154" s="170"/>
      <c r="L1154" s="171"/>
      <c r="M1154" s="50"/>
      <c r="N1154" s="171"/>
      <c r="O1154" s="202"/>
      <c r="P1154" s="202"/>
      <c r="Q1154" s="202"/>
      <c r="R1154" s="162"/>
      <c r="S1154" s="162"/>
    </row>
    <row r="1155" spans="1:19" ht="17.25" thickBot="1">
      <c r="A1155" s="63"/>
      <c r="B1155" s="63"/>
      <c r="C1155" s="63"/>
      <c r="D1155" s="63"/>
      <c r="E1155" s="63"/>
      <c r="F1155" s="63"/>
      <c r="G1155" s="63"/>
      <c r="I1155" s="297" t="s">
        <v>793</v>
      </c>
      <c r="J1155" s="297"/>
      <c r="K1155" s="172">
        <f t="shared" ref="K1155:S1155" si="489">SUM(K1144:K1154)</f>
        <v>0</v>
      </c>
      <c r="L1155" s="205">
        <f t="shared" si="489"/>
        <v>0</v>
      </c>
      <c r="M1155" s="205">
        <f t="shared" si="489"/>
        <v>0</v>
      </c>
      <c r="N1155" s="205">
        <f t="shared" si="489"/>
        <v>0</v>
      </c>
      <c r="O1155" s="174">
        <f t="shared" si="489"/>
        <v>0</v>
      </c>
      <c r="P1155" s="174">
        <f t="shared" si="489"/>
        <v>0</v>
      </c>
      <c r="Q1155" s="174">
        <f t="shared" si="489"/>
        <v>0</v>
      </c>
      <c r="R1155" s="175">
        <f t="shared" si="489"/>
        <v>0</v>
      </c>
      <c r="S1155" s="175">
        <f t="shared" si="489"/>
        <v>0</v>
      </c>
    </row>
    <row r="1156" spans="1:19" ht="17.25" thickBot="1">
      <c r="A1156" s="63"/>
      <c r="B1156" s="63"/>
      <c r="C1156" s="63"/>
      <c r="D1156" s="63"/>
      <c r="E1156" s="63"/>
      <c r="F1156" s="63"/>
      <c r="G1156" s="63"/>
      <c r="I1156" s="298" t="s">
        <v>794</v>
      </c>
      <c r="J1156" s="299"/>
      <c r="K1156" s="176">
        <f t="shared" ref="K1156" si="490">S1135-K1155</f>
        <v>0</v>
      </c>
      <c r="L1156" s="177">
        <f t="shared" ref="L1156" si="491">K1155-L1155</f>
        <v>0</v>
      </c>
      <c r="M1156" s="177">
        <f t="shared" ref="M1156" si="492">K1155-M1155</f>
        <v>0</v>
      </c>
      <c r="N1156" s="177">
        <f t="shared" ref="N1156" si="493">K1155-N1155</f>
        <v>0</v>
      </c>
      <c r="O1156" s="178">
        <f t="shared" ref="O1156" si="494">K1155-O1155</f>
        <v>0</v>
      </c>
      <c r="P1156" s="178">
        <f t="shared" ref="P1156" si="495">K1155-P1155</f>
        <v>0</v>
      </c>
      <c r="Q1156" s="178">
        <f t="shared" ref="Q1156" si="496">K1155-Q1155</f>
        <v>0</v>
      </c>
      <c r="R1156" s="179">
        <f t="shared" ref="R1156" si="497">K1155-R1155</f>
        <v>0</v>
      </c>
      <c r="S1156" s="180">
        <f t="shared" ref="S1156" si="498">L1155-S1155</f>
        <v>0</v>
      </c>
    </row>
    <row r="1157" spans="1:19">
      <c r="A1157" s="63"/>
      <c r="B1157" s="63"/>
      <c r="C1157" s="63"/>
      <c r="D1157" s="63"/>
      <c r="E1157" s="63"/>
      <c r="F1157" s="63"/>
      <c r="G1157" s="63"/>
      <c r="I1157" s="300" t="s">
        <v>795</v>
      </c>
      <c r="J1157" s="301"/>
      <c r="K1157" s="181"/>
      <c r="L1157" s="182"/>
      <c r="M1157" s="182"/>
      <c r="N1157" s="182"/>
      <c r="O1157" s="183"/>
      <c r="P1157" s="182"/>
      <c r="Q1157" s="182"/>
      <c r="R1157" s="182"/>
      <c r="S1157" s="182"/>
    </row>
    <row r="1158" spans="1:19">
      <c r="A1158" s="63"/>
      <c r="B1158" s="63"/>
      <c r="C1158" s="63"/>
      <c r="D1158" s="63"/>
      <c r="E1158" s="63"/>
      <c r="F1158" s="63"/>
      <c r="G1158" s="63"/>
      <c r="I1158" s="302" t="s">
        <v>796</v>
      </c>
      <c r="J1158" s="302"/>
      <c r="K1158" s="184"/>
      <c r="L1158" s="203"/>
      <c r="M1158" s="203"/>
      <c r="N1158" s="203"/>
      <c r="O1158" s="203"/>
      <c r="P1158" s="203"/>
      <c r="Q1158" s="203"/>
      <c r="R1158" s="203"/>
      <c r="S1158" s="203"/>
    </row>
    <row r="1159" spans="1:19">
      <c r="A1159" s="63"/>
      <c r="B1159" s="63"/>
      <c r="C1159" s="63"/>
      <c r="D1159" s="63"/>
      <c r="E1159" s="63"/>
      <c r="F1159" s="63"/>
      <c r="G1159" s="63"/>
      <c r="I1159" s="302" t="s">
        <v>797</v>
      </c>
      <c r="J1159" s="302"/>
      <c r="K1159" s="184"/>
      <c r="L1159" s="203"/>
      <c r="M1159" s="203"/>
      <c r="N1159" s="203"/>
      <c r="O1159" s="203"/>
      <c r="P1159" s="203"/>
      <c r="Q1159" s="203"/>
      <c r="R1159" s="203"/>
      <c r="S1159" s="203"/>
    </row>
    <row r="1160" spans="1:19">
      <c r="A1160" s="63"/>
      <c r="B1160" s="63"/>
      <c r="C1160" s="63"/>
      <c r="D1160" s="63"/>
      <c r="E1160" s="63"/>
      <c r="F1160" s="63"/>
      <c r="G1160" s="63"/>
      <c r="I1160" s="303" t="s">
        <v>798</v>
      </c>
      <c r="J1160" s="303"/>
      <c r="K1160" s="184"/>
      <c r="L1160" s="185"/>
      <c r="M1160" s="185"/>
      <c r="N1160" s="185"/>
      <c r="O1160" s="185"/>
      <c r="P1160" s="204"/>
      <c r="Q1160" s="204"/>
      <c r="R1160" s="204"/>
      <c r="S1160" s="204"/>
    </row>
    <row r="1161" spans="1:19">
      <c r="A1161" s="3" t="s">
        <v>801</v>
      </c>
      <c r="B1161" s="201" t="s">
        <v>802</v>
      </c>
      <c r="C1161" s="201" t="s">
        <v>803</v>
      </c>
      <c r="D1161" s="201" t="s">
        <v>119</v>
      </c>
      <c r="E1161" s="201" t="s">
        <v>148</v>
      </c>
      <c r="F1161" s="201" t="s">
        <v>806</v>
      </c>
      <c r="G1161" s="201" t="s">
        <v>81</v>
      </c>
      <c r="I1161" s="187"/>
      <c r="J1161" s="187"/>
      <c r="K1161" s="187"/>
      <c r="L1161" s="188"/>
      <c r="M1161" s="188"/>
      <c r="N1161" s="188"/>
      <c r="O1161" s="188"/>
      <c r="P1161" s="187"/>
      <c r="Q1161" s="187"/>
      <c r="R1161" s="187"/>
      <c r="S1161" s="187"/>
    </row>
    <row r="1162" spans="1:19">
      <c r="A1162" s="293">
        <v>44097</v>
      </c>
      <c r="B1162" s="161"/>
      <c r="C1162" s="162"/>
      <c r="D1162" s="162"/>
      <c r="E1162" s="162"/>
      <c r="F1162" s="162"/>
      <c r="G1162" s="163"/>
      <c r="I1162" s="191"/>
      <c r="J1162" s="190"/>
      <c r="K1162" s="190"/>
      <c r="L1162" s="190"/>
      <c r="M1162" s="190">
        <v>44097</v>
      </c>
      <c r="N1162" s="189" t="s">
        <v>864</v>
      </c>
      <c r="O1162" s="189"/>
      <c r="P1162" s="189"/>
      <c r="Q1162" s="189"/>
      <c r="R1162" s="189"/>
      <c r="S1162" s="189"/>
    </row>
    <row r="1163" spans="1:19">
      <c r="A1163" s="294"/>
      <c r="B1163" s="164"/>
      <c r="C1163" s="165"/>
      <c r="D1163" s="165"/>
      <c r="E1163" s="165"/>
      <c r="F1163" s="165"/>
      <c r="G1163" s="166"/>
      <c r="I1163" s="304"/>
      <c r="J1163" s="304"/>
      <c r="K1163" s="167"/>
      <c r="L1163" s="168"/>
      <c r="M1163" s="168"/>
      <c r="N1163" s="168"/>
      <c r="O1163" s="169"/>
      <c r="P1163" s="169"/>
      <c r="Q1163" s="169"/>
      <c r="R1163" s="161"/>
      <c r="S1163" s="161"/>
    </row>
    <row r="1164" spans="1:19">
      <c r="A1164" s="294"/>
      <c r="B1164" s="161"/>
      <c r="C1164" s="162"/>
      <c r="D1164" s="162"/>
      <c r="E1164" s="162"/>
      <c r="F1164" s="162"/>
      <c r="G1164" s="163"/>
      <c r="I1164" s="295" t="s">
        <v>782</v>
      </c>
      <c r="J1164" s="296"/>
      <c r="K1164" s="170"/>
      <c r="L1164" s="171"/>
      <c r="M1164" s="50"/>
      <c r="N1164" s="171"/>
      <c r="O1164" s="202"/>
      <c r="P1164" s="202"/>
      <c r="Q1164" s="202"/>
      <c r="R1164" s="162"/>
      <c r="S1164" s="162"/>
    </row>
    <row r="1165" spans="1:19">
      <c r="A1165" s="294"/>
      <c r="B1165" s="164"/>
      <c r="C1165" s="165"/>
      <c r="D1165" s="165"/>
      <c r="E1165" s="165"/>
      <c r="F1165" s="165"/>
      <c r="G1165" s="166"/>
      <c r="I1165" s="295" t="s">
        <v>783</v>
      </c>
      <c r="J1165" s="295"/>
      <c r="K1165" s="170"/>
      <c r="L1165" s="171"/>
      <c r="M1165" s="50"/>
      <c r="N1165" s="171"/>
      <c r="O1165" s="202"/>
      <c r="P1165" s="202"/>
      <c r="Q1165" s="202"/>
      <c r="R1165" s="162"/>
      <c r="S1165" s="162"/>
    </row>
    <row r="1166" spans="1:19">
      <c r="A1166" s="294"/>
      <c r="B1166" s="161"/>
      <c r="C1166" s="162"/>
      <c r="D1166" s="162"/>
      <c r="E1166" s="162"/>
      <c r="F1166" s="162"/>
      <c r="G1166" s="163"/>
      <c r="I1166" s="295" t="s">
        <v>784</v>
      </c>
      <c r="J1166" s="295"/>
      <c r="K1166" s="170"/>
      <c r="L1166" s="171"/>
      <c r="M1166" s="50"/>
      <c r="N1166" s="171"/>
      <c r="O1166" s="202"/>
      <c r="P1166" s="202"/>
      <c r="Q1166" s="202"/>
      <c r="R1166" s="162"/>
      <c r="S1166" s="162"/>
    </row>
    <row r="1167" spans="1:19">
      <c r="A1167" s="294"/>
      <c r="B1167" s="164"/>
      <c r="C1167" s="165"/>
      <c r="D1167" s="165"/>
      <c r="E1167" s="165"/>
      <c r="F1167" s="165"/>
      <c r="G1167" s="166"/>
      <c r="I1167" s="295" t="s">
        <v>785</v>
      </c>
      <c r="J1167" s="295"/>
      <c r="K1167" s="170"/>
      <c r="L1167" s="171"/>
      <c r="M1167" s="50"/>
      <c r="N1167" s="171"/>
      <c r="O1167" s="202"/>
      <c r="P1167" s="202"/>
      <c r="Q1167" s="202"/>
      <c r="R1167" s="162"/>
      <c r="S1167" s="162"/>
    </row>
    <row r="1168" spans="1:19">
      <c r="A1168" s="294"/>
      <c r="B1168" s="161"/>
      <c r="C1168" s="162"/>
      <c r="D1168" s="162"/>
      <c r="E1168" s="162"/>
      <c r="F1168" s="162"/>
      <c r="G1168" s="163"/>
      <c r="I1168" s="295" t="s">
        <v>786</v>
      </c>
      <c r="J1168" s="295"/>
      <c r="K1168" s="170"/>
      <c r="L1168" s="171"/>
      <c r="M1168" s="50"/>
      <c r="N1168" s="171"/>
      <c r="O1168" s="202"/>
      <c r="P1168" s="202"/>
      <c r="Q1168" s="202"/>
      <c r="R1168" s="162"/>
      <c r="S1168" s="162"/>
    </row>
    <row r="1169" spans="1:19">
      <c r="A1169" s="294"/>
      <c r="B1169" s="164"/>
      <c r="C1169" s="165"/>
      <c r="D1169" s="165"/>
      <c r="E1169" s="165"/>
      <c r="F1169" s="165"/>
      <c r="G1169" s="166"/>
      <c r="I1169" s="295" t="s">
        <v>787</v>
      </c>
      <c r="J1169" s="295"/>
      <c r="K1169" s="170"/>
      <c r="L1169" s="171"/>
      <c r="M1169" s="50"/>
      <c r="N1169" s="171"/>
      <c r="O1169" s="202"/>
      <c r="P1169" s="202"/>
      <c r="Q1169" s="202"/>
      <c r="R1169" s="162"/>
      <c r="S1169" s="162"/>
    </row>
    <row r="1170" spans="1:19">
      <c r="A1170" s="294"/>
      <c r="B1170" s="161"/>
      <c r="C1170" s="162"/>
      <c r="D1170" s="162"/>
      <c r="E1170" s="162"/>
      <c r="F1170" s="162"/>
      <c r="G1170" s="163"/>
      <c r="I1170" s="295" t="s">
        <v>788</v>
      </c>
      <c r="J1170" s="295"/>
      <c r="K1170" s="170"/>
      <c r="L1170" s="171"/>
      <c r="M1170" s="50"/>
      <c r="N1170" s="171"/>
      <c r="O1170" s="202"/>
      <c r="P1170" s="202"/>
      <c r="Q1170" s="202"/>
      <c r="R1170" s="162"/>
      <c r="S1170" s="162"/>
    </row>
    <row r="1171" spans="1:19">
      <c r="A1171" s="294"/>
      <c r="B1171" s="164"/>
      <c r="C1171" s="165"/>
      <c r="D1171" s="165"/>
      <c r="E1171" s="165"/>
      <c r="F1171" s="165"/>
      <c r="G1171" s="166"/>
      <c r="I1171" s="295" t="s">
        <v>789</v>
      </c>
      <c r="J1171" s="295"/>
      <c r="K1171" s="170"/>
      <c r="L1171" s="171"/>
      <c r="M1171" s="50"/>
      <c r="N1171" s="171"/>
      <c r="O1171" s="202"/>
      <c r="P1171" s="202"/>
      <c r="Q1171" s="202"/>
      <c r="R1171" s="162"/>
      <c r="S1171" s="162"/>
    </row>
    <row r="1172" spans="1:19">
      <c r="A1172" s="63"/>
      <c r="B1172" s="63"/>
      <c r="C1172" s="63"/>
      <c r="D1172" s="63"/>
      <c r="E1172" s="63"/>
      <c r="F1172" s="63"/>
      <c r="G1172" s="63"/>
      <c r="I1172" s="295" t="s">
        <v>790</v>
      </c>
      <c r="J1172" s="295"/>
      <c r="K1172" s="170"/>
      <c r="L1172" s="171"/>
      <c r="M1172" s="50"/>
      <c r="N1172" s="171"/>
      <c r="O1172" s="202"/>
      <c r="P1172" s="202"/>
      <c r="Q1172" s="202"/>
      <c r="R1172" s="162"/>
      <c r="S1172" s="162"/>
    </row>
    <row r="1173" spans="1:19">
      <c r="A1173" s="63"/>
      <c r="B1173" s="63"/>
      <c r="C1173" s="63"/>
      <c r="D1173" s="63"/>
      <c r="E1173" s="63"/>
      <c r="F1173" s="63"/>
      <c r="G1173" s="63"/>
      <c r="I1173" s="295" t="s">
        <v>791</v>
      </c>
      <c r="J1173" s="295"/>
      <c r="K1173" s="170"/>
      <c r="L1173" s="171"/>
      <c r="M1173" s="50"/>
      <c r="N1173" s="171"/>
      <c r="O1173" s="202"/>
      <c r="P1173" s="202"/>
      <c r="Q1173" s="202"/>
      <c r="R1173" s="162"/>
      <c r="S1173" s="162"/>
    </row>
    <row r="1174" spans="1:19">
      <c r="A1174" s="63"/>
      <c r="B1174" s="63"/>
      <c r="C1174" s="63"/>
      <c r="D1174" s="63"/>
      <c r="E1174" s="63"/>
      <c r="F1174" s="63"/>
      <c r="G1174" s="63"/>
      <c r="I1174" s="296" t="s">
        <v>792</v>
      </c>
      <c r="J1174" s="296"/>
      <c r="K1174" s="170"/>
      <c r="L1174" s="171"/>
      <c r="M1174" s="50"/>
      <c r="N1174" s="171"/>
      <c r="O1174" s="202"/>
      <c r="P1174" s="202"/>
      <c r="Q1174" s="202"/>
      <c r="R1174" s="162"/>
      <c r="S1174" s="162"/>
    </row>
    <row r="1175" spans="1:19" ht="17.25" thickBot="1">
      <c r="A1175" s="63"/>
      <c r="B1175" s="63"/>
      <c r="C1175" s="63"/>
      <c r="D1175" s="63"/>
      <c r="E1175" s="63"/>
      <c r="F1175" s="63"/>
      <c r="G1175" s="63"/>
      <c r="I1175" s="297" t="s">
        <v>793</v>
      </c>
      <c r="J1175" s="297"/>
      <c r="K1175" s="172">
        <f t="shared" ref="K1175:S1175" si="499">SUM(K1164:K1174)</f>
        <v>0</v>
      </c>
      <c r="L1175" s="205">
        <f t="shared" si="499"/>
        <v>0</v>
      </c>
      <c r="M1175" s="205">
        <f t="shared" si="499"/>
        <v>0</v>
      </c>
      <c r="N1175" s="205">
        <f t="shared" si="499"/>
        <v>0</v>
      </c>
      <c r="O1175" s="174">
        <f t="shared" si="499"/>
        <v>0</v>
      </c>
      <c r="P1175" s="174">
        <f t="shared" si="499"/>
        <v>0</v>
      </c>
      <c r="Q1175" s="174">
        <f t="shared" si="499"/>
        <v>0</v>
      </c>
      <c r="R1175" s="175">
        <f t="shared" si="499"/>
        <v>0</v>
      </c>
      <c r="S1175" s="175">
        <f t="shared" si="499"/>
        <v>0</v>
      </c>
    </row>
    <row r="1176" spans="1:19" ht="17.25" thickBot="1">
      <c r="A1176" s="63"/>
      <c r="B1176" s="63"/>
      <c r="C1176" s="63"/>
      <c r="D1176" s="63"/>
      <c r="E1176" s="63"/>
      <c r="F1176" s="63"/>
      <c r="G1176" s="63"/>
      <c r="I1176" s="298" t="s">
        <v>794</v>
      </c>
      <c r="J1176" s="299"/>
      <c r="K1176" s="176">
        <f t="shared" ref="K1176" si="500">S1155-K1175</f>
        <v>0</v>
      </c>
      <c r="L1176" s="177">
        <f t="shared" ref="L1176" si="501">K1175-L1175</f>
        <v>0</v>
      </c>
      <c r="M1176" s="177">
        <f t="shared" ref="M1176" si="502">K1175-M1175</f>
        <v>0</v>
      </c>
      <c r="N1176" s="177">
        <f t="shared" ref="N1176" si="503">K1175-N1175</f>
        <v>0</v>
      </c>
      <c r="O1176" s="178">
        <f t="shared" ref="O1176" si="504">K1175-O1175</f>
        <v>0</v>
      </c>
      <c r="P1176" s="178">
        <f t="shared" ref="P1176" si="505">K1175-P1175</f>
        <v>0</v>
      </c>
      <c r="Q1176" s="178">
        <f t="shared" ref="Q1176" si="506">K1175-Q1175</f>
        <v>0</v>
      </c>
      <c r="R1176" s="179">
        <f t="shared" ref="R1176" si="507">K1175-R1175</f>
        <v>0</v>
      </c>
      <c r="S1176" s="180">
        <f t="shared" ref="S1176" si="508">L1175-S1175</f>
        <v>0</v>
      </c>
    </row>
    <row r="1177" spans="1:19">
      <c r="A1177" s="63"/>
      <c r="B1177" s="63"/>
      <c r="C1177" s="63"/>
      <c r="D1177" s="63"/>
      <c r="E1177" s="63"/>
      <c r="F1177" s="63"/>
      <c r="G1177" s="63"/>
      <c r="I1177" s="300" t="s">
        <v>795</v>
      </c>
      <c r="J1177" s="301"/>
      <c r="K1177" s="181"/>
      <c r="L1177" s="182"/>
      <c r="M1177" s="182"/>
      <c r="N1177" s="182"/>
      <c r="O1177" s="183"/>
      <c r="P1177" s="182"/>
      <c r="Q1177" s="182"/>
      <c r="R1177" s="182"/>
      <c r="S1177" s="182"/>
    </row>
    <row r="1178" spans="1:19">
      <c r="A1178" s="63"/>
      <c r="B1178" s="63"/>
      <c r="C1178" s="63"/>
      <c r="D1178" s="63"/>
      <c r="E1178" s="63"/>
      <c r="F1178" s="63"/>
      <c r="G1178" s="63"/>
      <c r="I1178" s="302" t="s">
        <v>796</v>
      </c>
      <c r="J1178" s="302"/>
      <c r="K1178" s="184"/>
      <c r="L1178" s="203"/>
      <c r="M1178" s="203"/>
      <c r="N1178" s="203"/>
      <c r="O1178" s="203"/>
      <c r="P1178" s="203"/>
      <c r="Q1178" s="203"/>
      <c r="R1178" s="203"/>
      <c r="S1178" s="203"/>
    </row>
    <row r="1179" spans="1:19">
      <c r="A1179" s="63"/>
      <c r="B1179" s="63"/>
      <c r="C1179" s="63"/>
      <c r="D1179" s="63"/>
      <c r="E1179" s="63"/>
      <c r="F1179" s="63"/>
      <c r="G1179" s="63"/>
      <c r="I1179" s="302" t="s">
        <v>797</v>
      </c>
      <c r="J1179" s="302"/>
      <c r="K1179" s="184"/>
      <c r="L1179" s="203"/>
      <c r="M1179" s="203"/>
      <c r="N1179" s="203"/>
      <c r="O1179" s="203"/>
      <c r="P1179" s="203"/>
      <c r="Q1179" s="203"/>
      <c r="R1179" s="203"/>
      <c r="S1179" s="203"/>
    </row>
    <row r="1180" spans="1:19">
      <c r="A1180" s="63"/>
      <c r="B1180" s="63"/>
      <c r="C1180" s="63"/>
      <c r="D1180" s="63"/>
      <c r="E1180" s="63"/>
      <c r="F1180" s="63"/>
      <c r="G1180" s="63"/>
      <c r="I1180" s="303" t="s">
        <v>798</v>
      </c>
      <c r="J1180" s="303"/>
      <c r="K1180" s="184"/>
      <c r="L1180" s="185"/>
      <c r="M1180" s="185"/>
      <c r="N1180" s="185"/>
      <c r="O1180" s="185"/>
      <c r="P1180" s="204"/>
      <c r="Q1180" s="204"/>
      <c r="R1180" s="204"/>
      <c r="S1180" s="204"/>
    </row>
    <row r="1181" spans="1:19">
      <c r="A1181" s="3" t="s">
        <v>801</v>
      </c>
      <c r="B1181" s="201" t="s">
        <v>802</v>
      </c>
      <c r="C1181" s="201" t="s">
        <v>803</v>
      </c>
      <c r="D1181" s="201" t="s">
        <v>119</v>
      </c>
      <c r="E1181" s="201" t="s">
        <v>148</v>
      </c>
      <c r="F1181" s="201" t="s">
        <v>806</v>
      </c>
      <c r="G1181" s="201" t="s">
        <v>81</v>
      </c>
      <c r="I1181" s="187"/>
      <c r="J1181" s="187"/>
      <c r="K1181" s="187"/>
      <c r="L1181" s="188"/>
      <c r="M1181" s="188"/>
      <c r="N1181" s="188"/>
      <c r="O1181" s="188"/>
      <c r="P1181" s="187"/>
      <c r="Q1181" s="187"/>
      <c r="R1181" s="187"/>
      <c r="S1181" s="187"/>
    </row>
    <row r="1182" spans="1:19">
      <c r="A1182" s="293">
        <v>44098</v>
      </c>
      <c r="B1182" s="161"/>
      <c r="C1182" s="162"/>
      <c r="D1182" s="162"/>
      <c r="E1182" s="162"/>
      <c r="F1182" s="162"/>
      <c r="G1182" s="163"/>
      <c r="I1182" s="191"/>
      <c r="J1182" s="190"/>
      <c r="K1182" s="190"/>
      <c r="L1182" s="190"/>
      <c r="M1182" s="190">
        <v>44098</v>
      </c>
      <c r="N1182" s="189" t="s">
        <v>864</v>
      </c>
      <c r="O1182" s="189"/>
      <c r="P1182" s="189"/>
      <c r="Q1182" s="189"/>
      <c r="R1182" s="189"/>
      <c r="S1182" s="189"/>
    </row>
    <row r="1183" spans="1:19">
      <c r="A1183" s="294"/>
      <c r="B1183" s="164"/>
      <c r="C1183" s="165"/>
      <c r="D1183" s="165"/>
      <c r="E1183" s="165"/>
      <c r="F1183" s="165"/>
      <c r="G1183" s="166"/>
      <c r="I1183" s="304"/>
      <c r="J1183" s="304"/>
      <c r="K1183" s="167"/>
      <c r="L1183" s="168"/>
      <c r="M1183" s="168"/>
      <c r="N1183" s="168"/>
      <c r="O1183" s="169"/>
      <c r="P1183" s="169"/>
      <c r="Q1183" s="169"/>
      <c r="R1183" s="161"/>
      <c r="S1183" s="161"/>
    </row>
    <row r="1184" spans="1:19">
      <c r="A1184" s="294"/>
      <c r="B1184" s="161"/>
      <c r="C1184" s="162"/>
      <c r="D1184" s="162"/>
      <c r="E1184" s="162"/>
      <c r="F1184" s="162"/>
      <c r="G1184" s="163"/>
      <c r="I1184" s="295" t="s">
        <v>782</v>
      </c>
      <c r="J1184" s="296"/>
      <c r="K1184" s="170"/>
      <c r="L1184" s="171"/>
      <c r="M1184" s="50"/>
      <c r="N1184" s="171"/>
      <c r="O1184" s="202"/>
      <c r="P1184" s="202"/>
      <c r="Q1184" s="202"/>
      <c r="R1184" s="162"/>
      <c r="S1184" s="162"/>
    </row>
    <row r="1185" spans="1:19">
      <c r="A1185" s="294"/>
      <c r="B1185" s="164"/>
      <c r="C1185" s="165"/>
      <c r="D1185" s="165"/>
      <c r="E1185" s="165"/>
      <c r="F1185" s="165"/>
      <c r="G1185" s="166"/>
      <c r="I1185" s="295" t="s">
        <v>783</v>
      </c>
      <c r="J1185" s="295"/>
      <c r="K1185" s="170"/>
      <c r="L1185" s="171"/>
      <c r="M1185" s="50"/>
      <c r="N1185" s="171"/>
      <c r="O1185" s="202"/>
      <c r="P1185" s="202"/>
      <c r="Q1185" s="202"/>
      <c r="R1185" s="162"/>
      <c r="S1185" s="162"/>
    </row>
    <row r="1186" spans="1:19">
      <c r="A1186" s="294"/>
      <c r="B1186" s="161"/>
      <c r="C1186" s="162"/>
      <c r="D1186" s="162"/>
      <c r="E1186" s="162"/>
      <c r="F1186" s="162"/>
      <c r="G1186" s="163"/>
      <c r="I1186" s="295" t="s">
        <v>784</v>
      </c>
      <c r="J1186" s="295"/>
      <c r="K1186" s="170"/>
      <c r="L1186" s="171"/>
      <c r="M1186" s="50"/>
      <c r="N1186" s="171"/>
      <c r="O1186" s="202"/>
      <c r="P1186" s="202"/>
      <c r="Q1186" s="202"/>
      <c r="R1186" s="162"/>
      <c r="S1186" s="162"/>
    </row>
    <row r="1187" spans="1:19">
      <c r="A1187" s="294"/>
      <c r="B1187" s="164"/>
      <c r="C1187" s="165"/>
      <c r="D1187" s="165"/>
      <c r="E1187" s="165"/>
      <c r="F1187" s="165"/>
      <c r="G1187" s="166"/>
      <c r="I1187" s="295" t="s">
        <v>785</v>
      </c>
      <c r="J1187" s="295"/>
      <c r="K1187" s="170"/>
      <c r="L1187" s="171"/>
      <c r="M1187" s="50"/>
      <c r="N1187" s="171"/>
      <c r="O1187" s="202"/>
      <c r="P1187" s="202"/>
      <c r="Q1187" s="202"/>
      <c r="R1187" s="162"/>
      <c r="S1187" s="162"/>
    </row>
    <row r="1188" spans="1:19">
      <c r="A1188" s="294"/>
      <c r="B1188" s="161"/>
      <c r="C1188" s="162"/>
      <c r="D1188" s="162"/>
      <c r="E1188" s="162"/>
      <c r="F1188" s="162"/>
      <c r="G1188" s="163"/>
      <c r="I1188" s="295" t="s">
        <v>786</v>
      </c>
      <c r="J1188" s="295"/>
      <c r="K1188" s="170"/>
      <c r="L1188" s="171"/>
      <c r="M1188" s="50"/>
      <c r="N1188" s="171"/>
      <c r="O1188" s="202"/>
      <c r="P1188" s="202"/>
      <c r="Q1188" s="202"/>
      <c r="R1188" s="162"/>
      <c r="S1188" s="162"/>
    </row>
    <row r="1189" spans="1:19">
      <c r="A1189" s="294"/>
      <c r="B1189" s="164"/>
      <c r="C1189" s="165"/>
      <c r="D1189" s="165"/>
      <c r="E1189" s="165"/>
      <c r="F1189" s="165"/>
      <c r="G1189" s="166"/>
      <c r="I1189" s="295" t="s">
        <v>787</v>
      </c>
      <c r="J1189" s="295"/>
      <c r="K1189" s="170"/>
      <c r="L1189" s="171"/>
      <c r="M1189" s="50"/>
      <c r="N1189" s="171"/>
      <c r="O1189" s="202"/>
      <c r="P1189" s="202"/>
      <c r="Q1189" s="202"/>
      <c r="R1189" s="162"/>
      <c r="S1189" s="162"/>
    </row>
    <row r="1190" spans="1:19">
      <c r="A1190" s="294"/>
      <c r="B1190" s="161"/>
      <c r="C1190" s="162"/>
      <c r="D1190" s="162"/>
      <c r="E1190" s="162"/>
      <c r="F1190" s="162"/>
      <c r="G1190" s="163"/>
      <c r="I1190" s="295" t="s">
        <v>788</v>
      </c>
      <c r="J1190" s="295"/>
      <c r="K1190" s="170"/>
      <c r="L1190" s="171"/>
      <c r="M1190" s="50"/>
      <c r="N1190" s="171"/>
      <c r="O1190" s="202"/>
      <c r="P1190" s="202"/>
      <c r="Q1190" s="202"/>
      <c r="R1190" s="162"/>
      <c r="S1190" s="162"/>
    </row>
    <row r="1191" spans="1:19">
      <c r="A1191" s="294"/>
      <c r="B1191" s="164"/>
      <c r="C1191" s="165"/>
      <c r="D1191" s="165"/>
      <c r="E1191" s="165"/>
      <c r="F1191" s="165"/>
      <c r="G1191" s="166"/>
      <c r="I1191" s="295" t="s">
        <v>789</v>
      </c>
      <c r="J1191" s="295"/>
      <c r="K1191" s="170"/>
      <c r="L1191" s="171"/>
      <c r="M1191" s="50"/>
      <c r="N1191" s="171"/>
      <c r="O1191" s="202"/>
      <c r="P1191" s="202"/>
      <c r="Q1191" s="202"/>
      <c r="R1191" s="162"/>
      <c r="S1191" s="162"/>
    </row>
    <row r="1192" spans="1:19">
      <c r="A1192" s="63"/>
      <c r="B1192" s="63"/>
      <c r="C1192" s="63"/>
      <c r="D1192" s="63"/>
      <c r="E1192" s="63"/>
      <c r="F1192" s="63"/>
      <c r="G1192" s="63"/>
      <c r="I1192" s="295" t="s">
        <v>790</v>
      </c>
      <c r="J1192" s="295"/>
      <c r="K1192" s="170"/>
      <c r="L1192" s="171"/>
      <c r="M1192" s="50"/>
      <c r="N1192" s="171"/>
      <c r="O1192" s="202"/>
      <c r="P1192" s="202"/>
      <c r="Q1192" s="202"/>
      <c r="R1192" s="162"/>
      <c r="S1192" s="162"/>
    </row>
    <row r="1193" spans="1:19">
      <c r="A1193" s="63"/>
      <c r="B1193" s="63"/>
      <c r="C1193" s="63"/>
      <c r="D1193" s="63"/>
      <c r="E1193" s="63"/>
      <c r="F1193" s="63"/>
      <c r="G1193" s="63"/>
      <c r="I1193" s="295" t="s">
        <v>791</v>
      </c>
      <c r="J1193" s="295"/>
      <c r="K1193" s="170"/>
      <c r="L1193" s="171"/>
      <c r="M1193" s="50"/>
      <c r="N1193" s="171"/>
      <c r="O1193" s="202"/>
      <c r="P1193" s="202"/>
      <c r="Q1193" s="202"/>
      <c r="R1193" s="162"/>
      <c r="S1193" s="162"/>
    </row>
    <row r="1194" spans="1:19">
      <c r="A1194" s="63"/>
      <c r="B1194" s="63"/>
      <c r="C1194" s="63"/>
      <c r="D1194" s="63"/>
      <c r="E1194" s="63"/>
      <c r="F1194" s="63"/>
      <c r="G1194" s="63"/>
      <c r="I1194" s="296" t="s">
        <v>792</v>
      </c>
      <c r="J1194" s="296"/>
      <c r="K1194" s="170"/>
      <c r="L1194" s="171"/>
      <c r="M1194" s="50"/>
      <c r="N1194" s="171"/>
      <c r="O1194" s="202"/>
      <c r="P1194" s="202"/>
      <c r="Q1194" s="202"/>
      <c r="R1194" s="162"/>
      <c r="S1194" s="162"/>
    </row>
    <row r="1195" spans="1:19" ht="17.25" thickBot="1">
      <c r="A1195" s="63"/>
      <c r="B1195" s="63"/>
      <c r="C1195" s="63"/>
      <c r="D1195" s="63"/>
      <c r="E1195" s="63"/>
      <c r="F1195" s="63"/>
      <c r="G1195" s="63"/>
      <c r="I1195" s="297" t="s">
        <v>793</v>
      </c>
      <c r="J1195" s="297"/>
      <c r="K1195" s="172">
        <f t="shared" ref="K1195:S1195" si="509">SUM(K1184:K1194)</f>
        <v>0</v>
      </c>
      <c r="L1195" s="205">
        <f t="shared" si="509"/>
        <v>0</v>
      </c>
      <c r="M1195" s="205">
        <f t="shared" si="509"/>
        <v>0</v>
      </c>
      <c r="N1195" s="205">
        <f t="shared" si="509"/>
        <v>0</v>
      </c>
      <c r="O1195" s="174">
        <f t="shared" si="509"/>
        <v>0</v>
      </c>
      <c r="P1195" s="174">
        <f t="shared" si="509"/>
        <v>0</v>
      </c>
      <c r="Q1195" s="174">
        <f t="shared" si="509"/>
        <v>0</v>
      </c>
      <c r="R1195" s="175">
        <f t="shared" si="509"/>
        <v>0</v>
      </c>
      <c r="S1195" s="175">
        <f t="shared" si="509"/>
        <v>0</v>
      </c>
    </row>
    <row r="1196" spans="1:19" ht="17.25" thickBot="1">
      <c r="A1196" s="63"/>
      <c r="B1196" s="63"/>
      <c r="C1196" s="63"/>
      <c r="D1196" s="63"/>
      <c r="E1196" s="63"/>
      <c r="F1196" s="63"/>
      <c r="G1196" s="63"/>
      <c r="I1196" s="298" t="s">
        <v>794</v>
      </c>
      <c r="J1196" s="299"/>
      <c r="K1196" s="176">
        <f t="shared" ref="K1196" si="510">S1175-K1195</f>
        <v>0</v>
      </c>
      <c r="L1196" s="177">
        <f t="shared" ref="L1196" si="511">K1195-L1195</f>
        <v>0</v>
      </c>
      <c r="M1196" s="177">
        <f t="shared" ref="M1196" si="512">K1195-M1195</f>
        <v>0</v>
      </c>
      <c r="N1196" s="177">
        <f t="shared" ref="N1196" si="513">K1195-N1195</f>
        <v>0</v>
      </c>
      <c r="O1196" s="178">
        <f t="shared" ref="O1196" si="514">K1195-O1195</f>
        <v>0</v>
      </c>
      <c r="P1196" s="178">
        <f t="shared" ref="P1196" si="515">K1195-P1195</f>
        <v>0</v>
      </c>
      <c r="Q1196" s="178">
        <f t="shared" ref="Q1196" si="516">K1195-Q1195</f>
        <v>0</v>
      </c>
      <c r="R1196" s="179">
        <f t="shared" ref="R1196" si="517">K1195-R1195</f>
        <v>0</v>
      </c>
      <c r="S1196" s="180">
        <f t="shared" ref="S1196" si="518">L1195-S1195</f>
        <v>0</v>
      </c>
    </row>
    <row r="1197" spans="1:19">
      <c r="A1197" s="63"/>
      <c r="B1197" s="63"/>
      <c r="C1197" s="63"/>
      <c r="D1197" s="63"/>
      <c r="E1197" s="63"/>
      <c r="F1197" s="63"/>
      <c r="G1197" s="63"/>
      <c r="I1197" s="300" t="s">
        <v>795</v>
      </c>
      <c r="J1197" s="301"/>
      <c r="K1197" s="181"/>
      <c r="L1197" s="182"/>
      <c r="M1197" s="182"/>
      <c r="N1197" s="182"/>
      <c r="O1197" s="183"/>
      <c r="P1197" s="182"/>
      <c r="Q1197" s="182"/>
      <c r="R1197" s="182"/>
      <c r="S1197" s="182"/>
    </row>
    <row r="1198" spans="1:19">
      <c r="A1198" s="63"/>
      <c r="B1198" s="63"/>
      <c r="C1198" s="63"/>
      <c r="D1198" s="63"/>
      <c r="E1198" s="63"/>
      <c r="F1198" s="63"/>
      <c r="G1198" s="63"/>
      <c r="I1198" s="302" t="s">
        <v>796</v>
      </c>
      <c r="J1198" s="302"/>
      <c r="K1198" s="184"/>
      <c r="L1198" s="203"/>
      <c r="M1198" s="203"/>
      <c r="N1198" s="203"/>
      <c r="O1198" s="203"/>
      <c r="P1198" s="203"/>
      <c r="Q1198" s="203"/>
      <c r="R1198" s="203"/>
      <c r="S1198" s="203"/>
    </row>
    <row r="1199" spans="1:19">
      <c r="A1199" s="63"/>
      <c r="B1199" s="63"/>
      <c r="C1199" s="63"/>
      <c r="D1199" s="63"/>
      <c r="E1199" s="63"/>
      <c r="F1199" s="63"/>
      <c r="G1199" s="63"/>
      <c r="I1199" s="302" t="s">
        <v>797</v>
      </c>
      <c r="J1199" s="302"/>
      <c r="K1199" s="184"/>
      <c r="L1199" s="203"/>
      <c r="M1199" s="203"/>
      <c r="N1199" s="203"/>
      <c r="O1199" s="203"/>
      <c r="P1199" s="203"/>
      <c r="Q1199" s="203"/>
      <c r="R1199" s="203"/>
      <c r="S1199" s="203"/>
    </row>
    <row r="1200" spans="1:19">
      <c r="A1200" s="63"/>
      <c r="B1200" s="63"/>
      <c r="C1200" s="63"/>
      <c r="D1200" s="63"/>
      <c r="E1200" s="63"/>
      <c r="F1200" s="63"/>
      <c r="G1200" s="63"/>
      <c r="I1200" s="303" t="s">
        <v>798</v>
      </c>
      <c r="J1200" s="303"/>
      <c r="K1200" s="184"/>
      <c r="L1200" s="185"/>
      <c r="M1200" s="185"/>
      <c r="N1200" s="185"/>
      <c r="O1200" s="185"/>
      <c r="P1200" s="204"/>
      <c r="Q1200" s="204"/>
      <c r="R1200" s="204"/>
      <c r="S1200" s="204"/>
    </row>
    <row r="1201" spans="1:19">
      <c r="A1201" s="3" t="s">
        <v>801</v>
      </c>
      <c r="B1201" s="201" t="s">
        <v>802</v>
      </c>
      <c r="C1201" s="201" t="s">
        <v>803</v>
      </c>
      <c r="D1201" s="201" t="s">
        <v>119</v>
      </c>
      <c r="E1201" s="201" t="s">
        <v>148</v>
      </c>
      <c r="F1201" s="201" t="s">
        <v>806</v>
      </c>
      <c r="G1201" s="201" t="s">
        <v>81</v>
      </c>
      <c r="I1201" s="187"/>
      <c r="J1201" s="187"/>
      <c r="K1201" s="187"/>
      <c r="L1201" s="188"/>
      <c r="M1201" s="188"/>
      <c r="N1201" s="188"/>
      <c r="O1201" s="188"/>
      <c r="P1201" s="187"/>
      <c r="Q1201" s="187"/>
      <c r="R1201" s="187"/>
      <c r="S1201" s="187"/>
    </row>
    <row r="1202" spans="1:19">
      <c r="A1202" s="293">
        <v>44099</v>
      </c>
      <c r="B1202" s="161"/>
      <c r="C1202" s="162"/>
      <c r="D1202" s="162"/>
      <c r="E1202" s="162"/>
      <c r="F1202" s="162"/>
      <c r="G1202" s="163"/>
      <c r="I1202" s="191"/>
      <c r="J1202" s="190"/>
      <c r="K1202" s="190"/>
      <c r="L1202" s="190"/>
      <c r="M1202" s="190">
        <v>44099</v>
      </c>
      <c r="N1202" s="189" t="s">
        <v>864</v>
      </c>
      <c r="O1202" s="189"/>
      <c r="P1202" s="189"/>
      <c r="Q1202" s="189"/>
      <c r="R1202" s="189"/>
      <c r="S1202" s="189"/>
    </row>
    <row r="1203" spans="1:19">
      <c r="A1203" s="294"/>
      <c r="B1203" s="164"/>
      <c r="C1203" s="165"/>
      <c r="D1203" s="165"/>
      <c r="E1203" s="165"/>
      <c r="F1203" s="165"/>
      <c r="G1203" s="166"/>
      <c r="I1203" s="304"/>
      <c r="J1203" s="304"/>
      <c r="K1203" s="167"/>
      <c r="L1203" s="168"/>
      <c r="M1203" s="168"/>
      <c r="N1203" s="168"/>
      <c r="O1203" s="169"/>
      <c r="P1203" s="169"/>
      <c r="Q1203" s="169"/>
      <c r="R1203" s="161"/>
      <c r="S1203" s="161"/>
    </row>
    <row r="1204" spans="1:19">
      <c r="A1204" s="294"/>
      <c r="B1204" s="161"/>
      <c r="C1204" s="162"/>
      <c r="D1204" s="162"/>
      <c r="E1204" s="162"/>
      <c r="F1204" s="162"/>
      <c r="G1204" s="163"/>
      <c r="I1204" s="295" t="s">
        <v>782</v>
      </c>
      <c r="J1204" s="296"/>
      <c r="K1204" s="170"/>
      <c r="L1204" s="171"/>
      <c r="M1204" s="50"/>
      <c r="N1204" s="171"/>
      <c r="O1204" s="202"/>
      <c r="P1204" s="202"/>
      <c r="Q1204" s="202"/>
      <c r="R1204" s="162"/>
      <c r="S1204" s="162"/>
    </row>
    <row r="1205" spans="1:19">
      <c r="A1205" s="294"/>
      <c r="B1205" s="164"/>
      <c r="C1205" s="165"/>
      <c r="D1205" s="165"/>
      <c r="E1205" s="165"/>
      <c r="F1205" s="165"/>
      <c r="G1205" s="166"/>
      <c r="I1205" s="295" t="s">
        <v>783</v>
      </c>
      <c r="J1205" s="295"/>
      <c r="K1205" s="170"/>
      <c r="L1205" s="171"/>
      <c r="M1205" s="50"/>
      <c r="N1205" s="171"/>
      <c r="O1205" s="202"/>
      <c r="P1205" s="202"/>
      <c r="Q1205" s="202"/>
      <c r="R1205" s="162"/>
      <c r="S1205" s="162"/>
    </row>
    <row r="1206" spans="1:19">
      <c r="A1206" s="294"/>
      <c r="B1206" s="161"/>
      <c r="C1206" s="162"/>
      <c r="D1206" s="162"/>
      <c r="E1206" s="162"/>
      <c r="F1206" s="162"/>
      <c r="G1206" s="163"/>
      <c r="I1206" s="295" t="s">
        <v>784</v>
      </c>
      <c r="J1206" s="295"/>
      <c r="K1206" s="170"/>
      <c r="L1206" s="171"/>
      <c r="M1206" s="50"/>
      <c r="N1206" s="171"/>
      <c r="O1206" s="202"/>
      <c r="P1206" s="202"/>
      <c r="Q1206" s="202"/>
      <c r="R1206" s="162"/>
      <c r="S1206" s="162"/>
    </row>
    <row r="1207" spans="1:19">
      <c r="A1207" s="294"/>
      <c r="B1207" s="164"/>
      <c r="C1207" s="165"/>
      <c r="D1207" s="165"/>
      <c r="E1207" s="165"/>
      <c r="F1207" s="165"/>
      <c r="G1207" s="166"/>
      <c r="I1207" s="295" t="s">
        <v>785</v>
      </c>
      <c r="J1207" s="295"/>
      <c r="K1207" s="170"/>
      <c r="L1207" s="171"/>
      <c r="M1207" s="50"/>
      <c r="N1207" s="171"/>
      <c r="O1207" s="202"/>
      <c r="P1207" s="202"/>
      <c r="Q1207" s="202"/>
      <c r="R1207" s="162"/>
      <c r="S1207" s="162"/>
    </row>
    <row r="1208" spans="1:19">
      <c r="A1208" s="294"/>
      <c r="B1208" s="161"/>
      <c r="C1208" s="162"/>
      <c r="D1208" s="162"/>
      <c r="E1208" s="162"/>
      <c r="F1208" s="162"/>
      <c r="G1208" s="163"/>
      <c r="I1208" s="295" t="s">
        <v>786</v>
      </c>
      <c r="J1208" s="295"/>
      <c r="K1208" s="170"/>
      <c r="L1208" s="171"/>
      <c r="M1208" s="50"/>
      <c r="N1208" s="171"/>
      <c r="O1208" s="202"/>
      <c r="P1208" s="202"/>
      <c r="Q1208" s="202"/>
      <c r="R1208" s="162"/>
      <c r="S1208" s="162"/>
    </row>
    <row r="1209" spans="1:19">
      <c r="A1209" s="294"/>
      <c r="B1209" s="164"/>
      <c r="C1209" s="165"/>
      <c r="D1209" s="165"/>
      <c r="E1209" s="165"/>
      <c r="F1209" s="165"/>
      <c r="G1209" s="166"/>
      <c r="I1209" s="295" t="s">
        <v>787</v>
      </c>
      <c r="J1209" s="295"/>
      <c r="K1209" s="170"/>
      <c r="L1209" s="171"/>
      <c r="M1209" s="50"/>
      <c r="N1209" s="171"/>
      <c r="O1209" s="202"/>
      <c r="P1209" s="202"/>
      <c r="Q1209" s="202"/>
      <c r="R1209" s="162"/>
      <c r="S1209" s="162"/>
    </row>
    <row r="1210" spans="1:19">
      <c r="A1210" s="294"/>
      <c r="B1210" s="161"/>
      <c r="C1210" s="162"/>
      <c r="D1210" s="162"/>
      <c r="E1210" s="162"/>
      <c r="F1210" s="162"/>
      <c r="G1210" s="163"/>
      <c r="I1210" s="295" t="s">
        <v>788</v>
      </c>
      <c r="J1210" s="295"/>
      <c r="K1210" s="170"/>
      <c r="L1210" s="171"/>
      <c r="M1210" s="50"/>
      <c r="N1210" s="171"/>
      <c r="O1210" s="202"/>
      <c r="P1210" s="202"/>
      <c r="Q1210" s="202"/>
      <c r="R1210" s="162"/>
      <c r="S1210" s="162"/>
    </row>
    <row r="1211" spans="1:19">
      <c r="A1211" s="294"/>
      <c r="B1211" s="164"/>
      <c r="C1211" s="165"/>
      <c r="D1211" s="165"/>
      <c r="E1211" s="165"/>
      <c r="F1211" s="165"/>
      <c r="G1211" s="166"/>
      <c r="I1211" s="295" t="s">
        <v>789</v>
      </c>
      <c r="J1211" s="295"/>
      <c r="K1211" s="170"/>
      <c r="L1211" s="171"/>
      <c r="M1211" s="50"/>
      <c r="N1211" s="171"/>
      <c r="O1211" s="202"/>
      <c r="P1211" s="202"/>
      <c r="Q1211" s="202"/>
      <c r="R1211" s="162"/>
      <c r="S1211" s="162"/>
    </row>
    <row r="1212" spans="1:19">
      <c r="A1212" s="63"/>
      <c r="B1212" s="63"/>
      <c r="C1212" s="63"/>
      <c r="D1212" s="63"/>
      <c r="E1212" s="63"/>
      <c r="F1212" s="63"/>
      <c r="G1212" s="63"/>
      <c r="I1212" s="295" t="s">
        <v>790</v>
      </c>
      <c r="J1212" s="295"/>
      <c r="K1212" s="170"/>
      <c r="L1212" s="171"/>
      <c r="M1212" s="50"/>
      <c r="N1212" s="171"/>
      <c r="O1212" s="202"/>
      <c r="P1212" s="202"/>
      <c r="Q1212" s="202"/>
      <c r="R1212" s="162"/>
      <c r="S1212" s="162"/>
    </row>
    <row r="1213" spans="1:19">
      <c r="A1213" s="63"/>
      <c r="B1213" s="63"/>
      <c r="C1213" s="63"/>
      <c r="D1213" s="63"/>
      <c r="E1213" s="63"/>
      <c r="F1213" s="63"/>
      <c r="G1213" s="63"/>
      <c r="I1213" s="295" t="s">
        <v>791</v>
      </c>
      <c r="J1213" s="295"/>
      <c r="K1213" s="170"/>
      <c r="L1213" s="171"/>
      <c r="M1213" s="50"/>
      <c r="N1213" s="171"/>
      <c r="O1213" s="202"/>
      <c r="P1213" s="202"/>
      <c r="Q1213" s="202"/>
      <c r="R1213" s="162"/>
      <c r="S1213" s="162"/>
    </row>
    <row r="1214" spans="1:19">
      <c r="A1214" s="63"/>
      <c r="B1214" s="63"/>
      <c r="C1214" s="63"/>
      <c r="D1214" s="63"/>
      <c r="E1214" s="63"/>
      <c r="F1214" s="63"/>
      <c r="G1214" s="63"/>
      <c r="I1214" s="296" t="s">
        <v>792</v>
      </c>
      <c r="J1214" s="296"/>
      <c r="K1214" s="170"/>
      <c r="L1214" s="171"/>
      <c r="M1214" s="50"/>
      <c r="N1214" s="171"/>
      <c r="O1214" s="202"/>
      <c r="P1214" s="202"/>
      <c r="Q1214" s="202"/>
      <c r="R1214" s="162"/>
      <c r="S1214" s="162"/>
    </row>
    <row r="1215" spans="1:19" ht="17.25" thickBot="1">
      <c r="A1215" s="63"/>
      <c r="B1215" s="63"/>
      <c r="C1215" s="63"/>
      <c r="D1215" s="63"/>
      <c r="E1215" s="63"/>
      <c r="F1215" s="63"/>
      <c r="G1215" s="63"/>
      <c r="I1215" s="297" t="s">
        <v>793</v>
      </c>
      <c r="J1215" s="297"/>
      <c r="K1215" s="172">
        <f t="shared" ref="K1215:S1215" si="519">SUM(K1204:K1214)</f>
        <v>0</v>
      </c>
      <c r="L1215" s="205">
        <f t="shared" si="519"/>
        <v>0</v>
      </c>
      <c r="M1215" s="205">
        <f t="shared" si="519"/>
        <v>0</v>
      </c>
      <c r="N1215" s="205">
        <f t="shared" si="519"/>
        <v>0</v>
      </c>
      <c r="O1215" s="174">
        <f t="shared" si="519"/>
        <v>0</v>
      </c>
      <c r="P1215" s="174">
        <f t="shared" si="519"/>
        <v>0</v>
      </c>
      <c r="Q1215" s="174">
        <f t="shared" si="519"/>
        <v>0</v>
      </c>
      <c r="R1215" s="175">
        <f t="shared" si="519"/>
        <v>0</v>
      </c>
      <c r="S1215" s="175">
        <f t="shared" si="519"/>
        <v>0</v>
      </c>
    </row>
    <row r="1216" spans="1:19" ht="17.25" thickBot="1">
      <c r="A1216" s="63"/>
      <c r="B1216" s="63"/>
      <c r="C1216" s="63"/>
      <c r="D1216" s="63"/>
      <c r="E1216" s="63"/>
      <c r="F1216" s="63"/>
      <c r="G1216" s="63"/>
      <c r="I1216" s="298" t="s">
        <v>794</v>
      </c>
      <c r="J1216" s="299"/>
      <c r="K1216" s="176">
        <f t="shared" ref="K1216" si="520">S1195-K1215</f>
        <v>0</v>
      </c>
      <c r="L1216" s="177">
        <f t="shared" ref="L1216" si="521">K1215-L1215</f>
        <v>0</v>
      </c>
      <c r="M1216" s="177">
        <f t="shared" ref="M1216" si="522">K1215-M1215</f>
        <v>0</v>
      </c>
      <c r="N1216" s="177">
        <f t="shared" ref="N1216" si="523">K1215-N1215</f>
        <v>0</v>
      </c>
      <c r="O1216" s="178">
        <f t="shared" ref="O1216" si="524">K1215-O1215</f>
        <v>0</v>
      </c>
      <c r="P1216" s="178">
        <f t="shared" ref="P1216" si="525">K1215-P1215</f>
        <v>0</v>
      </c>
      <c r="Q1216" s="178">
        <f t="shared" ref="Q1216" si="526">K1215-Q1215</f>
        <v>0</v>
      </c>
      <c r="R1216" s="179">
        <f t="shared" ref="R1216" si="527">K1215-R1215</f>
        <v>0</v>
      </c>
      <c r="S1216" s="180">
        <f t="shared" ref="S1216" si="528">L1215-S1215</f>
        <v>0</v>
      </c>
    </row>
    <row r="1217" spans="1:19">
      <c r="A1217" s="63"/>
      <c r="B1217" s="63"/>
      <c r="C1217" s="63"/>
      <c r="D1217" s="63"/>
      <c r="E1217" s="63"/>
      <c r="F1217" s="63"/>
      <c r="G1217" s="63"/>
      <c r="I1217" s="300" t="s">
        <v>795</v>
      </c>
      <c r="J1217" s="301"/>
      <c r="K1217" s="181"/>
      <c r="L1217" s="182"/>
      <c r="M1217" s="182"/>
      <c r="N1217" s="182"/>
      <c r="O1217" s="183"/>
      <c r="P1217" s="182"/>
      <c r="Q1217" s="182"/>
      <c r="R1217" s="182"/>
      <c r="S1217" s="182"/>
    </row>
    <row r="1218" spans="1:19">
      <c r="A1218" s="63"/>
      <c r="B1218" s="63"/>
      <c r="C1218" s="63"/>
      <c r="D1218" s="63"/>
      <c r="E1218" s="63"/>
      <c r="F1218" s="63"/>
      <c r="G1218" s="63"/>
      <c r="I1218" s="302" t="s">
        <v>796</v>
      </c>
      <c r="J1218" s="302"/>
      <c r="K1218" s="184"/>
      <c r="L1218" s="203"/>
      <c r="M1218" s="203"/>
      <c r="N1218" s="203"/>
      <c r="O1218" s="203"/>
      <c r="P1218" s="203"/>
      <c r="Q1218" s="203"/>
      <c r="R1218" s="203"/>
      <c r="S1218" s="203"/>
    </row>
    <row r="1219" spans="1:19">
      <c r="A1219" s="63"/>
      <c r="B1219" s="63"/>
      <c r="C1219" s="63"/>
      <c r="D1219" s="63"/>
      <c r="E1219" s="63"/>
      <c r="F1219" s="63"/>
      <c r="G1219" s="63"/>
      <c r="I1219" s="302" t="s">
        <v>797</v>
      </c>
      <c r="J1219" s="302"/>
      <c r="K1219" s="184"/>
      <c r="L1219" s="203"/>
      <c r="M1219" s="203"/>
      <c r="N1219" s="203"/>
      <c r="O1219" s="203"/>
      <c r="P1219" s="203"/>
      <c r="Q1219" s="203"/>
      <c r="R1219" s="203"/>
      <c r="S1219" s="203"/>
    </row>
    <row r="1220" spans="1:19">
      <c r="A1220" s="63"/>
      <c r="B1220" s="63"/>
      <c r="C1220" s="63"/>
      <c r="D1220" s="63"/>
      <c r="E1220" s="63"/>
      <c r="F1220" s="63"/>
      <c r="G1220" s="63"/>
      <c r="I1220" s="303" t="s">
        <v>798</v>
      </c>
      <c r="J1220" s="303"/>
      <c r="K1220" s="184"/>
      <c r="L1220" s="185"/>
      <c r="M1220" s="185"/>
      <c r="N1220" s="185"/>
      <c r="O1220" s="185"/>
      <c r="P1220" s="204"/>
      <c r="Q1220" s="204"/>
      <c r="R1220" s="204"/>
      <c r="S1220" s="204"/>
    </row>
    <row r="1221" spans="1:19">
      <c r="A1221" s="3" t="s">
        <v>801</v>
      </c>
      <c r="B1221" s="201" t="s">
        <v>802</v>
      </c>
      <c r="C1221" s="201" t="s">
        <v>803</v>
      </c>
      <c r="D1221" s="201" t="s">
        <v>119</v>
      </c>
      <c r="E1221" s="201" t="s">
        <v>148</v>
      </c>
      <c r="F1221" s="201" t="s">
        <v>806</v>
      </c>
      <c r="G1221" s="201" t="s">
        <v>81</v>
      </c>
      <c r="I1221" s="187"/>
      <c r="J1221" s="187"/>
      <c r="K1221" s="187"/>
      <c r="L1221" s="188"/>
      <c r="M1221" s="188"/>
      <c r="N1221" s="188"/>
      <c r="O1221" s="188"/>
      <c r="P1221" s="187"/>
      <c r="Q1221" s="187"/>
      <c r="R1221" s="187"/>
      <c r="S1221" s="187"/>
    </row>
    <row r="1222" spans="1:19">
      <c r="A1222" s="293">
        <v>44100</v>
      </c>
      <c r="B1222" s="161"/>
      <c r="C1222" s="162"/>
      <c r="D1222" s="162"/>
      <c r="E1222" s="162"/>
      <c r="F1222" s="162"/>
      <c r="G1222" s="163"/>
      <c r="I1222" s="191"/>
      <c r="J1222" s="190"/>
      <c r="K1222" s="190"/>
      <c r="L1222" s="190"/>
      <c r="M1222" s="190">
        <v>44100</v>
      </c>
      <c r="N1222" s="189" t="s">
        <v>864</v>
      </c>
      <c r="O1222" s="189"/>
      <c r="P1222" s="189"/>
      <c r="Q1222" s="189"/>
      <c r="R1222" s="189"/>
      <c r="S1222" s="189"/>
    </row>
    <row r="1223" spans="1:19">
      <c r="A1223" s="294"/>
      <c r="B1223" s="164"/>
      <c r="C1223" s="165"/>
      <c r="D1223" s="165"/>
      <c r="E1223" s="165"/>
      <c r="F1223" s="165"/>
      <c r="G1223" s="166"/>
      <c r="I1223" s="304"/>
      <c r="J1223" s="304"/>
      <c r="K1223" s="167"/>
      <c r="L1223" s="168"/>
      <c r="M1223" s="168"/>
      <c r="N1223" s="168"/>
      <c r="O1223" s="169"/>
      <c r="P1223" s="169"/>
      <c r="Q1223" s="169"/>
      <c r="R1223" s="161"/>
      <c r="S1223" s="161"/>
    </row>
    <row r="1224" spans="1:19">
      <c r="A1224" s="294"/>
      <c r="B1224" s="161"/>
      <c r="C1224" s="162"/>
      <c r="D1224" s="162"/>
      <c r="E1224" s="162"/>
      <c r="F1224" s="162"/>
      <c r="G1224" s="163"/>
      <c r="I1224" s="295" t="s">
        <v>782</v>
      </c>
      <c r="J1224" s="296"/>
      <c r="K1224" s="170"/>
      <c r="L1224" s="171"/>
      <c r="M1224" s="50"/>
      <c r="N1224" s="171"/>
      <c r="O1224" s="202"/>
      <c r="P1224" s="202"/>
      <c r="Q1224" s="202"/>
      <c r="R1224" s="162"/>
      <c r="S1224" s="162"/>
    </row>
    <row r="1225" spans="1:19">
      <c r="A1225" s="294"/>
      <c r="B1225" s="164"/>
      <c r="C1225" s="165"/>
      <c r="D1225" s="165"/>
      <c r="E1225" s="165"/>
      <c r="F1225" s="165"/>
      <c r="G1225" s="166"/>
      <c r="I1225" s="295" t="s">
        <v>783</v>
      </c>
      <c r="J1225" s="295"/>
      <c r="K1225" s="170"/>
      <c r="L1225" s="171"/>
      <c r="M1225" s="50"/>
      <c r="N1225" s="171"/>
      <c r="O1225" s="202"/>
      <c r="P1225" s="202"/>
      <c r="Q1225" s="202"/>
      <c r="R1225" s="162"/>
      <c r="S1225" s="162"/>
    </row>
    <row r="1226" spans="1:19">
      <c r="A1226" s="294"/>
      <c r="B1226" s="161"/>
      <c r="C1226" s="162"/>
      <c r="D1226" s="162"/>
      <c r="E1226" s="162"/>
      <c r="F1226" s="162"/>
      <c r="G1226" s="163"/>
      <c r="I1226" s="295" t="s">
        <v>784</v>
      </c>
      <c r="J1226" s="295"/>
      <c r="K1226" s="170"/>
      <c r="L1226" s="171"/>
      <c r="M1226" s="50"/>
      <c r="N1226" s="171"/>
      <c r="O1226" s="202"/>
      <c r="P1226" s="202"/>
      <c r="Q1226" s="202"/>
      <c r="R1226" s="162"/>
      <c r="S1226" s="162"/>
    </row>
    <row r="1227" spans="1:19">
      <c r="A1227" s="294"/>
      <c r="B1227" s="164"/>
      <c r="C1227" s="165"/>
      <c r="D1227" s="165"/>
      <c r="E1227" s="165"/>
      <c r="F1227" s="165"/>
      <c r="G1227" s="166"/>
      <c r="I1227" s="295" t="s">
        <v>785</v>
      </c>
      <c r="J1227" s="295"/>
      <c r="K1227" s="170"/>
      <c r="L1227" s="171"/>
      <c r="M1227" s="50"/>
      <c r="N1227" s="171"/>
      <c r="O1227" s="202"/>
      <c r="P1227" s="202"/>
      <c r="Q1227" s="202"/>
      <c r="R1227" s="162"/>
      <c r="S1227" s="162"/>
    </row>
    <row r="1228" spans="1:19">
      <c r="A1228" s="294"/>
      <c r="B1228" s="161"/>
      <c r="C1228" s="162"/>
      <c r="D1228" s="162"/>
      <c r="E1228" s="162"/>
      <c r="F1228" s="162"/>
      <c r="G1228" s="163"/>
      <c r="I1228" s="295" t="s">
        <v>786</v>
      </c>
      <c r="J1228" s="295"/>
      <c r="K1228" s="170"/>
      <c r="L1228" s="171"/>
      <c r="M1228" s="50"/>
      <c r="N1228" s="171"/>
      <c r="O1228" s="202"/>
      <c r="P1228" s="202"/>
      <c r="Q1228" s="202"/>
      <c r="R1228" s="162"/>
      <c r="S1228" s="162"/>
    </row>
    <row r="1229" spans="1:19">
      <c r="A1229" s="294"/>
      <c r="B1229" s="164"/>
      <c r="C1229" s="165"/>
      <c r="D1229" s="165"/>
      <c r="E1229" s="165"/>
      <c r="F1229" s="165"/>
      <c r="G1229" s="166"/>
      <c r="I1229" s="295" t="s">
        <v>787</v>
      </c>
      <c r="J1229" s="295"/>
      <c r="K1229" s="170"/>
      <c r="L1229" s="171"/>
      <c r="M1229" s="50"/>
      <c r="N1229" s="171"/>
      <c r="O1229" s="202"/>
      <c r="P1229" s="202"/>
      <c r="Q1229" s="202"/>
      <c r="R1229" s="162"/>
      <c r="S1229" s="162"/>
    </row>
    <row r="1230" spans="1:19">
      <c r="A1230" s="294"/>
      <c r="B1230" s="161"/>
      <c r="C1230" s="162"/>
      <c r="D1230" s="162"/>
      <c r="E1230" s="162"/>
      <c r="F1230" s="162"/>
      <c r="G1230" s="163"/>
      <c r="I1230" s="295" t="s">
        <v>788</v>
      </c>
      <c r="J1230" s="295"/>
      <c r="K1230" s="170"/>
      <c r="L1230" s="171"/>
      <c r="M1230" s="50"/>
      <c r="N1230" s="171"/>
      <c r="O1230" s="202"/>
      <c r="P1230" s="202"/>
      <c r="Q1230" s="202"/>
      <c r="R1230" s="162"/>
      <c r="S1230" s="162"/>
    </row>
    <row r="1231" spans="1:19">
      <c r="A1231" s="294"/>
      <c r="B1231" s="164"/>
      <c r="C1231" s="165"/>
      <c r="D1231" s="165"/>
      <c r="E1231" s="165"/>
      <c r="F1231" s="165"/>
      <c r="G1231" s="166"/>
      <c r="I1231" s="295" t="s">
        <v>789</v>
      </c>
      <c r="J1231" s="295"/>
      <c r="K1231" s="170"/>
      <c r="L1231" s="171"/>
      <c r="M1231" s="50"/>
      <c r="N1231" s="171"/>
      <c r="O1231" s="202"/>
      <c r="P1231" s="202"/>
      <c r="Q1231" s="202"/>
      <c r="R1231" s="162"/>
      <c r="S1231" s="162"/>
    </row>
    <row r="1232" spans="1:19">
      <c r="A1232" s="63"/>
      <c r="B1232" s="63"/>
      <c r="C1232" s="63"/>
      <c r="D1232" s="63"/>
      <c r="E1232" s="63"/>
      <c r="F1232" s="63"/>
      <c r="G1232" s="63"/>
      <c r="I1232" s="295" t="s">
        <v>790</v>
      </c>
      <c r="J1232" s="295"/>
      <c r="K1232" s="170"/>
      <c r="L1232" s="171"/>
      <c r="M1232" s="50"/>
      <c r="N1232" s="171"/>
      <c r="O1232" s="202"/>
      <c r="P1232" s="202"/>
      <c r="Q1232" s="202"/>
      <c r="R1232" s="162"/>
      <c r="S1232" s="162"/>
    </row>
    <row r="1233" spans="1:19">
      <c r="A1233" s="63"/>
      <c r="B1233" s="63"/>
      <c r="C1233" s="63"/>
      <c r="D1233" s="63"/>
      <c r="E1233" s="63"/>
      <c r="F1233" s="63"/>
      <c r="G1233" s="63"/>
      <c r="I1233" s="295" t="s">
        <v>791</v>
      </c>
      <c r="J1233" s="295"/>
      <c r="K1233" s="170"/>
      <c r="L1233" s="171"/>
      <c r="M1233" s="50"/>
      <c r="N1233" s="171"/>
      <c r="O1233" s="202"/>
      <c r="P1233" s="202"/>
      <c r="Q1233" s="202"/>
      <c r="R1233" s="162"/>
      <c r="S1233" s="162"/>
    </row>
    <row r="1234" spans="1:19">
      <c r="A1234" s="63"/>
      <c r="B1234" s="63"/>
      <c r="C1234" s="63"/>
      <c r="D1234" s="63"/>
      <c r="E1234" s="63"/>
      <c r="F1234" s="63"/>
      <c r="G1234" s="63"/>
      <c r="I1234" s="296" t="s">
        <v>792</v>
      </c>
      <c r="J1234" s="296"/>
      <c r="K1234" s="170"/>
      <c r="L1234" s="171"/>
      <c r="M1234" s="50"/>
      <c r="N1234" s="171"/>
      <c r="O1234" s="202"/>
      <c r="P1234" s="202"/>
      <c r="Q1234" s="202"/>
      <c r="R1234" s="162"/>
      <c r="S1234" s="162"/>
    </row>
    <row r="1235" spans="1:19" ht="17.25" thickBot="1">
      <c r="A1235" s="63"/>
      <c r="B1235" s="63"/>
      <c r="C1235" s="63"/>
      <c r="D1235" s="63"/>
      <c r="E1235" s="63"/>
      <c r="F1235" s="63"/>
      <c r="G1235" s="63"/>
      <c r="I1235" s="297" t="s">
        <v>793</v>
      </c>
      <c r="J1235" s="297"/>
      <c r="K1235" s="172">
        <f t="shared" ref="K1235:S1235" si="529">SUM(K1224:K1234)</f>
        <v>0</v>
      </c>
      <c r="L1235" s="205">
        <f t="shared" si="529"/>
        <v>0</v>
      </c>
      <c r="M1235" s="205">
        <f t="shared" si="529"/>
        <v>0</v>
      </c>
      <c r="N1235" s="205">
        <f t="shared" si="529"/>
        <v>0</v>
      </c>
      <c r="O1235" s="174">
        <f t="shared" si="529"/>
        <v>0</v>
      </c>
      <c r="P1235" s="174">
        <f t="shared" si="529"/>
        <v>0</v>
      </c>
      <c r="Q1235" s="174">
        <f t="shared" si="529"/>
        <v>0</v>
      </c>
      <c r="R1235" s="175">
        <f t="shared" si="529"/>
        <v>0</v>
      </c>
      <c r="S1235" s="175">
        <f t="shared" si="529"/>
        <v>0</v>
      </c>
    </row>
    <row r="1236" spans="1:19" ht="17.25" thickBot="1">
      <c r="A1236" s="63"/>
      <c r="B1236" s="63"/>
      <c r="C1236" s="63"/>
      <c r="D1236" s="63"/>
      <c r="E1236" s="63"/>
      <c r="F1236" s="63"/>
      <c r="G1236" s="63"/>
      <c r="I1236" s="298" t="s">
        <v>794</v>
      </c>
      <c r="J1236" s="299"/>
      <c r="K1236" s="176">
        <f t="shared" ref="K1236" si="530">S1215-K1235</f>
        <v>0</v>
      </c>
      <c r="L1236" s="177">
        <f t="shared" ref="L1236" si="531">K1235-L1235</f>
        <v>0</v>
      </c>
      <c r="M1236" s="177">
        <f t="shared" ref="M1236" si="532">K1235-M1235</f>
        <v>0</v>
      </c>
      <c r="N1236" s="177">
        <f t="shared" ref="N1236" si="533">K1235-N1235</f>
        <v>0</v>
      </c>
      <c r="O1236" s="178">
        <f t="shared" ref="O1236" si="534">K1235-O1235</f>
        <v>0</v>
      </c>
      <c r="P1236" s="178">
        <f t="shared" ref="P1236" si="535">K1235-P1235</f>
        <v>0</v>
      </c>
      <c r="Q1236" s="178">
        <f t="shared" ref="Q1236" si="536">K1235-Q1235</f>
        <v>0</v>
      </c>
      <c r="R1236" s="179">
        <f t="shared" ref="R1236" si="537">K1235-R1235</f>
        <v>0</v>
      </c>
      <c r="S1236" s="180">
        <f t="shared" ref="S1236" si="538">L1235-S1235</f>
        <v>0</v>
      </c>
    </row>
    <row r="1237" spans="1:19">
      <c r="A1237" s="63"/>
      <c r="B1237" s="63"/>
      <c r="C1237" s="63"/>
      <c r="D1237" s="63"/>
      <c r="E1237" s="63"/>
      <c r="F1237" s="63"/>
      <c r="G1237" s="63"/>
      <c r="I1237" s="300" t="s">
        <v>795</v>
      </c>
      <c r="J1237" s="301"/>
      <c r="K1237" s="181"/>
      <c r="L1237" s="182"/>
      <c r="M1237" s="182"/>
      <c r="N1237" s="182"/>
      <c r="O1237" s="183"/>
      <c r="P1237" s="182"/>
      <c r="Q1237" s="182"/>
      <c r="R1237" s="182"/>
      <c r="S1237" s="182"/>
    </row>
    <row r="1238" spans="1:19">
      <c r="A1238" s="63"/>
      <c r="B1238" s="63"/>
      <c r="C1238" s="63"/>
      <c r="D1238" s="63"/>
      <c r="E1238" s="63"/>
      <c r="F1238" s="63"/>
      <c r="G1238" s="63"/>
      <c r="I1238" s="302" t="s">
        <v>796</v>
      </c>
      <c r="J1238" s="302"/>
      <c r="K1238" s="184"/>
      <c r="L1238" s="203"/>
      <c r="M1238" s="203"/>
      <c r="N1238" s="203"/>
      <c r="O1238" s="203"/>
      <c r="P1238" s="203"/>
      <c r="Q1238" s="203"/>
      <c r="R1238" s="203"/>
      <c r="S1238" s="203"/>
    </row>
    <row r="1239" spans="1:19">
      <c r="A1239" s="63"/>
      <c r="B1239" s="63"/>
      <c r="C1239" s="63"/>
      <c r="D1239" s="63"/>
      <c r="E1239" s="63"/>
      <c r="F1239" s="63"/>
      <c r="G1239" s="63"/>
      <c r="I1239" s="302" t="s">
        <v>797</v>
      </c>
      <c r="J1239" s="302"/>
      <c r="K1239" s="184"/>
      <c r="L1239" s="203"/>
      <c r="M1239" s="203"/>
      <c r="N1239" s="203"/>
      <c r="O1239" s="203"/>
      <c r="P1239" s="203"/>
      <c r="Q1239" s="203"/>
      <c r="R1239" s="203"/>
      <c r="S1239" s="203"/>
    </row>
    <row r="1240" spans="1:19">
      <c r="A1240" s="63"/>
      <c r="B1240" s="63"/>
      <c r="C1240" s="63"/>
      <c r="D1240" s="63"/>
      <c r="E1240" s="63"/>
      <c r="F1240" s="63"/>
      <c r="G1240" s="63"/>
      <c r="I1240" s="303" t="s">
        <v>798</v>
      </c>
      <c r="J1240" s="303"/>
      <c r="K1240" s="184"/>
      <c r="L1240" s="185"/>
      <c r="M1240" s="185"/>
      <c r="N1240" s="185"/>
      <c r="O1240" s="185"/>
      <c r="P1240" s="204"/>
      <c r="Q1240" s="204"/>
      <c r="R1240" s="204"/>
      <c r="S1240" s="204"/>
    </row>
    <row r="1241" spans="1:19">
      <c r="A1241" s="3" t="s">
        <v>801</v>
      </c>
      <c r="B1241" s="201" t="s">
        <v>802</v>
      </c>
      <c r="C1241" s="201" t="s">
        <v>803</v>
      </c>
      <c r="D1241" s="201" t="s">
        <v>119</v>
      </c>
      <c r="E1241" s="201" t="s">
        <v>148</v>
      </c>
      <c r="F1241" s="201" t="s">
        <v>806</v>
      </c>
      <c r="G1241" s="201" t="s">
        <v>81</v>
      </c>
      <c r="I1241" s="187"/>
      <c r="J1241" s="187"/>
      <c r="K1241" s="187"/>
      <c r="L1241" s="188"/>
      <c r="M1241" s="188"/>
      <c r="N1241" s="188"/>
      <c r="O1241" s="188"/>
      <c r="P1241" s="187"/>
      <c r="Q1241" s="187"/>
      <c r="R1241" s="187"/>
      <c r="S1241" s="187"/>
    </row>
    <row r="1242" spans="1:19">
      <c r="A1242" s="293">
        <v>44101</v>
      </c>
      <c r="B1242" s="161"/>
      <c r="C1242" s="162"/>
      <c r="D1242" s="162"/>
      <c r="E1242" s="162"/>
      <c r="F1242" s="162"/>
      <c r="G1242" s="163"/>
      <c r="I1242" s="191"/>
      <c r="J1242" s="190"/>
      <c r="K1242" s="190"/>
      <c r="L1242" s="190"/>
      <c r="M1242" s="190">
        <v>44101</v>
      </c>
      <c r="N1242" s="189" t="s">
        <v>864</v>
      </c>
      <c r="O1242" s="189"/>
      <c r="P1242" s="189"/>
      <c r="Q1242" s="189"/>
      <c r="R1242" s="189"/>
      <c r="S1242" s="189"/>
    </row>
    <row r="1243" spans="1:19">
      <c r="A1243" s="294"/>
      <c r="B1243" s="164"/>
      <c r="C1243" s="165"/>
      <c r="D1243" s="165"/>
      <c r="E1243" s="165"/>
      <c r="F1243" s="165"/>
      <c r="G1243" s="166"/>
      <c r="I1243" s="304"/>
      <c r="J1243" s="304"/>
      <c r="K1243" s="167"/>
      <c r="L1243" s="168"/>
      <c r="M1243" s="168"/>
      <c r="N1243" s="168"/>
      <c r="O1243" s="169"/>
      <c r="P1243" s="169"/>
      <c r="Q1243" s="169"/>
      <c r="R1243" s="161"/>
      <c r="S1243" s="161"/>
    </row>
    <row r="1244" spans="1:19">
      <c r="A1244" s="294"/>
      <c r="B1244" s="161"/>
      <c r="C1244" s="162"/>
      <c r="D1244" s="162"/>
      <c r="E1244" s="162"/>
      <c r="F1244" s="162"/>
      <c r="G1244" s="163"/>
      <c r="I1244" s="295" t="s">
        <v>782</v>
      </c>
      <c r="J1244" s="296"/>
      <c r="K1244" s="170"/>
      <c r="L1244" s="171"/>
      <c r="M1244" s="50"/>
      <c r="N1244" s="171"/>
      <c r="O1244" s="202"/>
      <c r="P1244" s="202"/>
      <c r="Q1244" s="202"/>
      <c r="R1244" s="162"/>
      <c r="S1244" s="162"/>
    </row>
    <row r="1245" spans="1:19">
      <c r="A1245" s="294"/>
      <c r="B1245" s="164"/>
      <c r="C1245" s="165"/>
      <c r="D1245" s="165"/>
      <c r="E1245" s="165"/>
      <c r="F1245" s="165"/>
      <c r="G1245" s="166"/>
      <c r="I1245" s="295" t="s">
        <v>783</v>
      </c>
      <c r="J1245" s="295"/>
      <c r="K1245" s="170"/>
      <c r="L1245" s="171"/>
      <c r="M1245" s="50"/>
      <c r="N1245" s="171"/>
      <c r="O1245" s="202"/>
      <c r="P1245" s="202"/>
      <c r="Q1245" s="202"/>
      <c r="R1245" s="162"/>
      <c r="S1245" s="162"/>
    </row>
    <row r="1246" spans="1:19">
      <c r="A1246" s="294"/>
      <c r="B1246" s="161"/>
      <c r="C1246" s="162"/>
      <c r="D1246" s="162"/>
      <c r="E1246" s="162"/>
      <c r="F1246" s="162"/>
      <c r="G1246" s="163"/>
      <c r="I1246" s="295" t="s">
        <v>784</v>
      </c>
      <c r="J1246" s="295"/>
      <c r="K1246" s="170"/>
      <c r="L1246" s="171"/>
      <c r="M1246" s="50"/>
      <c r="N1246" s="171"/>
      <c r="O1246" s="202"/>
      <c r="P1246" s="202"/>
      <c r="Q1246" s="202"/>
      <c r="R1246" s="162"/>
      <c r="S1246" s="162"/>
    </row>
    <row r="1247" spans="1:19">
      <c r="A1247" s="294"/>
      <c r="B1247" s="164"/>
      <c r="C1247" s="165"/>
      <c r="D1247" s="165"/>
      <c r="E1247" s="165"/>
      <c r="F1247" s="165"/>
      <c r="G1247" s="166"/>
      <c r="I1247" s="295" t="s">
        <v>785</v>
      </c>
      <c r="J1247" s="295"/>
      <c r="K1247" s="170"/>
      <c r="L1247" s="171"/>
      <c r="M1247" s="50"/>
      <c r="N1247" s="171"/>
      <c r="O1247" s="202"/>
      <c r="P1247" s="202"/>
      <c r="Q1247" s="202"/>
      <c r="R1247" s="162"/>
      <c r="S1247" s="162"/>
    </row>
    <row r="1248" spans="1:19">
      <c r="A1248" s="294"/>
      <c r="B1248" s="161"/>
      <c r="C1248" s="162"/>
      <c r="D1248" s="162"/>
      <c r="E1248" s="162"/>
      <c r="F1248" s="162"/>
      <c r="G1248" s="163"/>
      <c r="I1248" s="295" t="s">
        <v>786</v>
      </c>
      <c r="J1248" s="295"/>
      <c r="K1248" s="170"/>
      <c r="L1248" s="171"/>
      <c r="M1248" s="50"/>
      <c r="N1248" s="171"/>
      <c r="O1248" s="202"/>
      <c r="P1248" s="202"/>
      <c r="Q1248" s="202"/>
      <c r="R1248" s="162"/>
      <c r="S1248" s="162"/>
    </row>
    <row r="1249" spans="1:19">
      <c r="A1249" s="294"/>
      <c r="B1249" s="164"/>
      <c r="C1249" s="165"/>
      <c r="D1249" s="165"/>
      <c r="E1249" s="165"/>
      <c r="F1249" s="165"/>
      <c r="G1249" s="166"/>
      <c r="I1249" s="295" t="s">
        <v>787</v>
      </c>
      <c r="J1249" s="295"/>
      <c r="K1249" s="170"/>
      <c r="L1249" s="171"/>
      <c r="M1249" s="50"/>
      <c r="N1249" s="171"/>
      <c r="O1249" s="202"/>
      <c r="P1249" s="202"/>
      <c r="Q1249" s="202"/>
      <c r="R1249" s="162"/>
      <c r="S1249" s="162"/>
    </row>
    <row r="1250" spans="1:19">
      <c r="A1250" s="294"/>
      <c r="B1250" s="161"/>
      <c r="C1250" s="162"/>
      <c r="D1250" s="162"/>
      <c r="E1250" s="162"/>
      <c r="F1250" s="162"/>
      <c r="G1250" s="163"/>
      <c r="I1250" s="295" t="s">
        <v>788</v>
      </c>
      <c r="J1250" s="295"/>
      <c r="K1250" s="170"/>
      <c r="L1250" s="171"/>
      <c r="M1250" s="50"/>
      <c r="N1250" s="171"/>
      <c r="O1250" s="202"/>
      <c r="P1250" s="202"/>
      <c r="Q1250" s="202"/>
      <c r="R1250" s="162"/>
      <c r="S1250" s="162"/>
    </row>
    <row r="1251" spans="1:19">
      <c r="A1251" s="294"/>
      <c r="B1251" s="164"/>
      <c r="C1251" s="165"/>
      <c r="D1251" s="165"/>
      <c r="E1251" s="165"/>
      <c r="F1251" s="165"/>
      <c r="G1251" s="166"/>
      <c r="I1251" s="295" t="s">
        <v>789</v>
      </c>
      <c r="J1251" s="295"/>
      <c r="K1251" s="170"/>
      <c r="L1251" s="171"/>
      <c r="M1251" s="50"/>
      <c r="N1251" s="171"/>
      <c r="O1251" s="202"/>
      <c r="P1251" s="202"/>
      <c r="Q1251" s="202"/>
      <c r="R1251" s="162"/>
      <c r="S1251" s="162"/>
    </row>
    <row r="1252" spans="1:19">
      <c r="A1252" s="63"/>
      <c r="B1252" s="63"/>
      <c r="C1252" s="63"/>
      <c r="D1252" s="63"/>
      <c r="E1252" s="63"/>
      <c r="F1252" s="63"/>
      <c r="G1252" s="63"/>
      <c r="I1252" s="295" t="s">
        <v>790</v>
      </c>
      <c r="J1252" s="295"/>
      <c r="K1252" s="170"/>
      <c r="L1252" s="171"/>
      <c r="M1252" s="50"/>
      <c r="N1252" s="171"/>
      <c r="O1252" s="202"/>
      <c r="P1252" s="202"/>
      <c r="Q1252" s="202"/>
      <c r="R1252" s="162"/>
      <c r="S1252" s="162"/>
    </row>
    <row r="1253" spans="1:19">
      <c r="A1253" s="63"/>
      <c r="B1253" s="63"/>
      <c r="C1253" s="63"/>
      <c r="D1253" s="63"/>
      <c r="E1253" s="63"/>
      <c r="F1253" s="63"/>
      <c r="G1253" s="63"/>
      <c r="I1253" s="295" t="s">
        <v>791</v>
      </c>
      <c r="J1253" s="295"/>
      <c r="K1253" s="170"/>
      <c r="L1253" s="171"/>
      <c r="M1253" s="50"/>
      <c r="N1253" s="171"/>
      <c r="O1253" s="202"/>
      <c r="P1253" s="202"/>
      <c r="Q1253" s="202"/>
      <c r="R1253" s="162"/>
      <c r="S1253" s="162"/>
    </row>
    <row r="1254" spans="1:19">
      <c r="A1254" s="63"/>
      <c r="B1254" s="63"/>
      <c r="C1254" s="63"/>
      <c r="D1254" s="63"/>
      <c r="E1254" s="63"/>
      <c r="F1254" s="63"/>
      <c r="G1254" s="63"/>
      <c r="I1254" s="296" t="s">
        <v>792</v>
      </c>
      <c r="J1254" s="296"/>
      <c r="K1254" s="170"/>
      <c r="L1254" s="171"/>
      <c r="M1254" s="50"/>
      <c r="N1254" s="171"/>
      <c r="O1254" s="202"/>
      <c r="P1254" s="202"/>
      <c r="Q1254" s="202"/>
      <c r="R1254" s="162"/>
      <c r="S1254" s="162"/>
    </row>
    <row r="1255" spans="1:19" ht="17.25" thickBot="1">
      <c r="A1255" s="63"/>
      <c r="B1255" s="63"/>
      <c r="C1255" s="63"/>
      <c r="D1255" s="63"/>
      <c r="E1255" s="63"/>
      <c r="F1255" s="63"/>
      <c r="G1255" s="63"/>
      <c r="I1255" s="297" t="s">
        <v>793</v>
      </c>
      <c r="J1255" s="297"/>
      <c r="K1255" s="172">
        <f t="shared" ref="K1255:S1255" si="539">SUM(K1244:K1254)</f>
        <v>0</v>
      </c>
      <c r="L1255" s="205">
        <f t="shared" si="539"/>
        <v>0</v>
      </c>
      <c r="M1255" s="205">
        <f t="shared" si="539"/>
        <v>0</v>
      </c>
      <c r="N1255" s="205">
        <f t="shared" si="539"/>
        <v>0</v>
      </c>
      <c r="O1255" s="174">
        <f t="shared" si="539"/>
        <v>0</v>
      </c>
      <c r="P1255" s="174">
        <f t="shared" si="539"/>
        <v>0</v>
      </c>
      <c r="Q1255" s="174">
        <f t="shared" si="539"/>
        <v>0</v>
      </c>
      <c r="R1255" s="175">
        <f t="shared" si="539"/>
        <v>0</v>
      </c>
      <c r="S1255" s="175">
        <f t="shared" si="539"/>
        <v>0</v>
      </c>
    </row>
    <row r="1256" spans="1:19" ht="17.25" thickBot="1">
      <c r="A1256" s="63"/>
      <c r="B1256" s="63"/>
      <c r="C1256" s="63"/>
      <c r="D1256" s="63"/>
      <c r="E1256" s="63"/>
      <c r="F1256" s="63"/>
      <c r="G1256" s="63"/>
      <c r="I1256" s="298" t="s">
        <v>794</v>
      </c>
      <c r="J1256" s="299"/>
      <c r="K1256" s="176">
        <f t="shared" ref="K1256" si="540">S1235-K1255</f>
        <v>0</v>
      </c>
      <c r="L1256" s="177">
        <f t="shared" ref="L1256" si="541">K1255-L1255</f>
        <v>0</v>
      </c>
      <c r="M1256" s="177">
        <f t="shared" ref="M1256" si="542">K1255-M1255</f>
        <v>0</v>
      </c>
      <c r="N1256" s="177">
        <f t="shared" ref="N1256" si="543">K1255-N1255</f>
        <v>0</v>
      </c>
      <c r="O1256" s="178">
        <f t="shared" ref="O1256" si="544">K1255-O1255</f>
        <v>0</v>
      </c>
      <c r="P1256" s="178">
        <f t="shared" ref="P1256" si="545">K1255-P1255</f>
        <v>0</v>
      </c>
      <c r="Q1256" s="178">
        <f t="shared" ref="Q1256" si="546">K1255-Q1255</f>
        <v>0</v>
      </c>
      <c r="R1256" s="179">
        <f t="shared" ref="R1256" si="547">K1255-R1255</f>
        <v>0</v>
      </c>
      <c r="S1256" s="180">
        <f t="shared" ref="S1256" si="548">L1255-S1255</f>
        <v>0</v>
      </c>
    </row>
    <row r="1257" spans="1:19">
      <c r="A1257" s="63"/>
      <c r="B1257" s="63"/>
      <c r="C1257" s="63"/>
      <c r="D1257" s="63"/>
      <c r="E1257" s="63"/>
      <c r="F1257" s="63"/>
      <c r="G1257" s="63"/>
      <c r="I1257" s="300" t="s">
        <v>795</v>
      </c>
      <c r="J1257" s="301"/>
      <c r="K1257" s="181"/>
      <c r="L1257" s="182"/>
      <c r="M1257" s="182"/>
      <c r="N1257" s="182"/>
      <c r="O1257" s="183"/>
      <c r="P1257" s="182"/>
      <c r="Q1257" s="182"/>
      <c r="R1257" s="182"/>
      <c r="S1257" s="182"/>
    </row>
    <row r="1258" spans="1:19">
      <c r="A1258" s="63"/>
      <c r="B1258" s="63"/>
      <c r="C1258" s="63"/>
      <c r="D1258" s="63"/>
      <c r="E1258" s="63"/>
      <c r="F1258" s="63"/>
      <c r="G1258" s="63"/>
      <c r="I1258" s="302" t="s">
        <v>796</v>
      </c>
      <c r="J1258" s="302"/>
      <c r="K1258" s="184"/>
      <c r="L1258" s="203"/>
      <c r="M1258" s="203"/>
      <c r="N1258" s="203"/>
      <c r="O1258" s="203"/>
      <c r="P1258" s="203"/>
      <c r="Q1258" s="203"/>
      <c r="R1258" s="203"/>
      <c r="S1258" s="203"/>
    </row>
    <row r="1259" spans="1:19">
      <c r="A1259" s="63"/>
      <c r="B1259" s="63"/>
      <c r="C1259" s="63"/>
      <c r="D1259" s="63"/>
      <c r="E1259" s="63"/>
      <c r="F1259" s="63"/>
      <c r="G1259" s="63"/>
      <c r="I1259" s="302" t="s">
        <v>797</v>
      </c>
      <c r="J1259" s="302"/>
      <c r="K1259" s="184"/>
      <c r="L1259" s="203"/>
      <c r="M1259" s="203"/>
      <c r="N1259" s="203"/>
      <c r="O1259" s="203"/>
      <c r="P1259" s="203"/>
      <c r="Q1259" s="203"/>
      <c r="R1259" s="203"/>
      <c r="S1259" s="203"/>
    </row>
    <row r="1260" spans="1:19">
      <c r="A1260" s="63"/>
      <c r="B1260" s="63"/>
      <c r="C1260" s="63"/>
      <c r="D1260" s="63"/>
      <c r="E1260" s="63"/>
      <c r="F1260" s="63"/>
      <c r="G1260" s="63"/>
      <c r="I1260" s="303" t="s">
        <v>798</v>
      </c>
      <c r="J1260" s="303"/>
      <c r="K1260" s="184"/>
      <c r="L1260" s="185"/>
      <c r="M1260" s="185"/>
      <c r="N1260" s="185"/>
      <c r="O1260" s="185"/>
      <c r="P1260" s="204"/>
      <c r="Q1260" s="204"/>
      <c r="R1260" s="204"/>
      <c r="S1260" s="204"/>
    </row>
    <row r="1261" spans="1:19">
      <c r="A1261" s="3" t="s">
        <v>801</v>
      </c>
      <c r="B1261" s="201" t="s">
        <v>802</v>
      </c>
      <c r="C1261" s="201" t="s">
        <v>803</v>
      </c>
      <c r="D1261" s="201" t="s">
        <v>119</v>
      </c>
      <c r="E1261" s="201" t="s">
        <v>148</v>
      </c>
      <c r="F1261" s="201" t="s">
        <v>806</v>
      </c>
      <c r="G1261" s="201" t="s">
        <v>81</v>
      </c>
      <c r="I1261" s="187"/>
      <c r="J1261" s="187"/>
      <c r="K1261" s="187"/>
      <c r="L1261" s="188"/>
      <c r="M1261" s="188"/>
      <c r="N1261" s="188"/>
      <c r="O1261" s="188"/>
      <c r="P1261" s="187"/>
      <c r="Q1261" s="187"/>
      <c r="R1261" s="187"/>
      <c r="S1261" s="187"/>
    </row>
    <row r="1262" spans="1:19">
      <c r="A1262" s="293">
        <v>44102</v>
      </c>
      <c r="B1262" s="161"/>
      <c r="C1262" s="162"/>
      <c r="D1262" s="162"/>
      <c r="E1262" s="162"/>
      <c r="F1262" s="162"/>
      <c r="G1262" s="163"/>
      <c r="I1262" s="191"/>
      <c r="J1262" s="190"/>
      <c r="K1262" s="190"/>
      <c r="L1262" s="190"/>
      <c r="M1262" s="190">
        <v>44102</v>
      </c>
      <c r="N1262" s="189" t="s">
        <v>864</v>
      </c>
      <c r="O1262" s="189"/>
      <c r="P1262" s="189"/>
      <c r="Q1262" s="189"/>
      <c r="R1262" s="189"/>
      <c r="S1262" s="189"/>
    </row>
    <row r="1263" spans="1:19">
      <c r="A1263" s="294"/>
      <c r="B1263" s="164"/>
      <c r="C1263" s="165"/>
      <c r="D1263" s="165"/>
      <c r="E1263" s="165"/>
      <c r="F1263" s="165"/>
      <c r="G1263" s="166"/>
      <c r="I1263" s="304"/>
      <c r="J1263" s="304"/>
      <c r="K1263" s="167"/>
      <c r="L1263" s="168"/>
      <c r="M1263" s="168"/>
      <c r="N1263" s="168"/>
      <c r="O1263" s="169"/>
      <c r="P1263" s="169"/>
      <c r="Q1263" s="169"/>
      <c r="R1263" s="161"/>
      <c r="S1263" s="161"/>
    </row>
    <row r="1264" spans="1:19">
      <c r="A1264" s="294"/>
      <c r="B1264" s="161"/>
      <c r="C1264" s="162"/>
      <c r="D1264" s="162"/>
      <c r="E1264" s="162"/>
      <c r="F1264" s="162"/>
      <c r="G1264" s="163"/>
      <c r="I1264" s="295" t="s">
        <v>782</v>
      </c>
      <c r="J1264" s="296"/>
      <c r="K1264" s="170"/>
      <c r="L1264" s="171"/>
      <c r="M1264" s="50"/>
      <c r="N1264" s="171"/>
      <c r="O1264" s="202"/>
      <c r="P1264" s="202"/>
      <c r="Q1264" s="202"/>
      <c r="R1264" s="162"/>
      <c r="S1264" s="162"/>
    </row>
    <row r="1265" spans="1:19">
      <c r="A1265" s="294"/>
      <c r="B1265" s="164"/>
      <c r="C1265" s="165"/>
      <c r="D1265" s="165"/>
      <c r="E1265" s="165"/>
      <c r="F1265" s="165"/>
      <c r="G1265" s="166"/>
      <c r="I1265" s="295" t="s">
        <v>783</v>
      </c>
      <c r="J1265" s="295"/>
      <c r="K1265" s="170"/>
      <c r="L1265" s="171"/>
      <c r="M1265" s="50"/>
      <c r="N1265" s="171"/>
      <c r="O1265" s="202"/>
      <c r="P1265" s="202"/>
      <c r="Q1265" s="202"/>
      <c r="R1265" s="162"/>
      <c r="S1265" s="162"/>
    </row>
    <row r="1266" spans="1:19">
      <c r="A1266" s="294"/>
      <c r="B1266" s="161"/>
      <c r="C1266" s="162"/>
      <c r="D1266" s="162"/>
      <c r="E1266" s="162"/>
      <c r="F1266" s="162"/>
      <c r="G1266" s="163"/>
      <c r="I1266" s="295" t="s">
        <v>784</v>
      </c>
      <c r="J1266" s="295"/>
      <c r="K1266" s="170"/>
      <c r="L1266" s="171"/>
      <c r="M1266" s="50"/>
      <c r="N1266" s="171"/>
      <c r="O1266" s="202"/>
      <c r="P1266" s="202"/>
      <c r="Q1266" s="202"/>
      <c r="R1266" s="162"/>
      <c r="S1266" s="162"/>
    </row>
    <row r="1267" spans="1:19">
      <c r="A1267" s="294"/>
      <c r="B1267" s="164"/>
      <c r="C1267" s="165"/>
      <c r="D1267" s="165"/>
      <c r="E1267" s="165"/>
      <c r="F1267" s="165"/>
      <c r="G1267" s="166"/>
      <c r="I1267" s="295" t="s">
        <v>785</v>
      </c>
      <c r="J1267" s="295"/>
      <c r="K1267" s="170"/>
      <c r="L1267" s="171"/>
      <c r="M1267" s="50"/>
      <c r="N1267" s="171"/>
      <c r="O1267" s="202"/>
      <c r="P1267" s="202"/>
      <c r="Q1267" s="202"/>
      <c r="R1267" s="162"/>
      <c r="S1267" s="162"/>
    </row>
    <row r="1268" spans="1:19">
      <c r="A1268" s="294"/>
      <c r="B1268" s="161"/>
      <c r="C1268" s="162"/>
      <c r="D1268" s="162"/>
      <c r="E1268" s="162"/>
      <c r="F1268" s="162"/>
      <c r="G1268" s="163"/>
      <c r="I1268" s="295" t="s">
        <v>786</v>
      </c>
      <c r="J1268" s="295"/>
      <c r="K1268" s="170"/>
      <c r="L1268" s="171"/>
      <c r="M1268" s="50"/>
      <c r="N1268" s="171"/>
      <c r="O1268" s="202"/>
      <c r="P1268" s="202"/>
      <c r="Q1268" s="202"/>
      <c r="R1268" s="162"/>
      <c r="S1268" s="162"/>
    </row>
    <row r="1269" spans="1:19">
      <c r="A1269" s="294"/>
      <c r="B1269" s="164"/>
      <c r="C1269" s="165"/>
      <c r="D1269" s="165"/>
      <c r="E1269" s="165"/>
      <c r="F1269" s="165"/>
      <c r="G1269" s="166"/>
      <c r="I1269" s="295" t="s">
        <v>787</v>
      </c>
      <c r="J1269" s="295"/>
      <c r="K1269" s="170"/>
      <c r="L1269" s="171"/>
      <c r="M1269" s="50"/>
      <c r="N1269" s="171"/>
      <c r="O1269" s="202"/>
      <c r="P1269" s="202"/>
      <c r="Q1269" s="202"/>
      <c r="R1269" s="162"/>
      <c r="S1269" s="162"/>
    </row>
    <row r="1270" spans="1:19">
      <c r="A1270" s="294"/>
      <c r="B1270" s="161"/>
      <c r="C1270" s="162"/>
      <c r="D1270" s="162"/>
      <c r="E1270" s="162"/>
      <c r="F1270" s="162"/>
      <c r="G1270" s="163"/>
      <c r="I1270" s="295" t="s">
        <v>788</v>
      </c>
      <c r="J1270" s="295"/>
      <c r="K1270" s="170"/>
      <c r="L1270" s="171"/>
      <c r="M1270" s="50"/>
      <c r="N1270" s="171"/>
      <c r="O1270" s="202"/>
      <c r="P1270" s="202"/>
      <c r="Q1270" s="202"/>
      <c r="R1270" s="162"/>
      <c r="S1270" s="162"/>
    </row>
    <row r="1271" spans="1:19">
      <c r="A1271" s="294"/>
      <c r="B1271" s="164"/>
      <c r="C1271" s="165"/>
      <c r="D1271" s="165"/>
      <c r="E1271" s="165"/>
      <c r="F1271" s="165"/>
      <c r="G1271" s="166"/>
      <c r="I1271" s="295" t="s">
        <v>789</v>
      </c>
      <c r="J1271" s="295"/>
      <c r="K1271" s="170"/>
      <c r="L1271" s="171"/>
      <c r="M1271" s="50"/>
      <c r="N1271" s="171"/>
      <c r="O1271" s="202"/>
      <c r="P1271" s="202"/>
      <c r="Q1271" s="202"/>
      <c r="R1271" s="162"/>
      <c r="S1271" s="162"/>
    </row>
    <row r="1272" spans="1:19">
      <c r="A1272" s="63"/>
      <c r="B1272" s="63"/>
      <c r="C1272" s="63"/>
      <c r="D1272" s="63"/>
      <c r="E1272" s="63"/>
      <c r="F1272" s="63"/>
      <c r="G1272" s="63"/>
      <c r="I1272" s="295" t="s">
        <v>790</v>
      </c>
      <c r="J1272" s="295"/>
      <c r="K1272" s="170"/>
      <c r="L1272" s="171"/>
      <c r="M1272" s="50"/>
      <c r="N1272" s="171"/>
      <c r="O1272" s="202"/>
      <c r="P1272" s="202"/>
      <c r="Q1272" s="202"/>
      <c r="R1272" s="162"/>
      <c r="S1272" s="162"/>
    </row>
    <row r="1273" spans="1:19">
      <c r="A1273" s="63"/>
      <c r="B1273" s="63"/>
      <c r="C1273" s="63"/>
      <c r="D1273" s="63"/>
      <c r="E1273" s="63"/>
      <c r="F1273" s="63"/>
      <c r="G1273" s="63"/>
      <c r="I1273" s="295" t="s">
        <v>791</v>
      </c>
      <c r="J1273" s="295"/>
      <c r="K1273" s="170"/>
      <c r="L1273" s="171"/>
      <c r="M1273" s="50"/>
      <c r="N1273" s="171"/>
      <c r="O1273" s="202"/>
      <c r="P1273" s="202"/>
      <c r="Q1273" s="202"/>
      <c r="R1273" s="162"/>
      <c r="S1273" s="162"/>
    </row>
    <row r="1274" spans="1:19">
      <c r="A1274" s="63"/>
      <c r="B1274" s="63"/>
      <c r="C1274" s="63"/>
      <c r="D1274" s="63"/>
      <c r="E1274" s="63"/>
      <c r="F1274" s="63"/>
      <c r="G1274" s="63"/>
      <c r="I1274" s="296" t="s">
        <v>792</v>
      </c>
      <c r="J1274" s="296"/>
      <c r="K1274" s="170"/>
      <c r="L1274" s="171"/>
      <c r="M1274" s="50"/>
      <c r="N1274" s="171"/>
      <c r="O1274" s="202"/>
      <c r="P1274" s="202"/>
      <c r="Q1274" s="202"/>
      <c r="R1274" s="162"/>
      <c r="S1274" s="162"/>
    </row>
    <row r="1275" spans="1:19" ht="17.25" thickBot="1">
      <c r="A1275" s="63"/>
      <c r="B1275" s="63"/>
      <c r="C1275" s="63"/>
      <c r="D1275" s="63"/>
      <c r="E1275" s="63"/>
      <c r="F1275" s="63"/>
      <c r="G1275" s="63"/>
      <c r="I1275" s="297" t="s">
        <v>793</v>
      </c>
      <c r="J1275" s="297"/>
      <c r="K1275" s="172">
        <f t="shared" ref="K1275:S1275" si="549">SUM(K1264:K1274)</f>
        <v>0</v>
      </c>
      <c r="L1275" s="205">
        <f t="shared" si="549"/>
        <v>0</v>
      </c>
      <c r="M1275" s="205">
        <f t="shared" si="549"/>
        <v>0</v>
      </c>
      <c r="N1275" s="205">
        <f t="shared" si="549"/>
        <v>0</v>
      </c>
      <c r="O1275" s="174">
        <f t="shared" si="549"/>
        <v>0</v>
      </c>
      <c r="P1275" s="174">
        <f t="shared" si="549"/>
        <v>0</v>
      </c>
      <c r="Q1275" s="174">
        <f t="shared" si="549"/>
        <v>0</v>
      </c>
      <c r="R1275" s="175">
        <f t="shared" si="549"/>
        <v>0</v>
      </c>
      <c r="S1275" s="175">
        <f t="shared" si="549"/>
        <v>0</v>
      </c>
    </row>
    <row r="1276" spans="1:19" ht="17.25" thickBot="1">
      <c r="A1276" s="63"/>
      <c r="B1276" s="63"/>
      <c r="C1276" s="63"/>
      <c r="D1276" s="63"/>
      <c r="E1276" s="63"/>
      <c r="F1276" s="63"/>
      <c r="G1276" s="63"/>
      <c r="I1276" s="298" t="s">
        <v>794</v>
      </c>
      <c r="J1276" s="299"/>
      <c r="K1276" s="176">
        <f t="shared" ref="K1276" si="550">S1255-K1275</f>
        <v>0</v>
      </c>
      <c r="L1276" s="177">
        <f t="shared" ref="L1276" si="551">K1275-L1275</f>
        <v>0</v>
      </c>
      <c r="M1276" s="177">
        <f t="shared" ref="M1276" si="552">K1275-M1275</f>
        <v>0</v>
      </c>
      <c r="N1276" s="177">
        <f t="shared" ref="N1276" si="553">K1275-N1275</f>
        <v>0</v>
      </c>
      <c r="O1276" s="178">
        <f t="shared" ref="O1276" si="554">K1275-O1275</f>
        <v>0</v>
      </c>
      <c r="P1276" s="178">
        <f t="shared" ref="P1276" si="555">K1275-P1275</f>
        <v>0</v>
      </c>
      <c r="Q1276" s="178">
        <f t="shared" ref="Q1276" si="556">K1275-Q1275</f>
        <v>0</v>
      </c>
      <c r="R1276" s="179">
        <f t="shared" ref="R1276" si="557">K1275-R1275</f>
        <v>0</v>
      </c>
      <c r="S1276" s="180">
        <f t="shared" ref="S1276" si="558">L1275-S1275</f>
        <v>0</v>
      </c>
    </row>
    <row r="1277" spans="1:19">
      <c r="A1277" s="63"/>
      <c r="B1277" s="63"/>
      <c r="C1277" s="63"/>
      <c r="D1277" s="63"/>
      <c r="E1277" s="63"/>
      <c r="F1277" s="63"/>
      <c r="G1277" s="63"/>
      <c r="I1277" s="300" t="s">
        <v>795</v>
      </c>
      <c r="J1277" s="301"/>
      <c r="K1277" s="181"/>
      <c r="L1277" s="182"/>
      <c r="M1277" s="182"/>
      <c r="N1277" s="182"/>
      <c r="O1277" s="183"/>
      <c r="P1277" s="182"/>
      <c r="Q1277" s="182"/>
      <c r="R1277" s="182"/>
      <c r="S1277" s="182"/>
    </row>
    <row r="1278" spans="1:19">
      <c r="A1278" s="63"/>
      <c r="B1278" s="63"/>
      <c r="C1278" s="63"/>
      <c r="D1278" s="63"/>
      <c r="E1278" s="63"/>
      <c r="F1278" s="63"/>
      <c r="G1278" s="63"/>
      <c r="I1278" s="302" t="s">
        <v>796</v>
      </c>
      <c r="J1278" s="302"/>
      <c r="K1278" s="184"/>
      <c r="L1278" s="203"/>
      <c r="M1278" s="203"/>
      <c r="N1278" s="203"/>
      <c r="O1278" s="203"/>
      <c r="P1278" s="203"/>
      <c r="Q1278" s="203"/>
      <c r="R1278" s="203"/>
      <c r="S1278" s="203"/>
    </row>
    <row r="1279" spans="1:19">
      <c r="A1279" s="63"/>
      <c r="B1279" s="63"/>
      <c r="C1279" s="63"/>
      <c r="D1279" s="63"/>
      <c r="E1279" s="63"/>
      <c r="F1279" s="63"/>
      <c r="G1279" s="63"/>
      <c r="I1279" s="302" t="s">
        <v>797</v>
      </c>
      <c r="J1279" s="302"/>
      <c r="K1279" s="184"/>
      <c r="L1279" s="203"/>
      <c r="M1279" s="203"/>
      <c r="N1279" s="203"/>
      <c r="O1279" s="203"/>
      <c r="P1279" s="203"/>
      <c r="Q1279" s="203"/>
      <c r="R1279" s="203"/>
      <c r="S1279" s="203"/>
    </row>
    <row r="1280" spans="1:19">
      <c r="A1280" s="63"/>
      <c r="B1280" s="63"/>
      <c r="C1280" s="63"/>
      <c r="D1280" s="63"/>
      <c r="E1280" s="63"/>
      <c r="F1280" s="63"/>
      <c r="G1280" s="63"/>
      <c r="I1280" s="303" t="s">
        <v>798</v>
      </c>
      <c r="J1280" s="303"/>
      <c r="K1280" s="184"/>
      <c r="L1280" s="185"/>
      <c r="M1280" s="185"/>
      <c r="N1280" s="185"/>
      <c r="O1280" s="185"/>
      <c r="P1280" s="204"/>
      <c r="Q1280" s="204"/>
      <c r="R1280" s="204"/>
      <c r="S1280" s="204"/>
    </row>
    <row r="1281" spans="1:19">
      <c r="A1281" s="3" t="s">
        <v>801</v>
      </c>
      <c r="B1281" s="201" t="s">
        <v>802</v>
      </c>
      <c r="C1281" s="201" t="s">
        <v>803</v>
      </c>
      <c r="D1281" s="201" t="s">
        <v>119</v>
      </c>
      <c r="E1281" s="201" t="s">
        <v>148</v>
      </c>
      <c r="F1281" s="201" t="s">
        <v>806</v>
      </c>
      <c r="G1281" s="201" t="s">
        <v>81</v>
      </c>
      <c r="I1281" s="187"/>
      <c r="J1281" s="187"/>
      <c r="K1281" s="187"/>
      <c r="L1281" s="188"/>
      <c r="M1281" s="188"/>
      <c r="N1281" s="188"/>
      <c r="O1281" s="188"/>
      <c r="P1281" s="187"/>
      <c r="Q1281" s="187"/>
      <c r="R1281" s="187"/>
      <c r="S1281" s="187"/>
    </row>
    <row r="1282" spans="1:19">
      <c r="A1282" s="293">
        <v>44103</v>
      </c>
      <c r="B1282" s="161"/>
      <c r="C1282" s="162"/>
      <c r="D1282" s="162"/>
      <c r="E1282" s="162"/>
      <c r="F1282" s="162"/>
      <c r="G1282" s="163"/>
      <c r="I1282" s="191"/>
      <c r="J1282" s="190"/>
      <c r="K1282" s="190"/>
      <c r="L1282" s="190"/>
      <c r="M1282" s="190">
        <v>44103</v>
      </c>
      <c r="N1282" s="189" t="s">
        <v>864</v>
      </c>
      <c r="O1282" s="189"/>
      <c r="P1282" s="189"/>
      <c r="Q1282" s="189"/>
      <c r="R1282" s="189"/>
      <c r="S1282" s="189"/>
    </row>
    <row r="1283" spans="1:19">
      <c r="A1283" s="294"/>
      <c r="B1283" s="164"/>
      <c r="C1283" s="165"/>
      <c r="D1283" s="165"/>
      <c r="E1283" s="165"/>
      <c r="F1283" s="165"/>
      <c r="G1283" s="166"/>
      <c r="I1283" s="304"/>
      <c r="J1283" s="304"/>
      <c r="K1283" s="167"/>
      <c r="L1283" s="168"/>
      <c r="M1283" s="168"/>
      <c r="N1283" s="168"/>
      <c r="O1283" s="169"/>
      <c r="P1283" s="169"/>
      <c r="Q1283" s="169"/>
      <c r="R1283" s="161"/>
      <c r="S1283" s="161"/>
    </row>
    <row r="1284" spans="1:19">
      <c r="A1284" s="294"/>
      <c r="B1284" s="161"/>
      <c r="C1284" s="162"/>
      <c r="D1284" s="162"/>
      <c r="E1284" s="162"/>
      <c r="F1284" s="162"/>
      <c r="G1284" s="163"/>
      <c r="I1284" s="295" t="s">
        <v>782</v>
      </c>
      <c r="J1284" s="296"/>
      <c r="K1284" s="170"/>
      <c r="L1284" s="171"/>
      <c r="M1284" s="50"/>
      <c r="N1284" s="171"/>
      <c r="O1284" s="202"/>
      <c r="P1284" s="202"/>
      <c r="Q1284" s="202"/>
      <c r="R1284" s="162"/>
      <c r="S1284" s="162"/>
    </row>
    <row r="1285" spans="1:19">
      <c r="A1285" s="294"/>
      <c r="B1285" s="164"/>
      <c r="C1285" s="165"/>
      <c r="D1285" s="165"/>
      <c r="E1285" s="165"/>
      <c r="F1285" s="165"/>
      <c r="G1285" s="166"/>
      <c r="I1285" s="295" t="s">
        <v>783</v>
      </c>
      <c r="J1285" s="295"/>
      <c r="K1285" s="170"/>
      <c r="L1285" s="171"/>
      <c r="M1285" s="50"/>
      <c r="N1285" s="171"/>
      <c r="O1285" s="202"/>
      <c r="P1285" s="202"/>
      <c r="Q1285" s="202"/>
      <c r="R1285" s="162"/>
      <c r="S1285" s="162"/>
    </row>
    <row r="1286" spans="1:19">
      <c r="A1286" s="294"/>
      <c r="B1286" s="161"/>
      <c r="C1286" s="162"/>
      <c r="D1286" s="162"/>
      <c r="E1286" s="162"/>
      <c r="F1286" s="162"/>
      <c r="G1286" s="163"/>
      <c r="I1286" s="295" t="s">
        <v>784</v>
      </c>
      <c r="J1286" s="295"/>
      <c r="K1286" s="170"/>
      <c r="L1286" s="171"/>
      <c r="M1286" s="50"/>
      <c r="N1286" s="171"/>
      <c r="O1286" s="202"/>
      <c r="P1286" s="202"/>
      <c r="Q1286" s="202"/>
      <c r="R1286" s="162"/>
      <c r="S1286" s="162"/>
    </row>
    <row r="1287" spans="1:19">
      <c r="A1287" s="294"/>
      <c r="B1287" s="164"/>
      <c r="C1287" s="165"/>
      <c r="D1287" s="165"/>
      <c r="E1287" s="165"/>
      <c r="F1287" s="165"/>
      <c r="G1287" s="166"/>
      <c r="I1287" s="295" t="s">
        <v>785</v>
      </c>
      <c r="J1287" s="295"/>
      <c r="K1287" s="170"/>
      <c r="L1287" s="171"/>
      <c r="M1287" s="50"/>
      <c r="N1287" s="171"/>
      <c r="O1287" s="202"/>
      <c r="P1287" s="202"/>
      <c r="Q1287" s="202"/>
      <c r="R1287" s="162"/>
      <c r="S1287" s="162"/>
    </row>
    <row r="1288" spans="1:19">
      <c r="A1288" s="294"/>
      <c r="B1288" s="161"/>
      <c r="C1288" s="162"/>
      <c r="D1288" s="162"/>
      <c r="E1288" s="162"/>
      <c r="F1288" s="162"/>
      <c r="G1288" s="163"/>
      <c r="I1288" s="295" t="s">
        <v>786</v>
      </c>
      <c r="J1288" s="295"/>
      <c r="K1288" s="170"/>
      <c r="L1288" s="171"/>
      <c r="M1288" s="50"/>
      <c r="N1288" s="171"/>
      <c r="O1288" s="202"/>
      <c r="P1288" s="202"/>
      <c r="Q1288" s="202"/>
      <c r="R1288" s="162"/>
      <c r="S1288" s="162"/>
    </row>
    <row r="1289" spans="1:19">
      <c r="A1289" s="294"/>
      <c r="B1289" s="164"/>
      <c r="C1289" s="165"/>
      <c r="D1289" s="165"/>
      <c r="E1289" s="165"/>
      <c r="F1289" s="165"/>
      <c r="G1289" s="166"/>
      <c r="I1289" s="295" t="s">
        <v>787</v>
      </c>
      <c r="J1289" s="295"/>
      <c r="K1289" s="170"/>
      <c r="L1289" s="171"/>
      <c r="M1289" s="50"/>
      <c r="N1289" s="171"/>
      <c r="O1289" s="202"/>
      <c r="P1289" s="202"/>
      <c r="Q1289" s="202"/>
      <c r="R1289" s="162"/>
      <c r="S1289" s="162"/>
    </row>
    <row r="1290" spans="1:19">
      <c r="A1290" s="294"/>
      <c r="B1290" s="161"/>
      <c r="C1290" s="162"/>
      <c r="D1290" s="162"/>
      <c r="E1290" s="162"/>
      <c r="F1290" s="162"/>
      <c r="G1290" s="163"/>
      <c r="I1290" s="295" t="s">
        <v>788</v>
      </c>
      <c r="J1290" s="295"/>
      <c r="K1290" s="170"/>
      <c r="L1290" s="171"/>
      <c r="M1290" s="50"/>
      <c r="N1290" s="171"/>
      <c r="O1290" s="202"/>
      <c r="P1290" s="202"/>
      <c r="Q1290" s="202"/>
      <c r="R1290" s="162"/>
      <c r="S1290" s="162"/>
    </row>
    <row r="1291" spans="1:19">
      <c r="A1291" s="294"/>
      <c r="B1291" s="164"/>
      <c r="C1291" s="165"/>
      <c r="D1291" s="165"/>
      <c r="E1291" s="165"/>
      <c r="F1291" s="165"/>
      <c r="G1291" s="166"/>
      <c r="I1291" s="295" t="s">
        <v>789</v>
      </c>
      <c r="J1291" s="295"/>
      <c r="K1291" s="170"/>
      <c r="L1291" s="171"/>
      <c r="M1291" s="50"/>
      <c r="N1291" s="171"/>
      <c r="O1291" s="202"/>
      <c r="P1291" s="202"/>
      <c r="Q1291" s="202"/>
      <c r="R1291" s="162"/>
      <c r="S1291" s="162"/>
    </row>
    <row r="1292" spans="1:19">
      <c r="A1292" s="63"/>
      <c r="B1292" s="63"/>
      <c r="C1292" s="63"/>
      <c r="D1292" s="63"/>
      <c r="E1292" s="63"/>
      <c r="F1292" s="63"/>
      <c r="G1292" s="63"/>
      <c r="I1292" s="295" t="s">
        <v>790</v>
      </c>
      <c r="J1292" s="295"/>
      <c r="K1292" s="170"/>
      <c r="L1292" s="171"/>
      <c r="M1292" s="50"/>
      <c r="N1292" s="171"/>
      <c r="O1292" s="202"/>
      <c r="P1292" s="202"/>
      <c r="Q1292" s="202"/>
      <c r="R1292" s="162"/>
      <c r="S1292" s="162"/>
    </row>
    <row r="1293" spans="1:19">
      <c r="A1293" s="63"/>
      <c r="B1293" s="63"/>
      <c r="C1293" s="63"/>
      <c r="D1293" s="63"/>
      <c r="E1293" s="63"/>
      <c r="F1293" s="63"/>
      <c r="G1293" s="63"/>
      <c r="I1293" s="295" t="s">
        <v>791</v>
      </c>
      <c r="J1293" s="295"/>
      <c r="K1293" s="170"/>
      <c r="L1293" s="171"/>
      <c r="M1293" s="50"/>
      <c r="N1293" s="171"/>
      <c r="O1293" s="202"/>
      <c r="P1293" s="202"/>
      <c r="Q1293" s="202"/>
      <c r="R1293" s="162"/>
      <c r="S1293" s="162"/>
    </row>
    <row r="1294" spans="1:19">
      <c r="A1294" s="63"/>
      <c r="B1294" s="63"/>
      <c r="C1294" s="63"/>
      <c r="D1294" s="63"/>
      <c r="E1294" s="63"/>
      <c r="F1294" s="63"/>
      <c r="G1294" s="63"/>
      <c r="I1294" s="296" t="s">
        <v>792</v>
      </c>
      <c r="J1294" s="296"/>
      <c r="K1294" s="170"/>
      <c r="L1294" s="171"/>
      <c r="M1294" s="50"/>
      <c r="N1294" s="171"/>
      <c r="O1294" s="202"/>
      <c r="P1294" s="202"/>
      <c r="Q1294" s="202"/>
      <c r="R1294" s="162"/>
      <c r="S1294" s="162"/>
    </row>
    <row r="1295" spans="1:19" ht="17.25" thickBot="1">
      <c r="A1295" s="63"/>
      <c r="B1295" s="63"/>
      <c r="C1295" s="63"/>
      <c r="D1295" s="63"/>
      <c r="E1295" s="63"/>
      <c r="F1295" s="63"/>
      <c r="G1295" s="63"/>
      <c r="I1295" s="297" t="s">
        <v>793</v>
      </c>
      <c r="J1295" s="297"/>
      <c r="K1295" s="172">
        <f t="shared" ref="K1295:S1295" si="559">SUM(K1284:K1294)</f>
        <v>0</v>
      </c>
      <c r="L1295" s="205">
        <f t="shared" si="559"/>
        <v>0</v>
      </c>
      <c r="M1295" s="205">
        <f t="shared" si="559"/>
        <v>0</v>
      </c>
      <c r="N1295" s="205">
        <f t="shared" si="559"/>
        <v>0</v>
      </c>
      <c r="O1295" s="174">
        <f t="shared" si="559"/>
        <v>0</v>
      </c>
      <c r="P1295" s="174">
        <f t="shared" si="559"/>
        <v>0</v>
      </c>
      <c r="Q1295" s="174">
        <f t="shared" si="559"/>
        <v>0</v>
      </c>
      <c r="R1295" s="175">
        <f t="shared" si="559"/>
        <v>0</v>
      </c>
      <c r="S1295" s="175">
        <f t="shared" si="559"/>
        <v>0</v>
      </c>
    </row>
    <row r="1296" spans="1:19" ht="17.25" thickBot="1">
      <c r="A1296" s="63"/>
      <c r="B1296" s="63"/>
      <c r="C1296" s="63"/>
      <c r="D1296" s="63"/>
      <c r="E1296" s="63"/>
      <c r="F1296" s="63"/>
      <c r="G1296" s="63"/>
      <c r="I1296" s="298" t="s">
        <v>794</v>
      </c>
      <c r="J1296" s="299"/>
      <c r="K1296" s="176">
        <f t="shared" ref="K1296" si="560">S1275-K1295</f>
        <v>0</v>
      </c>
      <c r="L1296" s="177">
        <f t="shared" ref="L1296" si="561">K1295-L1295</f>
        <v>0</v>
      </c>
      <c r="M1296" s="177">
        <f t="shared" ref="M1296" si="562">K1295-M1295</f>
        <v>0</v>
      </c>
      <c r="N1296" s="177">
        <f t="shared" ref="N1296" si="563">K1295-N1295</f>
        <v>0</v>
      </c>
      <c r="O1296" s="178">
        <f t="shared" ref="O1296" si="564">K1295-O1295</f>
        <v>0</v>
      </c>
      <c r="P1296" s="178">
        <f t="shared" ref="P1296" si="565">K1295-P1295</f>
        <v>0</v>
      </c>
      <c r="Q1296" s="178">
        <f t="shared" ref="Q1296" si="566">K1295-Q1295</f>
        <v>0</v>
      </c>
      <c r="R1296" s="179">
        <f t="shared" ref="R1296" si="567">K1295-R1295</f>
        <v>0</v>
      </c>
      <c r="S1296" s="180">
        <f t="shared" ref="S1296" si="568">L1295-S1295</f>
        <v>0</v>
      </c>
    </row>
    <row r="1297" spans="1:19">
      <c r="A1297" s="63"/>
      <c r="B1297" s="63"/>
      <c r="C1297" s="63"/>
      <c r="D1297" s="63"/>
      <c r="E1297" s="63"/>
      <c r="F1297" s="63"/>
      <c r="G1297" s="63"/>
      <c r="I1297" s="300" t="s">
        <v>795</v>
      </c>
      <c r="J1297" s="301"/>
      <c r="K1297" s="181"/>
      <c r="L1297" s="182"/>
      <c r="M1297" s="182"/>
      <c r="N1297" s="182"/>
      <c r="O1297" s="183"/>
      <c r="P1297" s="182"/>
      <c r="Q1297" s="182"/>
      <c r="R1297" s="182"/>
      <c r="S1297" s="182"/>
    </row>
    <row r="1298" spans="1:19">
      <c r="A1298" s="63"/>
      <c r="B1298" s="63"/>
      <c r="C1298" s="63"/>
      <c r="D1298" s="63"/>
      <c r="E1298" s="63"/>
      <c r="F1298" s="63"/>
      <c r="G1298" s="63"/>
      <c r="I1298" s="302" t="s">
        <v>796</v>
      </c>
      <c r="J1298" s="302"/>
      <c r="K1298" s="184"/>
      <c r="L1298" s="203"/>
      <c r="M1298" s="203"/>
      <c r="N1298" s="203"/>
      <c r="O1298" s="203"/>
      <c r="P1298" s="203"/>
      <c r="Q1298" s="203"/>
      <c r="R1298" s="203"/>
      <c r="S1298" s="203"/>
    </row>
    <row r="1299" spans="1:19">
      <c r="A1299" s="63"/>
      <c r="B1299" s="63"/>
      <c r="C1299" s="63"/>
      <c r="D1299" s="63"/>
      <c r="E1299" s="63"/>
      <c r="F1299" s="63"/>
      <c r="G1299" s="63"/>
      <c r="I1299" s="302" t="s">
        <v>797</v>
      </c>
      <c r="J1299" s="302"/>
      <c r="K1299" s="184"/>
      <c r="L1299" s="203"/>
      <c r="M1299" s="203"/>
      <c r="N1299" s="203"/>
      <c r="O1299" s="203"/>
      <c r="P1299" s="203"/>
      <c r="Q1299" s="203"/>
      <c r="R1299" s="203"/>
      <c r="S1299" s="203"/>
    </row>
    <row r="1300" spans="1:19">
      <c r="A1300" s="63"/>
      <c r="B1300" s="63"/>
      <c r="C1300" s="63"/>
      <c r="D1300" s="63"/>
      <c r="E1300" s="63"/>
      <c r="F1300" s="63"/>
      <c r="G1300" s="63"/>
      <c r="I1300" s="303" t="s">
        <v>798</v>
      </c>
      <c r="J1300" s="303"/>
      <c r="K1300" s="184"/>
      <c r="L1300" s="185"/>
      <c r="M1300" s="185"/>
      <c r="N1300" s="185"/>
      <c r="O1300" s="185"/>
      <c r="P1300" s="204"/>
      <c r="Q1300" s="204"/>
      <c r="R1300" s="204"/>
      <c r="S1300" s="204"/>
    </row>
    <row r="1301" spans="1:19">
      <c r="A1301" s="3" t="s">
        <v>801</v>
      </c>
      <c r="B1301" s="201" t="s">
        <v>802</v>
      </c>
      <c r="C1301" s="201" t="s">
        <v>803</v>
      </c>
      <c r="D1301" s="201" t="s">
        <v>119</v>
      </c>
      <c r="E1301" s="201" t="s">
        <v>148</v>
      </c>
      <c r="F1301" s="201" t="s">
        <v>806</v>
      </c>
      <c r="G1301" s="201" t="s">
        <v>81</v>
      </c>
      <c r="I1301" s="187"/>
      <c r="J1301" s="187"/>
      <c r="K1301" s="187"/>
      <c r="L1301" s="188"/>
      <c r="M1301" s="188"/>
      <c r="N1301" s="188"/>
      <c r="O1301" s="188"/>
      <c r="P1301" s="187"/>
      <c r="Q1301" s="187"/>
      <c r="R1301" s="187"/>
      <c r="S1301" s="187"/>
    </row>
    <row r="1302" spans="1:19">
      <c r="A1302" s="293">
        <v>44104</v>
      </c>
      <c r="B1302" s="161"/>
      <c r="C1302" s="162"/>
      <c r="D1302" s="162"/>
      <c r="E1302" s="162"/>
      <c r="F1302" s="162"/>
      <c r="G1302" s="163"/>
      <c r="I1302" s="191"/>
      <c r="J1302" s="190"/>
      <c r="K1302" s="190"/>
      <c r="L1302" s="190"/>
      <c r="M1302" s="190">
        <v>44104</v>
      </c>
      <c r="N1302" s="189" t="s">
        <v>864</v>
      </c>
      <c r="O1302" s="189"/>
      <c r="P1302" s="189"/>
      <c r="Q1302" s="189"/>
      <c r="R1302" s="189"/>
      <c r="S1302" s="189"/>
    </row>
    <row r="1303" spans="1:19">
      <c r="A1303" s="294"/>
      <c r="B1303" s="164"/>
      <c r="C1303" s="165"/>
      <c r="D1303" s="165"/>
      <c r="E1303" s="165"/>
      <c r="F1303" s="165"/>
      <c r="G1303" s="166"/>
      <c r="I1303" s="304"/>
      <c r="J1303" s="304"/>
      <c r="K1303" s="167"/>
      <c r="L1303" s="168"/>
      <c r="M1303" s="168"/>
      <c r="N1303" s="168"/>
      <c r="O1303" s="169"/>
      <c r="P1303" s="169"/>
      <c r="Q1303" s="169"/>
      <c r="R1303" s="161"/>
      <c r="S1303" s="161"/>
    </row>
    <row r="1304" spans="1:19">
      <c r="A1304" s="294"/>
      <c r="B1304" s="161"/>
      <c r="C1304" s="162"/>
      <c r="D1304" s="162"/>
      <c r="E1304" s="162"/>
      <c r="F1304" s="162"/>
      <c r="G1304" s="163"/>
      <c r="I1304" s="295" t="s">
        <v>782</v>
      </c>
      <c r="J1304" s="296"/>
      <c r="K1304" s="170"/>
      <c r="L1304" s="171"/>
      <c r="M1304" s="50"/>
      <c r="N1304" s="171"/>
      <c r="O1304" s="202"/>
      <c r="P1304" s="202"/>
      <c r="Q1304" s="202"/>
      <c r="R1304" s="162"/>
      <c r="S1304" s="162"/>
    </row>
    <row r="1305" spans="1:19">
      <c r="A1305" s="294"/>
      <c r="B1305" s="164"/>
      <c r="C1305" s="165"/>
      <c r="D1305" s="165"/>
      <c r="E1305" s="165"/>
      <c r="F1305" s="165"/>
      <c r="G1305" s="166"/>
      <c r="I1305" s="295" t="s">
        <v>783</v>
      </c>
      <c r="J1305" s="295"/>
      <c r="K1305" s="170"/>
      <c r="L1305" s="171"/>
      <c r="M1305" s="50"/>
      <c r="N1305" s="171"/>
      <c r="O1305" s="202"/>
      <c r="P1305" s="202"/>
      <c r="Q1305" s="202"/>
      <c r="R1305" s="162"/>
      <c r="S1305" s="162"/>
    </row>
    <row r="1306" spans="1:19">
      <c r="A1306" s="294"/>
      <c r="B1306" s="161"/>
      <c r="C1306" s="162"/>
      <c r="D1306" s="162"/>
      <c r="E1306" s="162"/>
      <c r="F1306" s="162"/>
      <c r="G1306" s="163"/>
      <c r="I1306" s="295" t="s">
        <v>784</v>
      </c>
      <c r="J1306" s="295"/>
      <c r="K1306" s="170"/>
      <c r="L1306" s="171"/>
      <c r="M1306" s="50"/>
      <c r="N1306" s="171"/>
      <c r="O1306" s="202"/>
      <c r="P1306" s="202"/>
      <c r="Q1306" s="202"/>
      <c r="R1306" s="162"/>
      <c r="S1306" s="162"/>
    </row>
    <row r="1307" spans="1:19">
      <c r="A1307" s="294"/>
      <c r="B1307" s="164"/>
      <c r="C1307" s="165"/>
      <c r="D1307" s="165"/>
      <c r="E1307" s="165"/>
      <c r="F1307" s="165"/>
      <c r="G1307" s="166"/>
      <c r="I1307" s="295" t="s">
        <v>785</v>
      </c>
      <c r="J1307" s="295"/>
      <c r="K1307" s="170"/>
      <c r="L1307" s="171"/>
      <c r="M1307" s="50"/>
      <c r="N1307" s="171"/>
      <c r="O1307" s="202"/>
      <c r="P1307" s="202"/>
      <c r="Q1307" s="202"/>
      <c r="R1307" s="162"/>
      <c r="S1307" s="162"/>
    </row>
    <row r="1308" spans="1:19">
      <c r="A1308" s="294"/>
      <c r="B1308" s="161"/>
      <c r="C1308" s="162"/>
      <c r="D1308" s="162"/>
      <c r="E1308" s="162"/>
      <c r="F1308" s="162"/>
      <c r="G1308" s="163"/>
      <c r="I1308" s="295" t="s">
        <v>786</v>
      </c>
      <c r="J1308" s="295"/>
      <c r="K1308" s="170"/>
      <c r="L1308" s="171"/>
      <c r="M1308" s="50"/>
      <c r="N1308" s="171"/>
      <c r="O1308" s="202"/>
      <c r="P1308" s="202"/>
      <c r="Q1308" s="202"/>
      <c r="R1308" s="162"/>
      <c r="S1308" s="162"/>
    </row>
    <row r="1309" spans="1:19">
      <c r="A1309" s="294"/>
      <c r="B1309" s="164"/>
      <c r="C1309" s="165"/>
      <c r="D1309" s="165"/>
      <c r="E1309" s="165"/>
      <c r="F1309" s="165"/>
      <c r="G1309" s="166"/>
      <c r="I1309" s="295" t="s">
        <v>787</v>
      </c>
      <c r="J1309" s="295"/>
      <c r="K1309" s="170"/>
      <c r="L1309" s="171"/>
      <c r="M1309" s="50"/>
      <c r="N1309" s="171"/>
      <c r="O1309" s="202"/>
      <c r="P1309" s="202"/>
      <c r="Q1309" s="202"/>
      <c r="R1309" s="162"/>
      <c r="S1309" s="162"/>
    </row>
    <row r="1310" spans="1:19">
      <c r="A1310" s="294"/>
      <c r="B1310" s="161"/>
      <c r="C1310" s="162"/>
      <c r="D1310" s="162"/>
      <c r="E1310" s="162"/>
      <c r="F1310" s="162"/>
      <c r="G1310" s="163"/>
      <c r="I1310" s="295" t="s">
        <v>788</v>
      </c>
      <c r="J1310" s="295"/>
      <c r="K1310" s="170"/>
      <c r="L1310" s="171"/>
      <c r="M1310" s="50"/>
      <c r="N1310" s="171"/>
      <c r="O1310" s="202"/>
      <c r="P1310" s="202"/>
      <c r="Q1310" s="202"/>
      <c r="R1310" s="162"/>
      <c r="S1310" s="162"/>
    </row>
    <row r="1311" spans="1:19">
      <c r="A1311" s="294"/>
      <c r="B1311" s="164"/>
      <c r="C1311" s="165"/>
      <c r="D1311" s="165"/>
      <c r="E1311" s="165"/>
      <c r="F1311" s="165"/>
      <c r="G1311" s="166"/>
      <c r="I1311" s="295" t="s">
        <v>789</v>
      </c>
      <c r="J1311" s="295"/>
      <c r="K1311" s="170"/>
      <c r="L1311" s="171"/>
      <c r="M1311" s="50"/>
      <c r="N1311" s="171"/>
      <c r="O1311" s="202"/>
      <c r="P1311" s="202"/>
      <c r="Q1311" s="202"/>
      <c r="R1311" s="162"/>
      <c r="S1311" s="162"/>
    </row>
    <row r="1312" spans="1:19">
      <c r="A1312" s="63"/>
      <c r="B1312" s="63"/>
      <c r="C1312" s="63"/>
      <c r="D1312" s="63"/>
      <c r="E1312" s="63"/>
      <c r="F1312" s="63"/>
      <c r="G1312" s="63"/>
      <c r="I1312" s="295" t="s">
        <v>790</v>
      </c>
      <c r="J1312" s="295"/>
      <c r="K1312" s="170"/>
      <c r="L1312" s="171"/>
      <c r="M1312" s="50"/>
      <c r="N1312" s="171"/>
      <c r="O1312" s="202"/>
      <c r="P1312" s="202"/>
      <c r="Q1312" s="202"/>
      <c r="R1312" s="162"/>
      <c r="S1312" s="162"/>
    </row>
    <row r="1313" spans="1:19">
      <c r="A1313" s="63"/>
      <c r="B1313" s="63"/>
      <c r="C1313" s="63"/>
      <c r="D1313" s="63"/>
      <c r="E1313" s="63"/>
      <c r="F1313" s="63"/>
      <c r="G1313" s="63"/>
      <c r="I1313" s="295" t="s">
        <v>791</v>
      </c>
      <c r="J1313" s="295"/>
      <c r="K1313" s="170"/>
      <c r="L1313" s="171"/>
      <c r="M1313" s="50"/>
      <c r="N1313" s="171"/>
      <c r="O1313" s="202"/>
      <c r="P1313" s="202"/>
      <c r="Q1313" s="202"/>
      <c r="R1313" s="162"/>
      <c r="S1313" s="162"/>
    </row>
    <row r="1314" spans="1:19">
      <c r="A1314" s="63"/>
      <c r="B1314" s="63"/>
      <c r="C1314" s="63"/>
      <c r="D1314" s="63"/>
      <c r="E1314" s="63"/>
      <c r="F1314" s="63"/>
      <c r="G1314" s="63"/>
      <c r="I1314" s="296" t="s">
        <v>792</v>
      </c>
      <c r="J1314" s="296"/>
      <c r="K1314" s="170"/>
      <c r="L1314" s="171"/>
      <c r="M1314" s="50"/>
      <c r="N1314" s="171"/>
      <c r="O1314" s="202"/>
      <c r="P1314" s="202"/>
      <c r="Q1314" s="202"/>
      <c r="R1314" s="162"/>
      <c r="S1314" s="162"/>
    </row>
    <row r="1315" spans="1:19" ht="17.25" thickBot="1">
      <c r="A1315" s="63"/>
      <c r="B1315" s="63"/>
      <c r="C1315" s="63"/>
      <c r="D1315" s="63"/>
      <c r="E1315" s="63"/>
      <c r="F1315" s="63"/>
      <c r="G1315" s="63"/>
      <c r="I1315" s="297" t="s">
        <v>793</v>
      </c>
      <c r="J1315" s="297"/>
      <c r="K1315" s="172">
        <f t="shared" ref="K1315:S1315" si="569">SUM(K1304:K1314)</f>
        <v>0</v>
      </c>
      <c r="L1315" s="205">
        <f t="shared" si="569"/>
        <v>0</v>
      </c>
      <c r="M1315" s="205">
        <f t="shared" si="569"/>
        <v>0</v>
      </c>
      <c r="N1315" s="205">
        <f t="shared" si="569"/>
        <v>0</v>
      </c>
      <c r="O1315" s="174">
        <f t="shared" si="569"/>
        <v>0</v>
      </c>
      <c r="P1315" s="174">
        <f t="shared" si="569"/>
        <v>0</v>
      </c>
      <c r="Q1315" s="174">
        <f t="shared" si="569"/>
        <v>0</v>
      </c>
      <c r="R1315" s="175">
        <f t="shared" si="569"/>
        <v>0</v>
      </c>
      <c r="S1315" s="175">
        <f t="shared" si="569"/>
        <v>0</v>
      </c>
    </row>
    <row r="1316" spans="1:19" ht="17.25" thickBot="1">
      <c r="A1316" s="63"/>
      <c r="B1316" s="63"/>
      <c r="C1316" s="63"/>
      <c r="D1316" s="63"/>
      <c r="E1316" s="63"/>
      <c r="F1316" s="63"/>
      <c r="G1316" s="63"/>
      <c r="I1316" s="298" t="s">
        <v>794</v>
      </c>
      <c r="J1316" s="299"/>
      <c r="K1316" s="176">
        <f t="shared" ref="K1316" si="570">S1295-K1315</f>
        <v>0</v>
      </c>
      <c r="L1316" s="177">
        <f t="shared" ref="L1316" si="571">K1315-L1315</f>
        <v>0</v>
      </c>
      <c r="M1316" s="177">
        <f t="shared" ref="M1316" si="572">K1315-M1315</f>
        <v>0</v>
      </c>
      <c r="N1316" s="177">
        <f t="shared" ref="N1316" si="573">K1315-N1315</f>
        <v>0</v>
      </c>
      <c r="O1316" s="178">
        <f t="shared" ref="O1316" si="574">K1315-O1315</f>
        <v>0</v>
      </c>
      <c r="P1316" s="178">
        <f t="shared" ref="P1316" si="575">K1315-P1315</f>
        <v>0</v>
      </c>
      <c r="Q1316" s="178">
        <f t="shared" ref="Q1316" si="576">K1315-Q1315</f>
        <v>0</v>
      </c>
      <c r="R1316" s="179">
        <f t="shared" ref="R1316" si="577">K1315-R1315</f>
        <v>0</v>
      </c>
      <c r="S1316" s="180">
        <f t="shared" ref="S1316" si="578">L1315-S1315</f>
        <v>0</v>
      </c>
    </row>
    <row r="1317" spans="1:19">
      <c r="A1317" s="63"/>
      <c r="B1317" s="63"/>
      <c r="C1317" s="63"/>
      <c r="D1317" s="63"/>
      <c r="E1317" s="63"/>
      <c r="F1317" s="63"/>
      <c r="G1317" s="63"/>
      <c r="I1317" s="300" t="s">
        <v>795</v>
      </c>
      <c r="J1317" s="301"/>
      <c r="K1317" s="181"/>
      <c r="L1317" s="182"/>
      <c r="M1317" s="182"/>
      <c r="N1317" s="182"/>
      <c r="O1317" s="183"/>
      <c r="P1317" s="182"/>
      <c r="Q1317" s="182"/>
      <c r="R1317" s="182"/>
      <c r="S1317" s="182"/>
    </row>
    <row r="1318" spans="1:19">
      <c r="A1318" s="63"/>
      <c r="B1318" s="63"/>
      <c r="C1318" s="63"/>
      <c r="D1318" s="63"/>
      <c r="E1318" s="63"/>
      <c r="F1318" s="63"/>
      <c r="G1318" s="63"/>
      <c r="I1318" s="302" t="s">
        <v>796</v>
      </c>
      <c r="J1318" s="302"/>
      <c r="K1318" s="184"/>
      <c r="L1318" s="203"/>
      <c r="M1318" s="203"/>
      <c r="N1318" s="203"/>
      <c r="O1318" s="203"/>
      <c r="P1318" s="203"/>
      <c r="Q1318" s="203"/>
      <c r="R1318" s="203"/>
      <c r="S1318" s="203"/>
    </row>
    <row r="1319" spans="1:19">
      <c r="A1319" s="63"/>
      <c r="B1319" s="63"/>
      <c r="C1319" s="63"/>
      <c r="D1319" s="63"/>
      <c r="E1319" s="63"/>
      <c r="F1319" s="63"/>
      <c r="G1319" s="63"/>
      <c r="I1319" s="302" t="s">
        <v>797</v>
      </c>
      <c r="J1319" s="302"/>
      <c r="K1319" s="184"/>
      <c r="L1319" s="203"/>
      <c r="M1319" s="203"/>
      <c r="N1319" s="203"/>
      <c r="O1319" s="203"/>
      <c r="P1319" s="203"/>
      <c r="Q1319" s="203"/>
      <c r="R1319" s="203"/>
      <c r="S1319" s="203"/>
    </row>
    <row r="1320" spans="1:19">
      <c r="A1320" s="63"/>
      <c r="B1320" s="63"/>
      <c r="C1320" s="63"/>
      <c r="D1320" s="63"/>
      <c r="E1320" s="63"/>
      <c r="F1320" s="63"/>
      <c r="G1320" s="63"/>
      <c r="I1320" s="303" t="s">
        <v>798</v>
      </c>
      <c r="J1320" s="303"/>
      <c r="K1320" s="184"/>
      <c r="L1320" s="185"/>
      <c r="M1320" s="185"/>
      <c r="N1320" s="185"/>
      <c r="O1320" s="185"/>
      <c r="P1320" s="204"/>
      <c r="Q1320" s="204"/>
      <c r="R1320" s="204"/>
      <c r="S1320" s="204"/>
    </row>
    <row r="1321" spans="1:19">
      <c r="A1321" s="3" t="s">
        <v>801</v>
      </c>
      <c r="B1321" s="201" t="s">
        <v>802</v>
      </c>
      <c r="C1321" s="201" t="s">
        <v>803</v>
      </c>
      <c r="D1321" s="201" t="s">
        <v>119</v>
      </c>
      <c r="E1321" s="201" t="s">
        <v>148</v>
      </c>
      <c r="F1321" s="201" t="s">
        <v>806</v>
      </c>
      <c r="G1321" s="201" t="s">
        <v>81</v>
      </c>
      <c r="I1321" s="187"/>
      <c r="J1321" s="187"/>
      <c r="K1321" s="187"/>
      <c r="L1321" s="188"/>
      <c r="M1321" s="188"/>
      <c r="N1321" s="188"/>
      <c r="O1321" s="188"/>
      <c r="P1321" s="187"/>
      <c r="Q1321" s="187"/>
      <c r="R1321" s="187"/>
      <c r="S1321" s="187"/>
    </row>
    <row r="1322" spans="1:19">
      <c r="A1322" s="293">
        <v>44105</v>
      </c>
      <c r="B1322" s="161"/>
      <c r="C1322" s="162"/>
      <c r="D1322" s="162"/>
      <c r="E1322" s="162"/>
      <c r="F1322" s="162"/>
      <c r="G1322" s="163"/>
      <c r="I1322" s="191"/>
      <c r="J1322" s="190"/>
      <c r="K1322" s="190"/>
      <c r="L1322" s="190"/>
      <c r="M1322" s="190">
        <v>44105</v>
      </c>
      <c r="N1322" s="189" t="s">
        <v>864</v>
      </c>
      <c r="O1322" s="189"/>
      <c r="P1322" s="189"/>
      <c r="Q1322" s="189"/>
      <c r="R1322" s="189"/>
      <c r="S1322" s="189"/>
    </row>
    <row r="1323" spans="1:19">
      <c r="A1323" s="294"/>
      <c r="B1323" s="164"/>
      <c r="C1323" s="165"/>
      <c r="D1323" s="165"/>
      <c r="E1323" s="165"/>
      <c r="F1323" s="165"/>
      <c r="G1323" s="166"/>
      <c r="I1323" s="304"/>
      <c r="J1323" s="304"/>
      <c r="K1323" s="167"/>
      <c r="L1323" s="168"/>
      <c r="M1323" s="168"/>
      <c r="N1323" s="168"/>
      <c r="O1323" s="169"/>
      <c r="P1323" s="169"/>
      <c r="Q1323" s="169"/>
      <c r="R1323" s="161"/>
      <c r="S1323" s="161"/>
    </row>
    <row r="1324" spans="1:19">
      <c r="A1324" s="294"/>
      <c r="B1324" s="161"/>
      <c r="C1324" s="162"/>
      <c r="D1324" s="162"/>
      <c r="E1324" s="162"/>
      <c r="F1324" s="162"/>
      <c r="G1324" s="163"/>
      <c r="I1324" s="295" t="s">
        <v>782</v>
      </c>
      <c r="J1324" s="296"/>
      <c r="K1324" s="170"/>
      <c r="L1324" s="171"/>
      <c r="M1324" s="50"/>
      <c r="N1324" s="171"/>
      <c r="O1324" s="202"/>
      <c r="P1324" s="202"/>
      <c r="Q1324" s="202"/>
      <c r="R1324" s="162"/>
      <c r="S1324" s="162"/>
    </row>
    <row r="1325" spans="1:19">
      <c r="A1325" s="294"/>
      <c r="B1325" s="164"/>
      <c r="C1325" s="165"/>
      <c r="D1325" s="165"/>
      <c r="E1325" s="165"/>
      <c r="F1325" s="165"/>
      <c r="G1325" s="166"/>
      <c r="I1325" s="295" t="s">
        <v>783</v>
      </c>
      <c r="J1325" s="295"/>
      <c r="K1325" s="170"/>
      <c r="L1325" s="171"/>
      <c r="M1325" s="50"/>
      <c r="N1325" s="171"/>
      <c r="O1325" s="202"/>
      <c r="P1325" s="202"/>
      <c r="Q1325" s="202"/>
      <c r="R1325" s="162"/>
      <c r="S1325" s="162"/>
    </row>
    <row r="1326" spans="1:19">
      <c r="A1326" s="294"/>
      <c r="B1326" s="161"/>
      <c r="C1326" s="162"/>
      <c r="D1326" s="162"/>
      <c r="E1326" s="162"/>
      <c r="F1326" s="162"/>
      <c r="G1326" s="163"/>
      <c r="I1326" s="295" t="s">
        <v>784</v>
      </c>
      <c r="J1326" s="295"/>
      <c r="K1326" s="170"/>
      <c r="L1326" s="171"/>
      <c r="M1326" s="50"/>
      <c r="N1326" s="171"/>
      <c r="O1326" s="202"/>
      <c r="P1326" s="202"/>
      <c r="Q1326" s="202"/>
      <c r="R1326" s="162"/>
      <c r="S1326" s="162"/>
    </row>
    <row r="1327" spans="1:19">
      <c r="A1327" s="294"/>
      <c r="B1327" s="164"/>
      <c r="C1327" s="165"/>
      <c r="D1327" s="165"/>
      <c r="E1327" s="165"/>
      <c r="F1327" s="165"/>
      <c r="G1327" s="166"/>
      <c r="I1327" s="295" t="s">
        <v>785</v>
      </c>
      <c r="J1327" s="295"/>
      <c r="K1327" s="170"/>
      <c r="L1327" s="171"/>
      <c r="M1327" s="50"/>
      <c r="N1327" s="171"/>
      <c r="O1327" s="202"/>
      <c r="P1327" s="202"/>
      <c r="Q1327" s="202"/>
      <c r="R1327" s="162"/>
      <c r="S1327" s="162"/>
    </row>
    <row r="1328" spans="1:19">
      <c r="A1328" s="294"/>
      <c r="B1328" s="161"/>
      <c r="C1328" s="162"/>
      <c r="D1328" s="162"/>
      <c r="E1328" s="162"/>
      <c r="F1328" s="162"/>
      <c r="G1328" s="163"/>
      <c r="I1328" s="295" t="s">
        <v>786</v>
      </c>
      <c r="J1328" s="295"/>
      <c r="K1328" s="170"/>
      <c r="L1328" s="171"/>
      <c r="M1328" s="50"/>
      <c r="N1328" s="171"/>
      <c r="O1328" s="202"/>
      <c r="P1328" s="202"/>
      <c r="Q1328" s="202"/>
      <c r="R1328" s="162"/>
      <c r="S1328" s="162"/>
    </row>
    <row r="1329" spans="1:19">
      <c r="A1329" s="294"/>
      <c r="B1329" s="164"/>
      <c r="C1329" s="165"/>
      <c r="D1329" s="165"/>
      <c r="E1329" s="165"/>
      <c r="F1329" s="165"/>
      <c r="G1329" s="166"/>
      <c r="I1329" s="295" t="s">
        <v>787</v>
      </c>
      <c r="J1329" s="295"/>
      <c r="K1329" s="170"/>
      <c r="L1329" s="171"/>
      <c r="M1329" s="50"/>
      <c r="N1329" s="171"/>
      <c r="O1329" s="202"/>
      <c r="P1329" s="202"/>
      <c r="Q1329" s="202"/>
      <c r="R1329" s="162"/>
      <c r="S1329" s="162"/>
    </row>
    <row r="1330" spans="1:19">
      <c r="A1330" s="294"/>
      <c r="B1330" s="161"/>
      <c r="C1330" s="162"/>
      <c r="D1330" s="162"/>
      <c r="E1330" s="162"/>
      <c r="F1330" s="162"/>
      <c r="G1330" s="163"/>
      <c r="I1330" s="295" t="s">
        <v>788</v>
      </c>
      <c r="J1330" s="295"/>
      <c r="K1330" s="170"/>
      <c r="L1330" s="171"/>
      <c r="M1330" s="50"/>
      <c r="N1330" s="171"/>
      <c r="O1330" s="202"/>
      <c r="P1330" s="202"/>
      <c r="Q1330" s="202"/>
      <c r="R1330" s="162"/>
      <c r="S1330" s="162"/>
    </row>
    <row r="1331" spans="1:19">
      <c r="A1331" s="294"/>
      <c r="B1331" s="164"/>
      <c r="C1331" s="165"/>
      <c r="D1331" s="165"/>
      <c r="E1331" s="165"/>
      <c r="F1331" s="165"/>
      <c r="G1331" s="166"/>
      <c r="I1331" s="295" t="s">
        <v>789</v>
      </c>
      <c r="J1331" s="295"/>
      <c r="K1331" s="170"/>
      <c r="L1331" s="171"/>
      <c r="M1331" s="50"/>
      <c r="N1331" s="171"/>
      <c r="O1331" s="202"/>
      <c r="P1331" s="202"/>
      <c r="Q1331" s="202"/>
      <c r="R1331" s="162"/>
      <c r="S1331" s="162"/>
    </row>
    <row r="1332" spans="1:19">
      <c r="A1332" s="63"/>
      <c r="B1332" s="63"/>
      <c r="C1332" s="63"/>
      <c r="D1332" s="63"/>
      <c r="E1332" s="63"/>
      <c r="F1332" s="63"/>
      <c r="G1332" s="63"/>
      <c r="I1332" s="295" t="s">
        <v>790</v>
      </c>
      <c r="J1332" s="295"/>
      <c r="K1332" s="170"/>
      <c r="L1332" s="171"/>
      <c r="M1332" s="50"/>
      <c r="N1332" s="171"/>
      <c r="O1332" s="202"/>
      <c r="P1332" s="202"/>
      <c r="Q1332" s="202"/>
      <c r="R1332" s="162"/>
      <c r="S1332" s="162"/>
    </row>
    <row r="1333" spans="1:19">
      <c r="A1333" s="63"/>
      <c r="B1333" s="63"/>
      <c r="C1333" s="63"/>
      <c r="D1333" s="63"/>
      <c r="E1333" s="63"/>
      <c r="F1333" s="63"/>
      <c r="G1333" s="63"/>
      <c r="I1333" s="295" t="s">
        <v>791</v>
      </c>
      <c r="J1333" s="295"/>
      <c r="K1333" s="170"/>
      <c r="L1333" s="171"/>
      <c r="M1333" s="50"/>
      <c r="N1333" s="171"/>
      <c r="O1333" s="202"/>
      <c r="P1333" s="202"/>
      <c r="Q1333" s="202"/>
      <c r="R1333" s="162"/>
      <c r="S1333" s="162"/>
    </row>
    <row r="1334" spans="1:19">
      <c r="A1334" s="63"/>
      <c r="B1334" s="63"/>
      <c r="C1334" s="63"/>
      <c r="D1334" s="63"/>
      <c r="E1334" s="63"/>
      <c r="F1334" s="63"/>
      <c r="G1334" s="63"/>
      <c r="I1334" s="296" t="s">
        <v>792</v>
      </c>
      <c r="J1334" s="296"/>
      <c r="K1334" s="170"/>
      <c r="L1334" s="171"/>
      <c r="M1334" s="50"/>
      <c r="N1334" s="171"/>
      <c r="O1334" s="202"/>
      <c r="P1334" s="202"/>
      <c r="Q1334" s="202"/>
      <c r="R1334" s="162"/>
      <c r="S1334" s="162"/>
    </row>
    <row r="1335" spans="1:19" ht="17.25" thickBot="1">
      <c r="A1335" s="63"/>
      <c r="B1335" s="63"/>
      <c r="C1335" s="63"/>
      <c r="D1335" s="63"/>
      <c r="E1335" s="63"/>
      <c r="F1335" s="63"/>
      <c r="G1335" s="63"/>
      <c r="I1335" s="297" t="s">
        <v>793</v>
      </c>
      <c r="J1335" s="297"/>
      <c r="K1335" s="172">
        <f t="shared" ref="K1335:S1335" si="579">SUM(K1324:K1334)</f>
        <v>0</v>
      </c>
      <c r="L1335" s="205">
        <f t="shared" si="579"/>
        <v>0</v>
      </c>
      <c r="M1335" s="205">
        <f t="shared" si="579"/>
        <v>0</v>
      </c>
      <c r="N1335" s="205">
        <f t="shared" si="579"/>
        <v>0</v>
      </c>
      <c r="O1335" s="174">
        <f t="shared" si="579"/>
        <v>0</v>
      </c>
      <c r="P1335" s="174">
        <f t="shared" si="579"/>
        <v>0</v>
      </c>
      <c r="Q1335" s="174">
        <f t="shared" si="579"/>
        <v>0</v>
      </c>
      <c r="R1335" s="175">
        <f t="shared" si="579"/>
        <v>0</v>
      </c>
      <c r="S1335" s="175">
        <f t="shared" si="579"/>
        <v>0</v>
      </c>
    </row>
    <row r="1336" spans="1:19" ht="17.25" thickBot="1">
      <c r="A1336" s="63"/>
      <c r="B1336" s="63"/>
      <c r="C1336" s="63"/>
      <c r="D1336" s="63"/>
      <c r="E1336" s="63"/>
      <c r="F1336" s="63"/>
      <c r="G1336" s="63"/>
      <c r="I1336" s="298" t="s">
        <v>794</v>
      </c>
      <c r="J1336" s="299"/>
      <c r="K1336" s="176">
        <f t="shared" ref="K1336" si="580">S1315-K1335</f>
        <v>0</v>
      </c>
      <c r="L1336" s="177">
        <f t="shared" ref="L1336" si="581">K1335-L1335</f>
        <v>0</v>
      </c>
      <c r="M1336" s="177">
        <f t="shared" ref="M1336" si="582">K1335-M1335</f>
        <v>0</v>
      </c>
      <c r="N1336" s="177">
        <f t="shared" ref="N1336" si="583">K1335-N1335</f>
        <v>0</v>
      </c>
      <c r="O1336" s="178">
        <f t="shared" ref="O1336" si="584">K1335-O1335</f>
        <v>0</v>
      </c>
      <c r="P1336" s="178">
        <f t="shared" ref="P1336" si="585">K1335-P1335</f>
        <v>0</v>
      </c>
      <c r="Q1336" s="178">
        <f t="shared" ref="Q1336" si="586">K1335-Q1335</f>
        <v>0</v>
      </c>
      <c r="R1336" s="179">
        <f t="shared" ref="R1336" si="587">K1335-R1335</f>
        <v>0</v>
      </c>
      <c r="S1336" s="180">
        <f t="shared" ref="S1336" si="588">L1335-S1335</f>
        <v>0</v>
      </c>
    </row>
    <row r="1337" spans="1:19">
      <c r="A1337" s="63"/>
      <c r="B1337" s="63"/>
      <c r="C1337" s="63"/>
      <c r="D1337" s="63"/>
      <c r="E1337" s="63"/>
      <c r="F1337" s="63"/>
      <c r="G1337" s="63"/>
      <c r="I1337" s="300" t="s">
        <v>795</v>
      </c>
      <c r="J1337" s="301"/>
      <c r="K1337" s="181"/>
      <c r="L1337" s="182"/>
      <c r="M1337" s="182"/>
      <c r="N1337" s="182"/>
      <c r="O1337" s="183"/>
      <c r="P1337" s="182"/>
      <c r="Q1337" s="182"/>
      <c r="R1337" s="182"/>
      <c r="S1337" s="182"/>
    </row>
    <row r="1338" spans="1:19">
      <c r="A1338" s="63"/>
      <c r="B1338" s="63"/>
      <c r="C1338" s="63"/>
      <c r="D1338" s="63"/>
      <c r="E1338" s="63"/>
      <c r="F1338" s="63"/>
      <c r="G1338" s="63"/>
      <c r="I1338" s="302" t="s">
        <v>796</v>
      </c>
      <c r="J1338" s="302"/>
      <c r="K1338" s="184"/>
      <c r="L1338" s="203"/>
      <c r="M1338" s="203"/>
      <c r="N1338" s="203"/>
      <c r="O1338" s="203"/>
      <c r="P1338" s="203"/>
      <c r="Q1338" s="203"/>
      <c r="R1338" s="203"/>
      <c r="S1338" s="203"/>
    </row>
    <row r="1339" spans="1:19">
      <c r="A1339" s="63"/>
      <c r="B1339" s="63"/>
      <c r="C1339" s="63"/>
      <c r="D1339" s="63"/>
      <c r="E1339" s="63"/>
      <c r="F1339" s="63"/>
      <c r="G1339" s="63"/>
      <c r="I1339" s="302" t="s">
        <v>797</v>
      </c>
      <c r="J1339" s="302"/>
      <c r="K1339" s="184"/>
      <c r="L1339" s="203"/>
      <c r="M1339" s="203"/>
      <c r="N1339" s="203"/>
      <c r="O1339" s="203"/>
      <c r="P1339" s="203"/>
      <c r="Q1339" s="203"/>
      <c r="R1339" s="203"/>
      <c r="S1339" s="203"/>
    </row>
    <row r="1340" spans="1:19">
      <c r="A1340" s="63"/>
      <c r="B1340" s="63"/>
      <c r="C1340" s="63"/>
      <c r="D1340" s="63"/>
      <c r="E1340" s="63"/>
      <c r="F1340" s="63"/>
      <c r="G1340" s="63"/>
      <c r="I1340" s="303" t="s">
        <v>798</v>
      </c>
      <c r="J1340" s="303"/>
      <c r="K1340" s="184"/>
      <c r="L1340" s="185"/>
      <c r="M1340" s="185"/>
      <c r="N1340" s="185"/>
      <c r="O1340" s="185"/>
      <c r="P1340" s="204"/>
      <c r="Q1340" s="204"/>
      <c r="R1340" s="204"/>
      <c r="S1340" s="204"/>
    </row>
    <row r="1341" spans="1:19">
      <c r="A1341" s="3" t="s">
        <v>801</v>
      </c>
      <c r="B1341" s="201" t="s">
        <v>802</v>
      </c>
      <c r="C1341" s="201" t="s">
        <v>803</v>
      </c>
      <c r="D1341" s="201" t="s">
        <v>119</v>
      </c>
      <c r="E1341" s="201" t="s">
        <v>148</v>
      </c>
      <c r="F1341" s="201" t="s">
        <v>806</v>
      </c>
      <c r="G1341" s="201" t="s">
        <v>81</v>
      </c>
      <c r="I1341" s="187"/>
      <c r="J1341" s="187"/>
      <c r="K1341" s="187"/>
      <c r="L1341" s="188"/>
      <c r="M1341" s="188"/>
      <c r="N1341" s="188"/>
      <c r="O1341" s="188"/>
      <c r="P1341" s="187"/>
      <c r="Q1341" s="187"/>
      <c r="R1341" s="187"/>
      <c r="S1341" s="187"/>
    </row>
    <row r="1342" spans="1:19">
      <c r="A1342" s="293">
        <v>44106</v>
      </c>
      <c r="B1342" s="161"/>
      <c r="C1342" s="162"/>
      <c r="D1342" s="162"/>
      <c r="E1342" s="162"/>
      <c r="F1342" s="162"/>
      <c r="G1342" s="163"/>
      <c r="I1342" s="191"/>
      <c r="J1342" s="190"/>
      <c r="K1342" s="190"/>
      <c r="L1342" s="190"/>
      <c r="M1342" s="190">
        <v>44106</v>
      </c>
      <c r="N1342" s="189" t="s">
        <v>864</v>
      </c>
      <c r="O1342" s="189"/>
      <c r="P1342" s="189"/>
      <c r="Q1342" s="189"/>
      <c r="R1342" s="189"/>
      <c r="S1342" s="189"/>
    </row>
    <row r="1343" spans="1:19">
      <c r="A1343" s="294"/>
      <c r="B1343" s="164"/>
      <c r="C1343" s="165"/>
      <c r="D1343" s="165"/>
      <c r="E1343" s="165"/>
      <c r="F1343" s="165"/>
      <c r="G1343" s="166"/>
      <c r="I1343" s="304"/>
      <c r="J1343" s="304"/>
      <c r="K1343" s="167"/>
      <c r="L1343" s="168"/>
      <c r="M1343" s="168"/>
      <c r="N1343" s="168"/>
      <c r="O1343" s="169"/>
      <c r="P1343" s="169"/>
      <c r="Q1343" s="169"/>
      <c r="R1343" s="161"/>
      <c r="S1343" s="161"/>
    </row>
    <row r="1344" spans="1:19">
      <c r="A1344" s="294"/>
      <c r="B1344" s="161"/>
      <c r="C1344" s="162"/>
      <c r="D1344" s="162"/>
      <c r="E1344" s="162"/>
      <c r="F1344" s="162"/>
      <c r="G1344" s="163"/>
      <c r="I1344" s="295" t="s">
        <v>782</v>
      </c>
      <c r="J1344" s="296"/>
      <c r="K1344" s="170"/>
      <c r="L1344" s="171"/>
      <c r="M1344" s="50"/>
      <c r="N1344" s="171"/>
      <c r="O1344" s="202"/>
      <c r="P1344" s="202"/>
      <c r="Q1344" s="202"/>
      <c r="R1344" s="162"/>
      <c r="S1344" s="162"/>
    </row>
    <row r="1345" spans="1:19">
      <c r="A1345" s="294"/>
      <c r="B1345" s="164"/>
      <c r="C1345" s="165"/>
      <c r="D1345" s="165"/>
      <c r="E1345" s="165"/>
      <c r="F1345" s="165"/>
      <c r="G1345" s="166"/>
      <c r="I1345" s="295" t="s">
        <v>783</v>
      </c>
      <c r="J1345" s="295"/>
      <c r="K1345" s="170"/>
      <c r="L1345" s="171"/>
      <c r="M1345" s="50"/>
      <c r="N1345" s="171"/>
      <c r="O1345" s="202"/>
      <c r="P1345" s="202"/>
      <c r="Q1345" s="202"/>
      <c r="R1345" s="162"/>
      <c r="S1345" s="162"/>
    </row>
    <row r="1346" spans="1:19">
      <c r="A1346" s="294"/>
      <c r="B1346" s="161"/>
      <c r="C1346" s="162"/>
      <c r="D1346" s="162"/>
      <c r="E1346" s="162"/>
      <c r="F1346" s="162"/>
      <c r="G1346" s="163"/>
      <c r="I1346" s="295" t="s">
        <v>784</v>
      </c>
      <c r="J1346" s="295"/>
      <c r="K1346" s="170"/>
      <c r="L1346" s="171"/>
      <c r="M1346" s="50"/>
      <c r="N1346" s="171"/>
      <c r="O1346" s="202"/>
      <c r="P1346" s="202"/>
      <c r="Q1346" s="202"/>
      <c r="R1346" s="162"/>
      <c r="S1346" s="162"/>
    </row>
    <row r="1347" spans="1:19">
      <c r="A1347" s="294"/>
      <c r="B1347" s="164"/>
      <c r="C1347" s="165"/>
      <c r="D1347" s="165"/>
      <c r="E1347" s="165"/>
      <c r="F1347" s="165"/>
      <c r="G1347" s="166"/>
      <c r="I1347" s="295" t="s">
        <v>785</v>
      </c>
      <c r="J1347" s="295"/>
      <c r="K1347" s="170"/>
      <c r="L1347" s="171"/>
      <c r="M1347" s="50"/>
      <c r="N1347" s="171"/>
      <c r="O1347" s="202"/>
      <c r="P1347" s="202"/>
      <c r="Q1347" s="202"/>
      <c r="R1347" s="162"/>
      <c r="S1347" s="162"/>
    </row>
    <row r="1348" spans="1:19">
      <c r="A1348" s="294"/>
      <c r="B1348" s="161"/>
      <c r="C1348" s="162"/>
      <c r="D1348" s="162"/>
      <c r="E1348" s="162"/>
      <c r="F1348" s="162"/>
      <c r="G1348" s="163"/>
      <c r="I1348" s="295" t="s">
        <v>786</v>
      </c>
      <c r="J1348" s="295"/>
      <c r="K1348" s="170"/>
      <c r="L1348" s="171"/>
      <c r="M1348" s="50"/>
      <c r="N1348" s="171"/>
      <c r="O1348" s="202"/>
      <c r="P1348" s="202"/>
      <c r="Q1348" s="202"/>
      <c r="R1348" s="162"/>
      <c r="S1348" s="162"/>
    </row>
    <row r="1349" spans="1:19">
      <c r="A1349" s="294"/>
      <c r="B1349" s="164"/>
      <c r="C1349" s="165"/>
      <c r="D1349" s="165"/>
      <c r="E1349" s="165"/>
      <c r="F1349" s="165"/>
      <c r="G1349" s="166"/>
      <c r="I1349" s="295" t="s">
        <v>787</v>
      </c>
      <c r="J1349" s="295"/>
      <c r="K1349" s="170"/>
      <c r="L1349" s="171"/>
      <c r="M1349" s="50"/>
      <c r="N1349" s="171"/>
      <c r="O1349" s="202"/>
      <c r="P1349" s="202"/>
      <c r="Q1349" s="202"/>
      <c r="R1349" s="162"/>
      <c r="S1349" s="162"/>
    </row>
    <row r="1350" spans="1:19">
      <c r="A1350" s="294"/>
      <c r="B1350" s="161"/>
      <c r="C1350" s="162"/>
      <c r="D1350" s="162"/>
      <c r="E1350" s="162"/>
      <c r="F1350" s="162"/>
      <c r="G1350" s="163"/>
      <c r="I1350" s="295" t="s">
        <v>788</v>
      </c>
      <c r="J1350" s="295"/>
      <c r="K1350" s="170"/>
      <c r="L1350" s="171"/>
      <c r="M1350" s="50"/>
      <c r="N1350" s="171"/>
      <c r="O1350" s="202"/>
      <c r="P1350" s="202"/>
      <c r="Q1350" s="202"/>
      <c r="R1350" s="162"/>
      <c r="S1350" s="162"/>
    </row>
    <row r="1351" spans="1:19">
      <c r="A1351" s="294"/>
      <c r="B1351" s="164"/>
      <c r="C1351" s="165"/>
      <c r="D1351" s="165"/>
      <c r="E1351" s="165"/>
      <c r="F1351" s="165"/>
      <c r="G1351" s="166"/>
      <c r="I1351" s="295" t="s">
        <v>789</v>
      </c>
      <c r="J1351" s="295"/>
      <c r="K1351" s="170"/>
      <c r="L1351" s="171"/>
      <c r="M1351" s="50"/>
      <c r="N1351" s="171"/>
      <c r="O1351" s="202"/>
      <c r="P1351" s="202"/>
      <c r="Q1351" s="202"/>
      <c r="R1351" s="162"/>
      <c r="S1351" s="162"/>
    </row>
    <row r="1352" spans="1:19">
      <c r="A1352" s="63"/>
      <c r="B1352" s="63"/>
      <c r="C1352" s="63"/>
      <c r="D1352" s="63"/>
      <c r="E1352" s="63"/>
      <c r="F1352" s="63"/>
      <c r="G1352" s="63"/>
      <c r="I1352" s="295" t="s">
        <v>790</v>
      </c>
      <c r="J1352" s="295"/>
      <c r="K1352" s="170"/>
      <c r="L1352" s="171"/>
      <c r="M1352" s="50"/>
      <c r="N1352" s="171"/>
      <c r="O1352" s="202"/>
      <c r="P1352" s="202"/>
      <c r="Q1352" s="202"/>
      <c r="R1352" s="162"/>
      <c r="S1352" s="162"/>
    </row>
    <row r="1353" spans="1:19">
      <c r="A1353" s="63"/>
      <c r="B1353" s="63"/>
      <c r="C1353" s="63"/>
      <c r="D1353" s="63"/>
      <c r="E1353" s="63"/>
      <c r="F1353" s="63"/>
      <c r="G1353" s="63"/>
      <c r="I1353" s="295" t="s">
        <v>791</v>
      </c>
      <c r="J1353" s="295"/>
      <c r="K1353" s="170"/>
      <c r="L1353" s="171"/>
      <c r="M1353" s="50"/>
      <c r="N1353" s="171"/>
      <c r="O1353" s="202"/>
      <c r="P1353" s="202"/>
      <c r="Q1353" s="202"/>
      <c r="R1353" s="162"/>
      <c r="S1353" s="162"/>
    </row>
    <row r="1354" spans="1:19">
      <c r="A1354" s="63"/>
      <c r="B1354" s="63"/>
      <c r="C1354" s="63"/>
      <c r="D1354" s="63"/>
      <c r="E1354" s="63"/>
      <c r="F1354" s="63"/>
      <c r="G1354" s="63"/>
      <c r="I1354" s="296" t="s">
        <v>792</v>
      </c>
      <c r="J1354" s="296"/>
      <c r="K1354" s="170"/>
      <c r="L1354" s="171"/>
      <c r="M1354" s="50"/>
      <c r="N1354" s="171"/>
      <c r="O1354" s="202"/>
      <c r="P1354" s="202"/>
      <c r="Q1354" s="202"/>
      <c r="R1354" s="162"/>
      <c r="S1354" s="162"/>
    </row>
    <row r="1355" spans="1:19" ht="17.25" thickBot="1">
      <c r="A1355" s="63"/>
      <c r="B1355" s="63"/>
      <c r="C1355" s="63"/>
      <c r="D1355" s="63"/>
      <c r="E1355" s="63"/>
      <c r="F1355" s="63"/>
      <c r="G1355" s="63"/>
      <c r="I1355" s="297" t="s">
        <v>793</v>
      </c>
      <c r="J1355" s="297"/>
      <c r="K1355" s="172">
        <f t="shared" ref="K1355:S1355" si="589">SUM(K1344:K1354)</f>
        <v>0</v>
      </c>
      <c r="L1355" s="205">
        <f t="shared" si="589"/>
        <v>0</v>
      </c>
      <c r="M1355" s="205">
        <f t="shared" si="589"/>
        <v>0</v>
      </c>
      <c r="N1355" s="205">
        <f t="shared" si="589"/>
        <v>0</v>
      </c>
      <c r="O1355" s="174">
        <f t="shared" si="589"/>
        <v>0</v>
      </c>
      <c r="P1355" s="174">
        <f t="shared" si="589"/>
        <v>0</v>
      </c>
      <c r="Q1355" s="174">
        <f t="shared" si="589"/>
        <v>0</v>
      </c>
      <c r="R1355" s="175">
        <f t="shared" si="589"/>
        <v>0</v>
      </c>
      <c r="S1355" s="175">
        <f t="shared" si="589"/>
        <v>0</v>
      </c>
    </row>
    <row r="1356" spans="1:19" ht="17.25" thickBot="1">
      <c r="A1356" s="63"/>
      <c r="B1356" s="63"/>
      <c r="C1356" s="63"/>
      <c r="D1356" s="63"/>
      <c r="E1356" s="63"/>
      <c r="F1356" s="63"/>
      <c r="G1356" s="63"/>
      <c r="I1356" s="298" t="s">
        <v>794</v>
      </c>
      <c r="J1356" s="299"/>
      <c r="K1356" s="176">
        <f t="shared" ref="K1356" si="590">S1335-K1355</f>
        <v>0</v>
      </c>
      <c r="L1356" s="177">
        <f t="shared" ref="L1356" si="591">K1355-L1355</f>
        <v>0</v>
      </c>
      <c r="M1356" s="177">
        <f t="shared" ref="M1356" si="592">K1355-M1355</f>
        <v>0</v>
      </c>
      <c r="N1356" s="177">
        <f t="shared" ref="N1356" si="593">K1355-N1355</f>
        <v>0</v>
      </c>
      <c r="O1356" s="178">
        <f t="shared" ref="O1356" si="594">K1355-O1355</f>
        <v>0</v>
      </c>
      <c r="P1356" s="178">
        <f t="shared" ref="P1356" si="595">K1355-P1355</f>
        <v>0</v>
      </c>
      <c r="Q1356" s="178">
        <f t="shared" ref="Q1356" si="596">K1355-Q1355</f>
        <v>0</v>
      </c>
      <c r="R1356" s="179">
        <f t="shared" ref="R1356" si="597">K1355-R1355</f>
        <v>0</v>
      </c>
      <c r="S1356" s="180">
        <f t="shared" ref="S1356" si="598">L1355-S1355</f>
        <v>0</v>
      </c>
    </row>
    <row r="1357" spans="1:19">
      <c r="A1357" s="63"/>
      <c r="B1357" s="63"/>
      <c r="C1357" s="63"/>
      <c r="D1357" s="63"/>
      <c r="E1357" s="63"/>
      <c r="F1357" s="63"/>
      <c r="G1357" s="63"/>
      <c r="I1357" s="300" t="s">
        <v>795</v>
      </c>
      <c r="J1357" s="301"/>
      <c r="K1357" s="181"/>
      <c r="L1357" s="182"/>
      <c r="M1357" s="182"/>
      <c r="N1357" s="182"/>
      <c r="O1357" s="183"/>
      <c r="P1357" s="182"/>
      <c r="Q1357" s="182"/>
      <c r="R1357" s="182"/>
      <c r="S1357" s="182"/>
    </row>
    <row r="1358" spans="1:19">
      <c r="A1358" s="63"/>
      <c r="B1358" s="63"/>
      <c r="C1358" s="63"/>
      <c r="D1358" s="63"/>
      <c r="E1358" s="63"/>
      <c r="F1358" s="63"/>
      <c r="G1358" s="63"/>
      <c r="I1358" s="302" t="s">
        <v>796</v>
      </c>
      <c r="J1358" s="302"/>
      <c r="K1358" s="184"/>
      <c r="L1358" s="203"/>
      <c r="M1358" s="203"/>
      <c r="N1358" s="203"/>
      <c r="O1358" s="203"/>
      <c r="P1358" s="203"/>
      <c r="Q1358" s="203"/>
      <c r="R1358" s="203"/>
      <c r="S1358" s="203"/>
    </row>
    <row r="1359" spans="1:19">
      <c r="A1359" s="63"/>
      <c r="B1359" s="63"/>
      <c r="C1359" s="63"/>
      <c r="D1359" s="63"/>
      <c r="E1359" s="63"/>
      <c r="F1359" s="63"/>
      <c r="G1359" s="63"/>
      <c r="I1359" s="302" t="s">
        <v>797</v>
      </c>
      <c r="J1359" s="302"/>
      <c r="K1359" s="184"/>
      <c r="L1359" s="203"/>
      <c r="M1359" s="203"/>
      <c r="N1359" s="203"/>
      <c r="O1359" s="203"/>
      <c r="P1359" s="203"/>
      <c r="Q1359" s="203"/>
      <c r="R1359" s="203"/>
      <c r="S1359" s="203"/>
    </row>
    <row r="1360" spans="1:19">
      <c r="A1360" s="63"/>
      <c r="B1360" s="63"/>
      <c r="C1360" s="63"/>
      <c r="D1360" s="63"/>
      <c r="E1360" s="63"/>
      <c r="F1360" s="63"/>
      <c r="G1360" s="63"/>
      <c r="I1360" s="303" t="s">
        <v>798</v>
      </c>
      <c r="J1360" s="303"/>
      <c r="K1360" s="184"/>
      <c r="L1360" s="185"/>
      <c r="M1360" s="185"/>
      <c r="N1360" s="185"/>
      <c r="O1360" s="185"/>
      <c r="P1360" s="204"/>
      <c r="Q1360" s="204"/>
      <c r="R1360" s="204"/>
      <c r="S1360" s="204"/>
    </row>
    <row r="1361" spans="1:19">
      <c r="A1361" s="3" t="s">
        <v>801</v>
      </c>
      <c r="B1361" s="201" t="s">
        <v>802</v>
      </c>
      <c r="C1361" s="201" t="s">
        <v>803</v>
      </c>
      <c r="D1361" s="201" t="s">
        <v>119</v>
      </c>
      <c r="E1361" s="201" t="s">
        <v>148</v>
      </c>
      <c r="F1361" s="201" t="s">
        <v>806</v>
      </c>
      <c r="G1361" s="201" t="s">
        <v>81</v>
      </c>
      <c r="I1361" s="187"/>
      <c r="J1361" s="187"/>
      <c r="K1361" s="187"/>
      <c r="L1361" s="188"/>
      <c r="M1361" s="188"/>
      <c r="N1361" s="188"/>
      <c r="O1361" s="188"/>
      <c r="P1361" s="187"/>
      <c r="Q1361" s="187"/>
      <c r="R1361" s="187"/>
      <c r="S1361" s="187"/>
    </row>
    <row r="1362" spans="1:19">
      <c r="A1362" s="293">
        <v>44107</v>
      </c>
      <c r="B1362" s="161"/>
      <c r="C1362" s="162"/>
      <c r="D1362" s="162"/>
      <c r="E1362" s="162"/>
      <c r="F1362" s="162"/>
      <c r="G1362" s="163"/>
      <c r="I1362" s="191"/>
      <c r="J1362" s="190"/>
      <c r="K1362" s="190"/>
      <c r="L1362" s="190"/>
      <c r="M1362" s="190">
        <v>44107</v>
      </c>
      <c r="N1362" s="189" t="s">
        <v>864</v>
      </c>
      <c r="O1362" s="189"/>
      <c r="P1362" s="189"/>
      <c r="Q1362" s="189"/>
      <c r="R1362" s="189"/>
      <c r="S1362" s="189"/>
    </row>
    <row r="1363" spans="1:19">
      <c r="A1363" s="294"/>
      <c r="B1363" s="164"/>
      <c r="C1363" s="165"/>
      <c r="D1363" s="165"/>
      <c r="E1363" s="165"/>
      <c r="F1363" s="165"/>
      <c r="G1363" s="166"/>
      <c r="I1363" s="304"/>
      <c r="J1363" s="304"/>
      <c r="K1363" s="167"/>
      <c r="L1363" s="168"/>
      <c r="M1363" s="168"/>
      <c r="N1363" s="168"/>
      <c r="O1363" s="169"/>
      <c r="P1363" s="169"/>
      <c r="Q1363" s="169"/>
      <c r="R1363" s="161"/>
      <c r="S1363" s="161"/>
    </row>
    <row r="1364" spans="1:19">
      <c r="A1364" s="294"/>
      <c r="B1364" s="161"/>
      <c r="C1364" s="162"/>
      <c r="D1364" s="162"/>
      <c r="E1364" s="162"/>
      <c r="F1364" s="162"/>
      <c r="G1364" s="163"/>
      <c r="I1364" s="295" t="s">
        <v>782</v>
      </c>
      <c r="J1364" s="296"/>
      <c r="K1364" s="170"/>
      <c r="L1364" s="171"/>
      <c r="M1364" s="50"/>
      <c r="N1364" s="171"/>
      <c r="O1364" s="202"/>
      <c r="P1364" s="202"/>
      <c r="Q1364" s="202"/>
      <c r="R1364" s="162"/>
      <c r="S1364" s="162"/>
    </row>
    <row r="1365" spans="1:19">
      <c r="A1365" s="294"/>
      <c r="B1365" s="164"/>
      <c r="C1365" s="165"/>
      <c r="D1365" s="165"/>
      <c r="E1365" s="165"/>
      <c r="F1365" s="165"/>
      <c r="G1365" s="166"/>
      <c r="I1365" s="295" t="s">
        <v>783</v>
      </c>
      <c r="J1365" s="295"/>
      <c r="K1365" s="170"/>
      <c r="L1365" s="171"/>
      <c r="M1365" s="50"/>
      <c r="N1365" s="171"/>
      <c r="O1365" s="202"/>
      <c r="P1365" s="202"/>
      <c r="Q1365" s="202"/>
      <c r="R1365" s="162"/>
      <c r="S1365" s="162"/>
    </row>
    <row r="1366" spans="1:19">
      <c r="A1366" s="294"/>
      <c r="B1366" s="161"/>
      <c r="C1366" s="162"/>
      <c r="D1366" s="162"/>
      <c r="E1366" s="162"/>
      <c r="F1366" s="162"/>
      <c r="G1366" s="163"/>
      <c r="I1366" s="295" t="s">
        <v>784</v>
      </c>
      <c r="J1366" s="295"/>
      <c r="K1366" s="170"/>
      <c r="L1366" s="171"/>
      <c r="M1366" s="50"/>
      <c r="N1366" s="171"/>
      <c r="O1366" s="202"/>
      <c r="P1366" s="202"/>
      <c r="Q1366" s="202"/>
      <c r="R1366" s="162"/>
      <c r="S1366" s="162"/>
    </row>
    <row r="1367" spans="1:19">
      <c r="A1367" s="294"/>
      <c r="B1367" s="164"/>
      <c r="C1367" s="165"/>
      <c r="D1367" s="165"/>
      <c r="E1367" s="165"/>
      <c r="F1367" s="165"/>
      <c r="G1367" s="166"/>
      <c r="I1367" s="295" t="s">
        <v>785</v>
      </c>
      <c r="J1367" s="295"/>
      <c r="K1367" s="170"/>
      <c r="L1367" s="171"/>
      <c r="M1367" s="50"/>
      <c r="N1367" s="171"/>
      <c r="O1367" s="202"/>
      <c r="P1367" s="202"/>
      <c r="Q1367" s="202"/>
      <c r="R1367" s="162"/>
      <c r="S1367" s="162"/>
    </row>
    <row r="1368" spans="1:19">
      <c r="A1368" s="294"/>
      <c r="B1368" s="161"/>
      <c r="C1368" s="162"/>
      <c r="D1368" s="162"/>
      <c r="E1368" s="162"/>
      <c r="F1368" s="162"/>
      <c r="G1368" s="163"/>
      <c r="I1368" s="295" t="s">
        <v>786</v>
      </c>
      <c r="J1368" s="295"/>
      <c r="K1368" s="170"/>
      <c r="L1368" s="171"/>
      <c r="M1368" s="50"/>
      <c r="N1368" s="171"/>
      <c r="O1368" s="202"/>
      <c r="P1368" s="202"/>
      <c r="Q1368" s="202"/>
      <c r="R1368" s="162"/>
      <c r="S1368" s="162"/>
    </row>
    <row r="1369" spans="1:19">
      <c r="A1369" s="294"/>
      <c r="B1369" s="164"/>
      <c r="C1369" s="165"/>
      <c r="D1369" s="165"/>
      <c r="E1369" s="165"/>
      <c r="F1369" s="165"/>
      <c r="G1369" s="166"/>
      <c r="I1369" s="295" t="s">
        <v>787</v>
      </c>
      <c r="J1369" s="295"/>
      <c r="K1369" s="170"/>
      <c r="L1369" s="171"/>
      <c r="M1369" s="50"/>
      <c r="N1369" s="171"/>
      <c r="O1369" s="202"/>
      <c r="P1369" s="202"/>
      <c r="Q1369" s="202"/>
      <c r="R1369" s="162"/>
      <c r="S1369" s="162"/>
    </row>
    <row r="1370" spans="1:19">
      <c r="A1370" s="294"/>
      <c r="B1370" s="161"/>
      <c r="C1370" s="162"/>
      <c r="D1370" s="162"/>
      <c r="E1370" s="162"/>
      <c r="F1370" s="162"/>
      <c r="G1370" s="163"/>
      <c r="I1370" s="295" t="s">
        <v>788</v>
      </c>
      <c r="J1370" s="295"/>
      <c r="K1370" s="170"/>
      <c r="L1370" s="171"/>
      <c r="M1370" s="50"/>
      <c r="N1370" s="171"/>
      <c r="O1370" s="202"/>
      <c r="P1370" s="202"/>
      <c r="Q1370" s="202"/>
      <c r="R1370" s="162"/>
      <c r="S1370" s="162"/>
    </row>
    <row r="1371" spans="1:19">
      <c r="A1371" s="294"/>
      <c r="B1371" s="164"/>
      <c r="C1371" s="165"/>
      <c r="D1371" s="165"/>
      <c r="E1371" s="165"/>
      <c r="F1371" s="165"/>
      <c r="G1371" s="166"/>
      <c r="I1371" s="295" t="s">
        <v>789</v>
      </c>
      <c r="J1371" s="295"/>
      <c r="K1371" s="170"/>
      <c r="L1371" s="171"/>
      <c r="M1371" s="50"/>
      <c r="N1371" s="171"/>
      <c r="O1371" s="202"/>
      <c r="P1371" s="202"/>
      <c r="Q1371" s="202"/>
      <c r="R1371" s="162"/>
      <c r="S1371" s="162"/>
    </row>
    <row r="1372" spans="1:19">
      <c r="A1372" s="63"/>
      <c r="B1372" s="63"/>
      <c r="C1372" s="63"/>
      <c r="D1372" s="63"/>
      <c r="E1372" s="63"/>
      <c r="F1372" s="63"/>
      <c r="G1372" s="63"/>
      <c r="I1372" s="295" t="s">
        <v>790</v>
      </c>
      <c r="J1372" s="295"/>
      <c r="K1372" s="170"/>
      <c r="L1372" s="171"/>
      <c r="M1372" s="50"/>
      <c r="N1372" s="171"/>
      <c r="O1372" s="202"/>
      <c r="P1372" s="202"/>
      <c r="Q1372" s="202"/>
      <c r="R1372" s="162"/>
      <c r="S1372" s="162"/>
    </row>
    <row r="1373" spans="1:19">
      <c r="A1373" s="63"/>
      <c r="B1373" s="63"/>
      <c r="C1373" s="63"/>
      <c r="D1373" s="63"/>
      <c r="E1373" s="63"/>
      <c r="F1373" s="63"/>
      <c r="G1373" s="63"/>
      <c r="I1373" s="295" t="s">
        <v>791</v>
      </c>
      <c r="J1373" s="295"/>
      <c r="K1373" s="170"/>
      <c r="L1373" s="171"/>
      <c r="M1373" s="50"/>
      <c r="N1373" s="171"/>
      <c r="O1373" s="202"/>
      <c r="P1373" s="202"/>
      <c r="Q1373" s="202"/>
      <c r="R1373" s="162"/>
      <c r="S1373" s="162"/>
    </row>
    <row r="1374" spans="1:19">
      <c r="A1374" s="63"/>
      <c r="B1374" s="63"/>
      <c r="C1374" s="63"/>
      <c r="D1374" s="63"/>
      <c r="E1374" s="63"/>
      <c r="F1374" s="63"/>
      <c r="G1374" s="63"/>
      <c r="I1374" s="296" t="s">
        <v>792</v>
      </c>
      <c r="J1374" s="296"/>
      <c r="K1374" s="170"/>
      <c r="L1374" s="171"/>
      <c r="M1374" s="50"/>
      <c r="N1374" s="171"/>
      <c r="O1374" s="202"/>
      <c r="P1374" s="202"/>
      <c r="Q1374" s="202"/>
      <c r="R1374" s="162"/>
      <c r="S1374" s="162"/>
    </row>
    <row r="1375" spans="1:19" ht="17.25" thickBot="1">
      <c r="A1375" s="63"/>
      <c r="B1375" s="63"/>
      <c r="C1375" s="63"/>
      <c r="D1375" s="63"/>
      <c r="E1375" s="63"/>
      <c r="F1375" s="63"/>
      <c r="G1375" s="63"/>
      <c r="I1375" s="297" t="s">
        <v>793</v>
      </c>
      <c r="J1375" s="297"/>
      <c r="K1375" s="172">
        <f t="shared" ref="K1375:S1375" si="599">SUM(K1364:K1374)</f>
        <v>0</v>
      </c>
      <c r="L1375" s="205">
        <f t="shared" si="599"/>
        <v>0</v>
      </c>
      <c r="M1375" s="205">
        <f t="shared" si="599"/>
        <v>0</v>
      </c>
      <c r="N1375" s="205">
        <f t="shared" si="599"/>
        <v>0</v>
      </c>
      <c r="O1375" s="174">
        <f t="shared" si="599"/>
        <v>0</v>
      </c>
      <c r="P1375" s="174">
        <f t="shared" si="599"/>
        <v>0</v>
      </c>
      <c r="Q1375" s="174">
        <f t="shared" si="599"/>
        <v>0</v>
      </c>
      <c r="R1375" s="175">
        <f t="shared" si="599"/>
        <v>0</v>
      </c>
      <c r="S1375" s="175">
        <f t="shared" si="599"/>
        <v>0</v>
      </c>
    </row>
    <row r="1376" spans="1:19" ht="17.25" thickBot="1">
      <c r="A1376" s="63"/>
      <c r="B1376" s="63"/>
      <c r="C1376" s="63"/>
      <c r="D1376" s="63"/>
      <c r="E1376" s="63"/>
      <c r="F1376" s="63"/>
      <c r="G1376" s="63"/>
      <c r="I1376" s="298" t="s">
        <v>794</v>
      </c>
      <c r="J1376" s="299"/>
      <c r="K1376" s="176">
        <f t="shared" ref="K1376" si="600">S1355-K1375</f>
        <v>0</v>
      </c>
      <c r="L1376" s="177">
        <f t="shared" ref="L1376" si="601">K1375-L1375</f>
        <v>0</v>
      </c>
      <c r="M1376" s="177">
        <f t="shared" ref="M1376" si="602">K1375-M1375</f>
        <v>0</v>
      </c>
      <c r="N1376" s="177">
        <f t="shared" ref="N1376" si="603">K1375-N1375</f>
        <v>0</v>
      </c>
      <c r="O1376" s="178">
        <f t="shared" ref="O1376" si="604">K1375-O1375</f>
        <v>0</v>
      </c>
      <c r="P1376" s="178">
        <f t="shared" ref="P1376" si="605">K1375-P1375</f>
        <v>0</v>
      </c>
      <c r="Q1376" s="178">
        <f t="shared" ref="Q1376" si="606">K1375-Q1375</f>
        <v>0</v>
      </c>
      <c r="R1376" s="179">
        <f t="shared" ref="R1376" si="607">K1375-R1375</f>
        <v>0</v>
      </c>
      <c r="S1376" s="180">
        <f t="shared" ref="S1376" si="608">L1375-S1375</f>
        <v>0</v>
      </c>
    </row>
    <row r="1377" spans="1:19">
      <c r="A1377" s="63"/>
      <c r="B1377" s="63"/>
      <c r="C1377" s="63"/>
      <c r="D1377" s="63"/>
      <c r="E1377" s="63"/>
      <c r="F1377" s="63"/>
      <c r="G1377" s="63"/>
      <c r="I1377" s="300" t="s">
        <v>795</v>
      </c>
      <c r="J1377" s="301"/>
      <c r="K1377" s="181"/>
      <c r="L1377" s="182"/>
      <c r="M1377" s="182"/>
      <c r="N1377" s="182"/>
      <c r="O1377" s="183"/>
      <c r="P1377" s="182"/>
      <c r="Q1377" s="182"/>
      <c r="R1377" s="182"/>
      <c r="S1377" s="182"/>
    </row>
    <row r="1378" spans="1:19">
      <c r="A1378" s="63"/>
      <c r="B1378" s="63"/>
      <c r="C1378" s="63"/>
      <c r="D1378" s="63"/>
      <c r="E1378" s="63"/>
      <c r="F1378" s="63"/>
      <c r="G1378" s="63"/>
      <c r="I1378" s="302" t="s">
        <v>796</v>
      </c>
      <c r="J1378" s="302"/>
      <c r="K1378" s="184"/>
      <c r="L1378" s="203"/>
      <c r="M1378" s="203"/>
      <c r="N1378" s="203"/>
      <c r="O1378" s="203"/>
      <c r="P1378" s="203"/>
      <c r="Q1378" s="203"/>
      <c r="R1378" s="203"/>
      <c r="S1378" s="203"/>
    </row>
    <row r="1379" spans="1:19">
      <c r="A1379" s="63"/>
      <c r="B1379" s="63"/>
      <c r="C1379" s="63"/>
      <c r="D1379" s="63"/>
      <c r="E1379" s="63"/>
      <c r="F1379" s="63"/>
      <c r="G1379" s="63"/>
      <c r="I1379" s="302" t="s">
        <v>797</v>
      </c>
      <c r="J1379" s="302"/>
      <c r="K1379" s="184"/>
      <c r="L1379" s="203"/>
      <c r="M1379" s="203"/>
      <c r="N1379" s="203"/>
      <c r="O1379" s="203"/>
      <c r="P1379" s="203"/>
      <c r="Q1379" s="203"/>
      <c r="R1379" s="203"/>
      <c r="S1379" s="203"/>
    </row>
    <row r="1380" spans="1:19">
      <c r="A1380" s="63"/>
      <c r="B1380" s="63"/>
      <c r="C1380" s="63"/>
      <c r="D1380" s="63"/>
      <c r="E1380" s="63"/>
      <c r="F1380" s="63"/>
      <c r="G1380" s="63"/>
      <c r="I1380" s="303" t="s">
        <v>798</v>
      </c>
      <c r="J1380" s="303"/>
      <c r="K1380" s="184"/>
      <c r="L1380" s="185"/>
      <c r="M1380" s="185"/>
      <c r="N1380" s="185"/>
      <c r="O1380" s="185"/>
      <c r="P1380" s="204"/>
      <c r="Q1380" s="204"/>
      <c r="R1380" s="204"/>
      <c r="S1380" s="204"/>
    </row>
    <row r="1381" spans="1:19">
      <c r="A1381" s="3" t="s">
        <v>801</v>
      </c>
      <c r="B1381" s="201" t="s">
        <v>802</v>
      </c>
      <c r="C1381" s="201" t="s">
        <v>803</v>
      </c>
      <c r="D1381" s="201" t="s">
        <v>119</v>
      </c>
      <c r="E1381" s="201" t="s">
        <v>148</v>
      </c>
      <c r="F1381" s="201" t="s">
        <v>806</v>
      </c>
      <c r="G1381" s="201" t="s">
        <v>81</v>
      </c>
      <c r="I1381" s="187"/>
      <c r="J1381" s="187"/>
      <c r="K1381" s="187"/>
      <c r="L1381" s="188"/>
      <c r="M1381" s="188"/>
      <c r="N1381" s="188"/>
      <c r="O1381" s="188"/>
      <c r="P1381" s="187"/>
      <c r="Q1381" s="187"/>
      <c r="R1381" s="187"/>
      <c r="S1381" s="187"/>
    </row>
    <row r="1382" spans="1:19">
      <c r="A1382" s="293">
        <v>44108</v>
      </c>
      <c r="B1382" s="161"/>
      <c r="C1382" s="162"/>
      <c r="D1382" s="162"/>
      <c r="E1382" s="162"/>
      <c r="F1382" s="162"/>
      <c r="G1382" s="163"/>
      <c r="I1382" s="191"/>
      <c r="J1382" s="190"/>
      <c r="K1382" s="190"/>
      <c r="L1382" s="190"/>
      <c r="M1382" s="190">
        <v>44108</v>
      </c>
      <c r="N1382" s="189" t="s">
        <v>864</v>
      </c>
      <c r="O1382" s="189"/>
      <c r="P1382" s="189"/>
      <c r="Q1382" s="189"/>
      <c r="R1382" s="189"/>
      <c r="S1382" s="189"/>
    </row>
    <row r="1383" spans="1:19">
      <c r="A1383" s="294"/>
      <c r="B1383" s="164"/>
      <c r="C1383" s="165"/>
      <c r="D1383" s="165"/>
      <c r="E1383" s="165"/>
      <c r="F1383" s="165"/>
      <c r="G1383" s="166"/>
      <c r="I1383" s="304"/>
      <c r="J1383" s="304"/>
      <c r="K1383" s="167"/>
      <c r="L1383" s="168"/>
      <c r="M1383" s="168"/>
      <c r="N1383" s="168"/>
      <c r="O1383" s="169"/>
      <c r="P1383" s="169"/>
      <c r="Q1383" s="169"/>
      <c r="R1383" s="161"/>
      <c r="S1383" s="161"/>
    </row>
    <row r="1384" spans="1:19">
      <c r="A1384" s="294"/>
      <c r="B1384" s="161"/>
      <c r="C1384" s="162"/>
      <c r="D1384" s="162"/>
      <c r="E1384" s="162"/>
      <c r="F1384" s="162"/>
      <c r="G1384" s="163"/>
      <c r="I1384" s="295" t="s">
        <v>782</v>
      </c>
      <c r="J1384" s="296"/>
      <c r="K1384" s="170"/>
      <c r="L1384" s="171"/>
      <c r="M1384" s="50"/>
      <c r="N1384" s="171"/>
      <c r="O1384" s="202"/>
      <c r="P1384" s="202"/>
      <c r="Q1384" s="202"/>
      <c r="R1384" s="162"/>
      <c r="S1384" s="162"/>
    </row>
    <row r="1385" spans="1:19">
      <c r="A1385" s="294"/>
      <c r="B1385" s="164"/>
      <c r="C1385" s="165"/>
      <c r="D1385" s="165"/>
      <c r="E1385" s="165"/>
      <c r="F1385" s="165"/>
      <c r="G1385" s="166"/>
      <c r="I1385" s="295" t="s">
        <v>783</v>
      </c>
      <c r="J1385" s="295"/>
      <c r="K1385" s="170"/>
      <c r="L1385" s="171"/>
      <c r="M1385" s="50"/>
      <c r="N1385" s="171"/>
      <c r="O1385" s="202"/>
      <c r="P1385" s="202"/>
      <c r="Q1385" s="202"/>
      <c r="R1385" s="162"/>
      <c r="S1385" s="162"/>
    </row>
    <row r="1386" spans="1:19">
      <c r="A1386" s="294"/>
      <c r="B1386" s="161"/>
      <c r="C1386" s="162"/>
      <c r="D1386" s="162"/>
      <c r="E1386" s="162"/>
      <c r="F1386" s="162"/>
      <c r="G1386" s="163"/>
      <c r="I1386" s="295" t="s">
        <v>784</v>
      </c>
      <c r="J1386" s="295"/>
      <c r="K1386" s="170"/>
      <c r="L1386" s="171"/>
      <c r="M1386" s="50"/>
      <c r="N1386" s="171"/>
      <c r="O1386" s="202"/>
      <c r="P1386" s="202"/>
      <c r="Q1386" s="202"/>
      <c r="R1386" s="162"/>
      <c r="S1386" s="162"/>
    </row>
    <row r="1387" spans="1:19">
      <c r="A1387" s="294"/>
      <c r="B1387" s="164"/>
      <c r="C1387" s="165"/>
      <c r="D1387" s="165"/>
      <c r="E1387" s="165"/>
      <c r="F1387" s="165"/>
      <c r="G1387" s="166"/>
      <c r="I1387" s="295" t="s">
        <v>785</v>
      </c>
      <c r="J1387" s="295"/>
      <c r="K1387" s="170"/>
      <c r="L1387" s="171"/>
      <c r="M1387" s="50"/>
      <c r="N1387" s="171"/>
      <c r="O1387" s="202"/>
      <c r="P1387" s="202"/>
      <c r="Q1387" s="202"/>
      <c r="R1387" s="162"/>
      <c r="S1387" s="162"/>
    </row>
    <row r="1388" spans="1:19">
      <c r="A1388" s="294"/>
      <c r="B1388" s="161"/>
      <c r="C1388" s="162"/>
      <c r="D1388" s="162"/>
      <c r="E1388" s="162"/>
      <c r="F1388" s="162"/>
      <c r="G1388" s="163"/>
      <c r="I1388" s="295" t="s">
        <v>786</v>
      </c>
      <c r="J1388" s="295"/>
      <c r="K1388" s="170"/>
      <c r="L1388" s="171"/>
      <c r="M1388" s="50"/>
      <c r="N1388" s="171"/>
      <c r="O1388" s="202"/>
      <c r="P1388" s="202"/>
      <c r="Q1388" s="202"/>
      <c r="R1388" s="162"/>
      <c r="S1388" s="162"/>
    </row>
    <row r="1389" spans="1:19">
      <c r="A1389" s="294"/>
      <c r="B1389" s="164"/>
      <c r="C1389" s="165"/>
      <c r="D1389" s="165"/>
      <c r="E1389" s="165"/>
      <c r="F1389" s="165"/>
      <c r="G1389" s="166"/>
      <c r="I1389" s="295" t="s">
        <v>787</v>
      </c>
      <c r="J1389" s="295"/>
      <c r="K1389" s="170"/>
      <c r="L1389" s="171"/>
      <c r="M1389" s="50"/>
      <c r="N1389" s="171"/>
      <c r="O1389" s="202"/>
      <c r="P1389" s="202"/>
      <c r="Q1389" s="202"/>
      <c r="R1389" s="162"/>
      <c r="S1389" s="162"/>
    </row>
    <row r="1390" spans="1:19">
      <c r="A1390" s="294"/>
      <c r="B1390" s="161"/>
      <c r="C1390" s="162"/>
      <c r="D1390" s="162"/>
      <c r="E1390" s="162"/>
      <c r="F1390" s="162"/>
      <c r="G1390" s="163"/>
      <c r="I1390" s="295" t="s">
        <v>788</v>
      </c>
      <c r="J1390" s="295"/>
      <c r="K1390" s="170"/>
      <c r="L1390" s="171"/>
      <c r="M1390" s="50"/>
      <c r="N1390" s="171"/>
      <c r="O1390" s="202"/>
      <c r="P1390" s="202"/>
      <c r="Q1390" s="202"/>
      <c r="R1390" s="162"/>
      <c r="S1390" s="162"/>
    </row>
    <row r="1391" spans="1:19">
      <c r="A1391" s="294"/>
      <c r="B1391" s="164"/>
      <c r="C1391" s="165"/>
      <c r="D1391" s="165"/>
      <c r="E1391" s="165"/>
      <c r="F1391" s="165"/>
      <c r="G1391" s="166"/>
      <c r="I1391" s="295" t="s">
        <v>789</v>
      </c>
      <c r="J1391" s="295"/>
      <c r="K1391" s="170"/>
      <c r="L1391" s="171"/>
      <c r="M1391" s="50"/>
      <c r="N1391" s="171"/>
      <c r="O1391" s="202"/>
      <c r="P1391" s="202"/>
      <c r="Q1391" s="202"/>
      <c r="R1391" s="162"/>
      <c r="S1391" s="162"/>
    </row>
    <row r="1392" spans="1:19">
      <c r="A1392" s="63"/>
      <c r="B1392" s="63"/>
      <c r="C1392" s="63"/>
      <c r="D1392" s="63"/>
      <c r="E1392" s="63"/>
      <c r="F1392" s="63"/>
      <c r="G1392" s="63"/>
      <c r="I1392" s="295" t="s">
        <v>790</v>
      </c>
      <c r="J1392" s="295"/>
      <c r="K1392" s="170"/>
      <c r="L1392" s="171"/>
      <c r="M1392" s="50"/>
      <c r="N1392" s="171"/>
      <c r="O1392" s="202"/>
      <c r="P1392" s="202"/>
      <c r="Q1392" s="202"/>
      <c r="R1392" s="162"/>
      <c r="S1392" s="162"/>
    </row>
    <row r="1393" spans="1:19">
      <c r="A1393" s="63"/>
      <c r="B1393" s="63"/>
      <c r="C1393" s="63"/>
      <c r="D1393" s="63"/>
      <c r="E1393" s="63"/>
      <c r="F1393" s="63"/>
      <c r="G1393" s="63"/>
      <c r="I1393" s="295" t="s">
        <v>791</v>
      </c>
      <c r="J1393" s="295"/>
      <c r="K1393" s="170"/>
      <c r="L1393" s="171"/>
      <c r="M1393" s="50"/>
      <c r="N1393" s="171"/>
      <c r="O1393" s="202"/>
      <c r="P1393" s="202"/>
      <c r="Q1393" s="202"/>
      <c r="R1393" s="162"/>
      <c r="S1393" s="162"/>
    </row>
    <row r="1394" spans="1:19">
      <c r="A1394" s="63"/>
      <c r="B1394" s="63"/>
      <c r="C1394" s="63"/>
      <c r="D1394" s="63"/>
      <c r="E1394" s="63"/>
      <c r="F1394" s="63"/>
      <c r="G1394" s="63"/>
      <c r="I1394" s="296" t="s">
        <v>792</v>
      </c>
      <c r="J1394" s="296"/>
      <c r="K1394" s="170"/>
      <c r="L1394" s="171"/>
      <c r="M1394" s="50"/>
      <c r="N1394" s="171"/>
      <c r="O1394" s="202"/>
      <c r="P1394" s="202"/>
      <c r="Q1394" s="202"/>
      <c r="R1394" s="162"/>
      <c r="S1394" s="162"/>
    </row>
    <row r="1395" spans="1:19" ht="17.25" thickBot="1">
      <c r="A1395" s="63"/>
      <c r="B1395" s="63"/>
      <c r="C1395" s="63"/>
      <c r="D1395" s="63"/>
      <c r="E1395" s="63"/>
      <c r="F1395" s="63"/>
      <c r="G1395" s="63"/>
      <c r="I1395" s="297" t="s">
        <v>793</v>
      </c>
      <c r="J1395" s="297"/>
      <c r="K1395" s="172">
        <f t="shared" ref="K1395:S1395" si="609">SUM(K1384:K1394)</f>
        <v>0</v>
      </c>
      <c r="L1395" s="205">
        <f t="shared" si="609"/>
        <v>0</v>
      </c>
      <c r="M1395" s="205">
        <f t="shared" si="609"/>
        <v>0</v>
      </c>
      <c r="N1395" s="205">
        <f t="shared" si="609"/>
        <v>0</v>
      </c>
      <c r="O1395" s="174">
        <f t="shared" si="609"/>
        <v>0</v>
      </c>
      <c r="P1395" s="174">
        <f t="shared" si="609"/>
        <v>0</v>
      </c>
      <c r="Q1395" s="174">
        <f t="shared" si="609"/>
        <v>0</v>
      </c>
      <c r="R1395" s="175">
        <f t="shared" si="609"/>
        <v>0</v>
      </c>
      <c r="S1395" s="175">
        <f t="shared" si="609"/>
        <v>0</v>
      </c>
    </row>
    <row r="1396" spans="1:19" ht="17.25" thickBot="1">
      <c r="A1396" s="63"/>
      <c r="B1396" s="63"/>
      <c r="C1396" s="63"/>
      <c r="D1396" s="63"/>
      <c r="E1396" s="63"/>
      <c r="F1396" s="63"/>
      <c r="G1396" s="63"/>
      <c r="I1396" s="298" t="s">
        <v>794</v>
      </c>
      <c r="J1396" s="299"/>
      <c r="K1396" s="176">
        <f t="shared" ref="K1396" si="610">S1375-K1395</f>
        <v>0</v>
      </c>
      <c r="L1396" s="177">
        <f t="shared" ref="L1396" si="611">K1395-L1395</f>
        <v>0</v>
      </c>
      <c r="M1396" s="177">
        <f t="shared" ref="M1396" si="612">K1395-M1395</f>
        <v>0</v>
      </c>
      <c r="N1396" s="177">
        <f t="shared" ref="N1396" si="613">K1395-N1395</f>
        <v>0</v>
      </c>
      <c r="O1396" s="178">
        <f t="shared" ref="O1396" si="614">K1395-O1395</f>
        <v>0</v>
      </c>
      <c r="P1396" s="178">
        <f t="shared" ref="P1396" si="615">K1395-P1395</f>
        <v>0</v>
      </c>
      <c r="Q1396" s="178">
        <f t="shared" ref="Q1396" si="616">K1395-Q1395</f>
        <v>0</v>
      </c>
      <c r="R1396" s="179">
        <f t="shared" ref="R1396" si="617">K1395-R1395</f>
        <v>0</v>
      </c>
      <c r="S1396" s="180">
        <f t="shared" ref="S1396" si="618">L1395-S1395</f>
        <v>0</v>
      </c>
    </row>
    <row r="1397" spans="1:19">
      <c r="A1397" s="63"/>
      <c r="B1397" s="63"/>
      <c r="C1397" s="63"/>
      <c r="D1397" s="63"/>
      <c r="E1397" s="63"/>
      <c r="F1397" s="63"/>
      <c r="G1397" s="63"/>
      <c r="I1397" s="300" t="s">
        <v>795</v>
      </c>
      <c r="J1397" s="301"/>
      <c r="K1397" s="181"/>
      <c r="L1397" s="182"/>
      <c r="M1397" s="182"/>
      <c r="N1397" s="182"/>
      <c r="O1397" s="183"/>
      <c r="P1397" s="182"/>
      <c r="Q1397" s="182"/>
      <c r="R1397" s="182"/>
      <c r="S1397" s="182"/>
    </row>
    <row r="1398" spans="1:19">
      <c r="A1398" s="63"/>
      <c r="B1398" s="63"/>
      <c r="C1398" s="63"/>
      <c r="D1398" s="63"/>
      <c r="E1398" s="63"/>
      <c r="F1398" s="63"/>
      <c r="G1398" s="63"/>
      <c r="I1398" s="302" t="s">
        <v>796</v>
      </c>
      <c r="J1398" s="302"/>
      <c r="K1398" s="184"/>
      <c r="L1398" s="203"/>
      <c r="M1398" s="203"/>
      <c r="N1398" s="203"/>
      <c r="O1398" s="203"/>
      <c r="P1398" s="203"/>
      <c r="Q1398" s="203"/>
      <c r="R1398" s="203"/>
      <c r="S1398" s="203"/>
    </row>
    <row r="1399" spans="1:19">
      <c r="A1399" s="63"/>
      <c r="B1399" s="63"/>
      <c r="C1399" s="63"/>
      <c r="D1399" s="63"/>
      <c r="E1399" s="63"/>
      <c r="F1399" s="63"/>
      <c r="G1399" s="63"/>
      <c r="I1399" s="302" t="s">
        <v>797</v>
      </c>
      <c r="J1399" s="302"/>
      <c r="K1399" s="184"/>
      <c r="L1399" s="203"/>
      <c r="M1399" s="203"/>
      <c r="N1399" s="203"/>
      <c r="O1399" s="203"/>
      <c r="P1399" s="203"/>
      <c r="Q1399" s="203"/>
      <c r="R1399" s="203"/>
      <c r="S1399" s="203"/>
    </row>
    <row r="1400" spans="1:19">
      <c r="A1400" s="63"/>
      <c r="B1400" s="63"/>
      <c r="C1400" s="63"/>
      <c r="D1400" s="63"/>
      <c r="E1400" s="63"/>
      <c r="F1400" s="63"/>
      <c r="G1400" s="63"/>
      <c r="I1400" s="303" t="s">
        <v>798</v>
      </c>
      <c r="J1400" s="303"/>
      <c r="K1400" s="184"/>
      <c r="L1400" s="185"/>
      <c r="M1400" s="185"/>
      <c r="N1400" s="185"/>
      <c r="O1400" s="185"/>
      <c r="P1400" s="204"/>
      <c r="Q1400" s="204"/>
      <c r="R1400" s="204"/>
      <c r="S1400" s="204"/>
    </row>
    <row r="1401" spans="1:19">
      <c r="A1401" s="3" t="s">
        <v>801</v>
      </c>
      <c r="B1401" s="201" t="s">
        <v>802</v>
      </c>
      <c r="C1401" s="201" t="s">
        <v>803</v>
      </c>
      <c r="D1401" s="201" t="s">
        <v>119</v>
      </c>
      <c r="E1401" s="201" t="s">
        <v>148</v>
      </c>
      <c r="F1401" s="201" t="s">
        <v>806</v>
      </c>
      <c r="G1401" s="201" t="s">
        <v>81</v>
      </c>
      <c r="I1401" s="187"/>
      <c r="J1401" s="187"/>
      <c r="K1401" s="187"/>
      <c r="L1401" s="188"/>
      <c r="M1401" s="188"/>
      <c r="N1401" s="188"/>
      <c r="O1401" s="188"/>
      <c r="P1401" s="187"/>
      <c r="Q1401" s="187"/>
      <c r="R1401" s="187"/>
      <c r="S1401" s="187"/>
    </row>
    <row r="1402" spans="1:19">
      <c r="A1402" s="293">
        <v>44109</v>
      </c>
      <c r="B1402" s="161"/>
      <c r="C1402" s="162"/>
      <c r="D1402" s="162"/>
      <c r="E1402" s="162"/>
      <c r="F1402" s="162"/>
      <c r="G1402" s="163"/>
      <c r="I1402" s="191"/>
      <c r="J1402" s="190"/>
      <c r="K1402" s="190"/>
      <c r="L1402" s="190"/>
      <c r="M1402" s="190">
        <v>44109</v>
      </c>
      <c r="N1402" s="189" t="s">
        <v>864</v>
      </c>
      <c r="O1402" s="189"/>
      <c r="P1402" s="189"/>
      <c r="Q1402" s="189"/>
      <c r="R1402" s="189"/>
      <c r="S1402" s="189"/>
    </row>
    <row r="1403" spans="1:19">
      <c r="A1403" s="294"/>
      <c r="B1403" s="164"/>
      <c r="C1403" s="165"/>
      <c r="D1403" s="165"/>
      <c r="E1403" s="165"/>
      <c r="F1403" s="165"/>
      <c r="G1403" s="166"/>
      <c r="I1403" s="304"/>
      <c r="J1403" s="304"/>
      <c r="K1403" s="167"/>
      <c r="L1403" s="168"/>
      <c r="M1403" s="168"/>
      <c r="N1403" s="168"/>
      <c r="O1403" s="169"/>
      <c r="P1403" s="169"/>
      <c r="Q1403" s="169"/>
      <c r="R1403" s="161"/>
      <c r="S1403" s="161"/>
    </row>
    <row r="1404" spans="1:19">
      <c r="A1404" s="294"/>
      <c r="B1404" s="161"/>
      <c r="C1404" s="162"/>
      <c r="D1404" s="162"/>
      <c r="E1404" s="162"/>
      <c r="F1404" s="162"/>
      <c r="G1404" s="163"/>
      <c r="I1404" s="295" t="s">
        <v>782</v>
      </c>
      <c r="J1404" s="296"/>
      <c r="K1404" s="170"/>
      <c r="L1404" s="171"/>
      <c r="M1404" s="50"/>
      <c r="N1404" s="171"/>
      <c r="O1404" s="202"/>
      <c r="P1404" s="202"/>
      <c r="Q1404" s="202"/>
      <c r="R1404" s="162"/>
      <c r="S1404" s="162"/>
    </row>
    <row r="1405" spans="1:19">
      <c r="A1405" s="294"/>
      <c r="B1405" s="164"/>
      <c r="C1405" s="165"/>
      <c r="D1405" s="165"/>
      <c r="E1405" s="165"/>
      <c r="F1405" s="165"/>
      <c r="G1405" s="166"/>
      <c r="I1405" s="295" t="s">
        <v>783</v>
      </c>
      <c r="J1405" s="295"/>
      <c r="K1405" s="170"/>
      <c r="L1405" s="171"/>
      <c r="M1405" s="50"/>
      <c r="N1405" s="171"/>
      <c r="O1405" s="202"/>
      <c r="P1405" s="202"/>
      <c r="Q1405" s="202"/>
      <c r="R1405" s="162"/>
      <c r="S1405" s="162"/>
    </row>
    <row r="1406" spans="1:19">
      <c r="A1406" s="294"/>
      <c r="B1406" s="161"/>
      <c r="C1406" s="162"/>
      <c r="D1406" s="162"/>
      <c r="E1406" s="162"/>
      <c r="F1406" s="162"/>
      <c r="G1406" s="163"/>
      <c r="I1406" s="295" t="s">
        <v>784</v>
      </c>
      <c r="J1406" s="295"/>
      <c r="K1406" s="170"/>
      <c r="L1406" s="171"/>
      <c r="M1406" s="50"/>
      <c r="N1406" s="171"/>
      <c r="O1406" s="202"/>
      <c r="P1406" s="202"/>
      <c r="Q1406" s="202"/>
      <c r="R1406" s="162"/>
      <c r="S1406" s="162"/>
    </row>
    <row r="1407" spans="1:19">
      <c r="A1407" s="294"/>
      <c r="B1407" s="164"/>
      <c r="C1407" s="165"/>
      <c r="D1407" s="165"/>
      <c r="E1407" s="165"/>
      <c r="F1407" s="165"/>
      <c r="G1407" s="166"/>
      <c r="I1407" s="295" t="s">
        <v>785</v>
      </c>
      <c r="J1407" s="295"/>
      <c r="K1407" s="170"/>
      <c r="L1407" s="171"/>
      <c r="M1407" s="50"/>
      <c r="N1407" s="171"/>
      <c r="O1407" s="202"/>
      <c r="P1407" s="202"/>
      <c r="Q1407" s="202"/>
      <c r="R1407" s="162"/>
      <c r="S1407" s="162"/>
    </row>
    <row r="1408" spans="1:19">
      <c r="A1408" s="294"/>
      <c r="B1408" s="161"/>
      <c r="C1408" s="162"/>
      <c r="D1408" s="162"/>
      <c r="E1408" s="162"/>
      <c r="F1408" s="162"/>
      <c r="G1408" s="163"/>
      <c r="I1408" s="295" t="s">
        <v>786</v>
      </c>
      <c r="J1408" s="295"/>
      <c r="K1408" s="170"/>
      <c r="L1408" s="171"/>
      <c r="M1408" s="50"/>
      <c r="N1408" s="171"/>
      <c r="O1408" s="202"/>
      <c r="P1408" s="202"/>
      <c r="Q1408" s="202"/>
      <c r="R1408" s="162"/>
      <c r="S1408" s="162"/>
    </row>
    <row r="1409" spans="1:19">
      <c r="A1409" s="294"/>
      <c r="B1409" s="164"/>
      <c r="C1409" s="165"/>
      <c r="D1409" s="165"/>
      <c r="E1409" s="165"/>
      <c r="F1409" s="165"/>
      <c r="G1409" s="166"/>
      <c r="I1409" s="295" t="s">
        <v>787</v>
      </c>
      <c r="J1409" s="295"/>
      <c r="K1409" s="170"/>
      <c r="L1409" s="171"/>
      <c r="M1409" s="50"/>
      <c r="N1409" s="171"/>
      <c r="O1409" s="202"/>
      <c r="P1409" s="202"/>
      <c r="Q1409" s="202"/>
      <c r="R1409" s="162"/>
      <c r="S1409" s="162"/>
    </row>
    <row r="1410" spans="1:19">
      <c r="A1410" s="294"/>
      <c r="B1410" s="161"/>
      <c r="C1410" s="162"/>
      <c r="D1410" s="162"/>
      <c r="E1410" s="162"/>
      <c r="F1410" s="162"/>
      <c r="G1410" s="163"/>
      <c r="I1410" s="295" t="s">
        <v>788</v>
      </c>
      <c r="J1410" s="295"/>
      <c r="K1410" s="170"/>
      <c r="L1410" s="171"/>
      <c r="M1410" s="50"/>
      <c r="N1410" s="171"/>
      <c r="O1410" s="202"/>
      <c r="P1410" s="202"/>
      <c r="Q1410" s="202"/>
      <c r="R1410" s="162"/>
      <c r="S1410" s="162"/>
    </row>
    <row r="1411" spans="1:19">
      <c r="A1411" s="294"/>
      <c r="B1411" s="164"/>
      <c r="C1411" s="165"/>
      <c r="D1411" s="165"/>
      <c r="E1411" s="165"/>
      <c r="F1411" s="165"/>
      <c r="G1411" s="166"/>
      <c r="I1411" s="295" t="s">
        <v>789</v>
      </c>
      <c r="J1411" s="295"/>
      <c r="K1411" s="170"/>
      <c r="L1411" s="171"/>
      <c r="M1411" s="50"/>
      <c r="N1411" s="171"/>
      <c r="O1411" s="202"/>
      <c r="P1411" s="202"/>
      <c r="Q1411" s="202"/>
      <c r="R1411" s="162"/>
      <c r="S1411" s="162"/>
    </row>
    <row r="1412" spans="1:19">
      <c r="A1412" s="63"/>
      <c r="B1412" s="63"/>
      <c r="C1412" s="63"/>
      <c r="D1412" s="63"/>
      <c r="E1412" s="63"/>
      <c r="F1412" s="63"/>
      <c r="G1412" s="63"/>
      <c r="I1412" s="295" t="s">
        <v>790</v>
      </c>
      <c r="J1412" s="295"/>
      <c r="K1412" s="170"/>
      <c r="L1412" s="171"/>
      <c r="M1412" s="50"/>
      <c r="N1412" s="171"/>
      <c r="O1412" s="202"/>
      <c r="P1412" s="202"/>
      <c r="Q1412" s="202"/>
      <c r="R1412" s="162"/>
      <c r="S1412" s="162"/>
    </row>
    <row r="1413" spans="1:19">
      <c r="A1413" s="63"/>
      <c r="B1413" s="63"/>
      <c r="C1413" s="63"/>
      <c r="D1413" s="63"/>
      <c r="E1413" s="63"/>
      <c r="F1413" s="63"/>
      <c r="G1413" s="63"/>
      <c r="I1413" s="295" t="s">
        <v>791</v>
      </c>
      <c r="J1413" s="295"/>
      <c r="K1413" s="170"/>
      <c r="L1413" s="171"/>
      <c r="M1413" s="50"/>
      <c r="N1413" s="171"/>
      <c r="O1413" s="202"/>
      <c r="P1413" s="202"/>
      <c r="Q1413" s="202"/>
      <c r="R1413" s="162"/>
      <c r="S1413" s="162"/>
    </row>
    <row r="1414" spans="1:19">
      <c r="A1414" s="63"/>
      <c r="B1414" s="63"/>
      <c r="C1414" s="63"/>
      <c r="D1414" s="63"/>
      <c r="E1414" s="63"/>
      <c r="F1414" s="63"/>
      <c r="G1414" s="63"/>
      <c r="I1414" s="296" t="s">
        <v>792</v>
      </c>
      <c r="J1414" s="296"/>
      <c r="K1414" s="170"/>
      <c r="L1414" s="171"/>
      <c r="M1414" s="50"/>
      <c r="N1414" s="171"/>
      <c r="O1414" s="202"/>
      <c r="P1414" s="202"/>
      <c r="Q1414" s="202"/>
      <c r="R1414" s="162"/>
      <c r="S1414" s="162"/>
    </row>
    <row r="1415" spans="1:19" ht="17.25" thickBot="1">
      <c r="A1415" s="63"/>
      <c r="B1415" s="63"/>
      <c r="C1415" s="63"/>
      <c r="D1415" s="63"/>
      <c r="E1415" s="63"/>
      <c r="F1415" s="63"/>
      <c r="G1415" s="63"/>
      <c r="I1415" s="297" t="s">
        <v>793</v>
      </c>
      <c r="J1415" s="297"/>
      <c r="K1415" s="172">
        <f t="shared" ref="K1415:S1415" si="619">SUM(K1404:K1414)</f>
        <v>0</v>
      </c>
      <c r="L1415" s="205">
        <f t="shared" si="619"/>
        <v>0</v>
      </c>
      <c r="M1415" s="205">
        <f t="shared" si="619"/>
        <v>0</v>
      </c>
      <c r="N1415" s="205">
        <f t="shared" si="619"/>
        <v>0</v>
      </c>
      <c r="O1415" s="174">
        <f t="shared" si="619"/>
        <v>0</v>
      </c>
      <c r="P1415" s="174">
        <f t="shared" si="619"/>
        <v>0</v>
      </c>
      <c r="Q1415" s="174">
        <f t="shared" si="619"/>
        <v>0</v>
      </c>
      <c r="R1415" s="175">
        <f t="shared" si="619"/>
        <v>0</v>
      </c>
      <c r="S1415" s="175">
        <f t="shared" si="619"/>
        <v>0</v>
      </c>
    </row>
    <row r="1416" spans="1:19" ht="17.25" thickBot="1">
      <c r="A1416" s="63"/>
      <c r="B1416" s="63"/>
      <c r="C1416" s="63"/>
      <c r="D1416" s="63"/>
      <c r="E1416" s="63"/>
      <c r="F1416" s="63"/>
      <c r="G1416" s="63"/>
      <c r="I1416" s="298" t="s">
        <v>794</v>
      </c>
      <c r="J1416" s="299"/>
      <c r="K1416" s="176">
        <f t="shared" ref="K1416" si="620">S1395-K1415</f>
        <v>0</v>
      </c>
      <c r="L1416" s="177">
        <f t="shared" ref="L1416" si="621">K1415-L1415</f>
        <v>0</v>
      </c>
      <c r="M1416" s="177">
        <f t="shared" ref="M1416" si="622">K1415-M1415</f>
        <v>0</v>
      </c>
      <c r="N1416" s="177">
        <f t="shared" ref="N1416" si="623">K1415-N1415</f>
        <v>0</v>
      </c>
      <c r="O1416" s="178">
        <f t="shared" ref="O1416" si="624">K1415-O1415</f>
        <v>0</v>
      </c>
      <c r="P1416" s="178">
        <f t="shared" ref="P1416" si="625">K1415-P1415</f>
        <v>0</v>
      </c>
      <c r="Q1416" s="178">
        <f t="shared" ref="Q1416" si="626">K1415-Q1415</f>
        <v>0</v>
      </c>
      <c r="R1416" s="179">
        <f t="shared" ref="R1416" si="627">K1415-R1415</f>
        <v>0</v>
      </c>
      <c r="S1416" s="180">
        <f t="shared" ref="S1416" si="628">L1415-S1415</f>
        <v>0</v>
      </c>
    </row>
    <row r="1417" spans="1:19">
      <c r="A1417" s="63"/>
      <c r="B1417" s="63"/>
      <c r="C1417" s="63"/>
      <c r="D1417" s="63"/>
      <c r="E1417" s="63"/>
      <c r="F1417" s="63"/>
      <c r="G1417" s="63"/>
      <c r="I1417" s="300" t="s">
        <v>795</v>
      </c>
      <c r="J1417" s="301"/>
      <c r="K1417" s="181"/>
      <c r="L1417" s="182"/>
      <c r="M1417" s="182"/>
      <c r="N1417" s="182"/>
      <c r="O1417" s="183"/>
      <c r="P1417" s="182"/>
      <c r="Q1417" s="182"/>
      <c r="R1417" s="182"/>
      <c r="S1417" s="182"/>
    </row>
    <row r="1418" spans="1:19">
      <c r="A1418" s="63"/>
      <c r="B1418" s="63"/>
      <c r="C1418" s="63"/>
      <c r="D1418" s="63"/>
      <c r="E1418" s="63"/>
      <c r="F1418" s="63"/>
      <c r="G1418" s="63"/>
      <c r="I1418" s="302" t="s">
        <v>796</v>
      </c>
      <c r="J1418" s="302"/>
      <c r="K1418" s="184"/>
      <c r="L1418" s="203"/>
      <c r="M1418" s="203"/>
      <c r="N1418" s="203"/>
      <c r="O1418" s="203"/>
      <c r="P1418" s="203"/>
      <c r="Q1418" s="203"/>
      <c r="R1418" s="203"/>
      <c r="S1418" s="203"/>
    </row>
    <row r="1419" spans="1:19">
      <c r="A1419" s="63"/>
      <c r="B1419" s="63"/>
      <c r="C1419" s="63"/>
      <c r="D1419" s="63"/>
      <c r="E1419" s="63"/>
      <c r="F1419" s="63"/>
      <c r="G1419" s="63"/>
      <c r="I1419" s="302" t="s">
        <v>797</v>
      </c>
      <c r="J1419" s="302"/>
      <c r="K1419" s="184"/>
      <c r="L1419" s="203"/>
      <c r="M1419" s="203"/>
      <c r="N1419" s="203"/>
      <c r="O1419" s="203"/>
      <c r="P1419" s="203"/>
      <c r="Q1419" s="203"/>
      <c r="R1419" s="203"/>
      <c r="S1419" s="203"/>
    </row>
    <row r="1420" spans="1:19">
      <c r="A1420" s="63"/>
      <c r="B1420" s="63"/>
      <c r="C1420" s="63"/>
      <c r="D1420" s="63"/>
      <c r="E1420" s="63"/>
      <c r="F1420" s="63"/>
      <c r="G1420" s="63"/>
      <c r="I1420" s="303" t="s">
        <v>798</v>
      </c>
      <c r="J1420" s="303"/>
      <c r="K1420" s="184"/>
      <c r="L1420" s="185"/>
      <c r="M1420" s="185"/>
      <c r="N1420" s="185"/>
      <c r="O1420" s="185"/>
      <c r="P1420" s="204"/>
      <c r="Q1420" s="204"/>
      <c r="R1420" s="204"/>
      <c r="S1420" s="204"/>
    </row>
    <row r="1421" spans="1:19">
      <c r="A1421" s="3" t="s">
        <v>801</v>
      </c>
      <c r="B1421" s="201" t="s">
        <v>802</v>
      </c>
      <c r="C1421" s="201" t="s">
        <v>803</v>
      </c>
      <c r="D1421" s="201" t="s">
        <v>119</v>
      </c>
      <c r="E1421" s="201" t="s">
        <v>148</v>
      </c>
      <c r="F1421" s="201" t="s">
        <v>806</v>
      </c>
      <c r="G1421" s="201" t="s">
        <v>81</v>
      </c>
      <c r="I1421" s="187"/>
      <c r="J1421" s="187"/>
      <c r="K1421" s="187"/>
      <c r="L1421" s="188"/>
      <c r="M1421" s="188"/>
      <c r="N1421" s="188"/>
      <c r="O1421" s="188"/>
      <c r="P1421" s="187"/>
      <c r="Q1421" s="187"/>
      <c r="R1421" s="187"/>
      <c r="S1421" s="187"/>
    </row>
    <row r="1422" spans="1:19">
      <c r="A1422" s="293">
        <v>44110</v>
      </c>
      <c r="B1422" s="161"/>
      <c r="C1422" s="162"/>
      <c r="D1422" s="162"/>
      <c r="E1422" s="162"/>
      <c r="F1422" s="162"/>
      <c r="G1422" s="163"/>
      <c r="I1422" s="191"/>
      <c r="J1422" s="190"/>
      <c r="K1422" s="190"/>
      <c r="L1422" s="190"/>
      <c r="M1422" s="190">
        <v>44110</v>
      </c>
      <c r="N1422" s="189" t="s">
        <v>864</v>
      </c>
      <c r="O1422" s="189"/>
      <c r="P1422" s="189"/>
      <c r="Q1422" s="189"/>
      <c r="R1422" s="189"/>
      <c r="S1422" s="189"/>
    </row>
    <row r="1423" spans="1:19">
      <c r="A1423" s="294"/>
      <c r="B1423" s="164"/>
      <c r="C1423" s="165"/>
      <c r="D1423" s="165"/>
      <c r="E1423" s="165"/>
      <c r="F1423" s="165"/>
      <c r="G1423" s="166"/>
      <c r="I1423" s="304"/>
      <c r="J1423" s="304"/>
      <c r="K1423" s="167"/>
      <c r="L1423" s="168"/>
      <c r="M1423" s="168"/>
      <c r="N1423" s="168"/>
      <c r="O1423" s="169"/>
      <c r="P1423" s="169"/>
      <c r="Q1423" s="169"/>
      <c r="R1423" s="161"/>
      <c r="S1423" s="161"/>
    </row>
    <row r="1424" spans="1:19">
      <c r="A1424" s="294"/>
      <c r="B1424" s="161"/>
      <c r="C1424" s="162"/>
      <c r="D1424" s="162"/>
      <c r="E1424" s="162"/>
      <c r="F1424" s="162"/>
      <c r="G1424" s="163"/>
      <c r="I1424" s="295" t="s">
        <v>782</v>
      </c>
      <c r="J1424" s="296"/>
      <c r="K1424" s="170"/>
      <c r="L1424" s="171"/>
      <c r="M1424" s="50"/>
      <c r="N1424" s="171"/>
      <c r="O1424" s="202"/>
      <c r="P1424" s="202"/>
      <c r="Q1424" s="202"/>
      <c r="R1424" s="162"/>
      <c r="S1424" s="162"/>
    </row>
    <row r="1425" spans="1:19">
      <c r="A1425" s="294"/>
      <c r="B1425" s="164"/>
      <c r="C1425" s="165"/>
      <c r="D1425" s="165"/>
      <c r="E1425" s="165"/>
      <c r="F1425" s="165"/>
      <c r="G1425" s="166"/>
      <c r="I1425" s="295" t="s">
        <v>783</v>
      </c>
      <c r="J1425" s="295"/>
      <c r="K1425" s="170"/>
      <c r="L1425" s="171"/>
      <c r="M1425" s="50"/>
      <c r="N1425" s="171"/>
      <c r="O1425" s="202"/>
      <c r="P1425" s="202"/>
      <c r="Q1425" s="202"/>
      <c r="R1425" s="162"/>
      <c r="S1425" s="162"/>
    </row>
    <row r="1426" spans="1:19">
      <c r="A1426" s="294"/>
      <c r="B1426" s="161"/>
      <c r="C1426" s="162"/>
      <c r="D1426" s="162"/>
      <c r="E1426" s="162"/>
      <c r="F1426" s="162"/>
      <c r="G1426" s="163"/>
      <c r="I1426" s="295" t="s">
        <v>784</v>
      </c>
      <c r="J1426" s="295"/>
      <c r="K1426" s="170"/>
      <c r="L1426" s="171"/>
      <c r="M1426" s="50"/>
      <c r="N1426" s="171"/>
      <c r="O1426" s="202"/>
      <c r="P1426" s="202"/>
      <c r="Q1426" s="202"/>
      <c r="R1426" s="162"/>
      <c r="S1426" s="162"/>
    </row>
    <row r="1427" spans="1:19">
      <c r="A1427" s="294"/>
      <c r="B1427" s="164"/>
      <c r="C1427" s="165"/>
      <c r="D1427" s="165"/>
      <c r="E1427" s="165"/>
      <c r="F1427" s="165"/>
      <c r="G1427" s="166"/>
      <c r="I1427" s="295" t="s">
        <v>785</v>
      </c>
      <c r="J1427" s="295"/>
      <c r="K1427" s="170"/>
      <c r="L1427" s="171"/>
      <c r="M1427" s="50"/>
      <c r="N1427" s="171"/>
      <c r="O1427" s="202"/>
      <c r="P1427" s="202"/>
      <c r="Q1427" s="202"/>
      <c r="R1427" s="162"/>
      <c r="S1427" s="162"/>
    </row>
    <row r="1428" spans="1:19">
      <c r="A1428" s="294"/>
      <c r="B1428" s="161"/>
      <c r="C1428" s="162"/>
      <c r="D1428" s="162"/>
      <c r="E1428" s="162"/>
      <c r="F1428" s="162"/>
      <c r="G1428" s="163"/>
      <c r="I1428" s="295" t="s">
        <v>786</v>
      </c>
      <c r="J1428" s="295"/>
      <c r="K1428" s="170"/>
      <c r="L1428" s="171"/>
      <c r="M1428" s="50"/>
      <c r="N1428" s="171"/>
      <c r="O1428" s="202"/>
      <c r="P1428" s="202"/>
      <c r="Q1428" s="202"/>
      <c r="R1428" s="162"/>
      <c r="S1428" s="162"/>
    </row>
    <row r="1429" spans="1:19">
      <c r="A1429" s="294"/>
      <c r="B1429" s="164"/>
      <c r="C1429" s="165"/>
      <c r="D1429" s="165"/>
      <c r="E1429" s="165"/>
      <c r="F1429" s="165"/>
      <c r="G1429" s="166"/>
      <c r="I1429" s="295" t="s">
        <v>787</v>
      </c>
      <c r="J1429" s="295"/>
      <c r="K1429" s="170"/>
      <c r="L1429" s="171"/>
      <c r="M1429" s="50"/>
      <c r="N1429" s="171"/>
      <c r="O1429" s="202"/>
      <c r="P1429" s="202"/>
      <c r="Q1429" s="202"/>
      <c r="R1429" s="162"/>
      <c r="S1429" s="162"/>
    </row>
    <row r="1430" spans="1:19">
      <c r="A1430" s="294"/>
      <c r="B1430" s="161"/>
      <c r="C1430" s="162"/>
      <c r="D1430" s="162"/>
      <c r="E1430" s="162"/>
      <c r="F1430" s="162"/>
      <c r="G1430" s="163"/>
      <c r="I1430" s="295" t="s">
        <v>788</v>
      </c>
      <c r="J1430" s="295"/>
      <c r="K1430" s="170"/>
      <c r="L1430" s="171"/>
      <c r="M1430" s="50"/>
      <c r="N1430" s="171"/>
      <c r="O1430" s="202"/>
      <c r="P1430" s="202"/>
      <c r="Q1430" s="202"/>
      <c r="R1430" s="162"/>
      <c r="S1430" s="162"/>
    </row>
    <row r="1431" spans="1:19">
      <c r="A1431" s="294"/>
      <c r="B1431" s="164"/>
      <c r="C1431" s="165"/>
      <c r="D1431" s="165"/>
      <c r="E1431" s="165"/>
      <c r="F1431" s="165"/>
      <c r="G1431" s="166"/>
      <c r="I1431" s="295" t="s">
        <v>789</v>
      </c>
      <c r="J1431" s="295"/>
      <c r="K1431" s="170"/>
      <c r="L1431" s="171"/>
      <c r="M1431" s="50"/>
      <c r="N1431" s="171"/>
      <c r="O1431" s="202"/>
      <c r="P1431" s="202"/>
      <c r="Q1431" s="202"/>
      <c r="R1431" s="162"/>
      <c r="S1431" s="162"/>
    </row>
    <row r="1432" spans="1:19">
      <c r="A1432" s="63"/>
      <c r="B1432" s="63"/>
      <c r="C1432" s="63"/>
      <c r="D1432" s="63"/>
      <c r="E1432" s="63"/>
      <c r="F1432" s="63"/>
      <c r="G1432" s="63"/>
      <c r="I1432" s="295" t="s">
        <v>790</v>
      </c>
      <c r="J1432" s="295"/>
      <c r="K1432" s="170"/>
      <c r="L1432" s="171"/>
      <c r="M1432" s="50"/>
      <c r="N1432" s="171"/>
      <c r="O1432" s="202"/>
      <c r="P1432" s="202"/>
      <c r="Q1432" s="202"/>
      <c r="R1432" s="162"/>
      <c r="S1432" s="162"/>
    </row>
    <row r="1433" spans="1:19">
      <c r="A1433" s="63"/>
      <c r="B1433" s="63"/>
      <c r="C1433" s="63"/>
      <c r="D1433" s="63"/>
      <c r="E1433" s="63"/>
      <c r="F1433" s="63"/>
      <c r="G1433" s="63"/>
      <c r="I1433" s="295" t="s">
        <v>791</v>
      </c>
      <c r="J1433" s="295"/>
      <c r="K1433" s="170"/>
      <c r="L1433" s="171"/>
      <c r="M1433" s="50"/>
      <c r="N1433" s="171"/>
      <c r="O1433" s="202"/>
      <c r="P1433" s="202"/>
      <c r="Q1433" s="202"/>
      <c r="R1433" s="162"/>
      <c r="S1433" s="162"/>
    </row>
    <row r="1434" spans="1:19">
      <c r="A1434" s="63"/>
      <c r="B1434" s="63"/>
      <c r="C1434" s="63"/>
      <c r="D1434" s="63"/>
      <c r="E1434" s="63"/>
      <c r="F1434" s="63"/>
      <c r="G1434" s="63"/>
      <c r="I1434" s="296" t="s">
        <v>792</v>
      </c>
      <c r="J1434" s="296"/>
      <c r="K1434" s="170"/>
      <c r="L1434" s="171"/>
      <c r="M1434" s="50"/>
      <c r="N1434" s="171"/>
      <c r="O1434" s="202"/>
      <c r="P1434" s="202"/>
      <c r="Q1434" s="202"/>
      <c r="R1434" s="162"/>
      <c r="S1434" s="162"/>
    </row>
    <row r="1435" spans="1:19" ht="17.25" thickBot="1">
      <c r="A1435" s="63"/>
      <c r="B1435" s="63"/>
      <c r="C1435" s="63"/>
      <c r="D1435" s="63"/>
      <c r="E1435" s="63"/>
      <c r="F1435" s="63"/>
      <c r="G1435" s="63"/>
      <c r="I1435" s="297" t="s">
        <v>793</v>
      </c>
      <c r="J1435" s="297"/>
      <c r="K1435" s="172">
        <f t="shared" ref="K1435:S1435" si="629">SUM(K1424:K1434)</f>
        <v>0</v>
      </c>
      <c r="L1435" s="205">
        <f t="shared" si="629"/>
        <v>0</v>
      </c>
      <c r="M1435" s="205">
        <f t="shared" si="629"/>
        <v>0</v>
      </c>
      <c r="N1435" s="205">
        <f t="shared" si="629"/>
        <v>0</v>
      </c>
      <c r="O1435" s="174">
        <f t="shared" si="629"/>
        <v>0</v>
      </c>
      <c r="P1435" s="174">
        <f t="shared" si="629"/>
        <v>0</v>
      </c>
      <c r="Q1435" s="174">
        <f t="shared" si="629"/>
        <v>0</v>
      </c>
      <c r="R1435" s="175">
        <f t="shared" si="629"/>
        <v>0</v>
      </c>
      <c r="S1435" s="175">
        <f t="shared" si="629"/>
        <v>0</v>
      </c>
    </row>
    <row r="1436" spans="1:19" ht="17.25" thickBot="1">
      <c r="A1436" s="63"/>
      <c r="B1436" s="63"/>
      <c r="C1436" s="63"/>
      <c r="D1436" s="63"/>
      <c r="E1436" s="63"/>
      <c r="F1436" s="63"/>
      <c r="G1436" s="63"/>
      <c r="I1436" s="298" t="s">
        <v>794</v>
      </c>
      <c r="J1436" s="299"/>
      <c r="K1436" s="176">
        <f t="shared" ref="K1436" si="630">S1415-K1435</f>
        <v>0</v>
      </c>
      <c r="L1436" s="177">
        <f t="shared" ref="L1436" si="631">K1435-L1435</f>
        <v>0</v>
      </c>
      <c r="M1436" s="177">
        <f t="shared" ref="M1436" si="632">K1435-M1435</f>
        <v>0</v>
      </c>
      <c r="N1436" s="177">
        <f t="shared" ref="N1436" si="633">K1435-N1435</f>
        <v>0</v>
      </c>
      <c r="O1436" s="178">
        <f t="shared" ref="O1436" si="634">K1435-O1435</f>
        <v>0</v>
      </c>
      <c r="P1436" s="178">
        <f t="shared" ref="P1436" si="635">K1435-P1435</f>
        <v>0</v>
      </c>
      <c r="Q1436" s="178">
        <f t="shared" ref="Q1436" si="636">K1435-Q1435</f>
        <v>0</v>
      </c>
      <c r="R1436" s="179">
        <f t="shared" ref="R1436" si="637">K1435-R1435</f>
        <v>0</v>
      </c>
      <c r="S1436" s="180">
        <f t="shared" ref="S1436" si="638">L1435-S1435</f>
        <v>0</v>
      </c>
    </row>
    <row r="1437" spans="1:19">
      <c r="A1437" s="63"/>
      <c r="B1437" s="63"/>
      <c r="C1437" s="63"/>
      <c r="D1437" s="63"/>
      <c r="E1437" s="63"/>
      <c r="F1437" s="63"/>
      <c r="G1437" s="63"/>
      <c r="I1437" s="300" t="s">
        <v>795</v>
      </c>
      <c r="J1437" s="301"/>
      <c r="K1437" s="181"/>
      <c r="L1437" s="182"/>
      <c r="M1437" s="182"/>
      <c r="N1437" s="182"/>
      <c r="O1437" s="183"/>
      <c r="P1437" s="182"/>
      <c r="Q1437" s="182"/>
      <c r="R1437" s="182"/>
      <c r="S1437" s="182"/>
    </row>
    <row r="1438" spans="1:19">
      <c r="A1438" s="63"/>
      <c r="B1438" s="63"/>
      <c r="C1438" s="63"/>
      <c r="D1438" s="63"/>
      <c r="E1438" s="63"/>
      <c r="F1438" s="63"/>
      <c r="G1438" s="63"/>
      <c r="I1438" s="302" t="s">
        <v>796</v>
      </c>
      <c r="J1438" s="302"/>
      <c r="K1438" s="184"/>
      <c r="L1438" s="203"/>
      <c r="M1438" s="203"/>
      <c r="N1438" s="203"/>
      <c r="O1438" s="203"/>
      <c r="P1438" s="203"/>
      <c r="Q1438" s="203"/>
      <c r="R1438" s="203"/>
      <c r="S1438" s="203"/>
    </row>
    <row r="1439" spans="1:19">
      <c r="A1439" s="63"/>
      <c r="B1439" s="63"/>
      <c r="C1439" s="63"/>
      <c r="D1439" s="63"/>
      <c r="E1439" s="63"/>
      <c r="F1439" s="63"/>
      <c r="G1439" s="63"/>
      <c r="I1439" s="302" t="s">
        <v>797</v>
      </c>
      <c r="J1439" s="302"/>
      <c r="K1439" s="184"/>
      <c r="L1439" s="203"/>
      <c r="M1439" s="203"/>
      <c r="N1439" s="203"/>
      <c r="O1439" s="203"/>
      <c r="P1439" s="203"/>
      <c r="Q1439" s="203"/>
      <c r="R1439" s="203"/>
      <c r="S1439" s="203"/>
    </row>
    <row r="1440" spans="1:19">
      <c r="A1440" s="63"/>
      <c r="B1440" s="63"/>
      <c r="C1440" s="63"/>
      <c r="D1440" s="63"/>
      <c r="E1440" s="63"/>
      <c r="F1440" s="63"/>
      <c r="G1440" s="63"/>
      <c r="I1440" s="303" t="s">
        <v>798</v>
      </c>
      <c r="J1440" s="303"/>
      <c r="K1440" s="184"/>
      <c r="L1440" s="185"/>
      <c r="M1440" s="185"/>
      <c r="N1440" s="185"/>
      <c r="O1440" s="185"/>
      <c r="P1440" s="204"/>
      <c r="Q1440" s="204"/>
      <c r="R1440" s="204"/>
      <c r="S1440" s="204"/>
    </row>
    <row r="1441" spans="1:19">
      <c r="A1441" s="3" t="s">
        <v>801</v>
      </c>
      <c r="B1441" s="201" t="s">
        <v>802</v>
      </c>
      <c r="C1441" s="201" t="s">
        <v>803</v>
      </c>
      <c r="D1441" s="201" t="s">
        <v>119</v>
      </c>
      <c r="E1441" s="201" t="s">
        <v>148</v>
      </c>
      <c r="F1441" s="201" t="s">
        <v>806</v>
      </c>
      <c r="G1441" s="201" t="s">
        <v>81</v>
      </c>
      <c r="I1441" s="187"/>
      <c r="J1441" s="187"/>
      <c r="K1441" s="187"/>
      <c r="L1441" s="188"/>
      <c r="M1441" s="188"/>
      <c r="N1441" s="188"/>
      <c r="O1441" s="188"/>
      <c r="P1441" s="187"/>
      <c r="Q1441" s="187"/>
      <c r="R1441" s="187"/>
      <c r="S1441" s="187"/>
    </row>
    <row r="1442" spans="1:19">
      <c r="A1442" s="293">
        <v>44111</v>
      </c>
      <c r="B1442" s="161"/>
      <c r="C1442" s="162"/>
      <c r="D1442" s="162"/>
      <c r="E1442" s="162"/>
      <c r="F1442" s="162"/>
      <c r="G1442" s="163"/>
      <c r="I1442" s="191"/>
      <c r="J1442" s="190"/>
      <c r="K1442" s="190"/>
      <c r="L1442" s="190"/>
      <c r="M1442" s="190">
        <v>44111</v>
      </c>
      <c r="N1442" s="189" t="s">
        <v>864</v>
      </c>
      <c r="O1442" s="189"/>
      <c r="P1442" s="189"/>
      <c r="Q1442" s="189"/>
      <c r="R1442" s="189"/>
      <c r="S1442" s="189"/>
    </row>
    <row r="1443" spans="1:19">
      <c r="A1443" s="294"/>
      <c r="B1443" s="164"/>
      <c r="C1443" s="165"/>
      <c r="D1443" s="165"/>
      <c r="E1443" s="165"/>
      <c r="F1443" s="165"/>
      <c r="G1443" s="166"/>
      <c r="I1443" s="304"/>
      <c r="J1443" s="304"/>
      <c r="K1443" s="167"/>
      <c r="L1443" s="168"/>
      <c r="M1443" s="168"/>
      <c r="N1443" s="168"/>
      <c r="O1443" s="169"/>
      <c r="P1443" s="169"/>
      <c r="Q1443" s="169"/>
      <c r="R1443" s="161"/>
      <c r="S1443" s="161"/>
    </row>
    <row r="1444" spans="1:19">
      <c r="A1444" s="294"/>
      <c r="B1444" s="161"/>
      <c r="C1444" s="162"/>
      <c r="D1444" s="162"/>
      <c r="E1444" s="162"/>
      <c r="F1444" s="162"/>
      <c r="G1444" s="163"/>
      <c r="I1444" s="295" t="s">
        <v>782</v>
      </c>
      <c r="J1444" s="296"/>
      <c r="K1444" s="170"/>
      <c r="L1444" s="171"/>
      <c r="M1444" s="50"/>
      <c r="N1444" s="171"/>
      <c r="O1444" s="202"/>
      <c r="P1444" s="202"/>
      <c r="Q1444" s="202"/>
      <c r="R1444" s="162"/>
      <c r="S1444" s="162"/>
    </row>
    <row r="1445" spans="1:19">
      <c r="A1445" s="294"/>
      <c r="B1445" s="164"/>
      <c r="C1445" s="165"/>
      <c r="D1445" s="165"/>
      <c r="E1445" s="165"/>
      <c r="F1445" s="165"/>
      <c r="G1445" s="166"/>
      <c r="I1445" s="295" t="s">
        <v>783</v>
      </c>
      <c r="J1445" s="295"/>
      <c r="K1445" s="170"/>
      <c r="L1445" s="171"/>
      <c r="M1445" s="50"/>
      <c r="N1445" s="171"/>
      <c r="O1445" s="202"/>
      <c r="P1445" s="202"/>
      <c r="Q1445" s="202"/>
      <c r="R1445" s="162"/>
      <c r="S1445" s="162"/>
    </row>
    <row r="1446" spans="1:19">
      <c r="A1446" s="294"/>
      <c r="B1446" s="161"/>
      <c r="C1446" s="162"/>
      <c r="D1446" s="162"/>
      <c r="E1446" s="162"/>
      <c r="F1446" s="162"/>
      <c r="G1446" s="163"/>
      <c r="I1446" s="295" t="s">
        <v>784</v>
      </c>
      <c r="J1446" s="295"/>
      <c r="K1446" s="170"/>
      <c r="L1446" s="171"/>
      <c r="M1446" s="50"/>
      <c r="N1446" s="171"/>
      <c r="O1446" s="202"/>
      <c r="P1446" s="202"/>
      <c r="Q1446" s="202"/>
      <c r="R1446" s="162"/>
      <c r="S1446" s="162"/>
    </row>
    <row r="1447" spans="1:19">
      <c r="A1447" s="294"/>
      <c r="B1447" s="164"/>
      <c r="C1447" s="165"/>
      <c r="D1447" s="165"/>
      <c r="E1447" s="165"/>
      <c r="F1447" s="165"/>
      <c r="G1447" s="166"/>
      <c r="I1447" s="295" t="s">
        <v>785</v>
      </c>
      <c r="J1447" s="295"/>
      <c r="K1447" s="170"/>
      <c r="L1447" s="171"/>
      <c r="M1447" s="50"/>
      <c r="N1447" s="171"/>
      <c r="O1447" s="202"/>
      <c r="P1447" s="202"/>
      <c r="Q1447" s="202"/>
      <c r="R1447" s="162"/>
      <c r="S1447" s="162"/>
    </row>
    <row r="1448" spans="1:19">
      <c r="A1448" s="294"/>
      <c r="B1448" s="161"/>
      <c r="C1448" s="162"/>
      <c r="D1448" s="162"/>
      <c r="E1448" s="162"/>
      <c r="F1448" s="162"/>
      <c r="G1448" s="163"/>
      <c r="I1448" s="295" t="s">
        <v>786</v>
      </c>
      <c r="J1448" s="295"/>
      <c r="K1448" s="170"/>
      <c r="L1448" s="171"/>
      <c r="M1448" s="50"/>
      <c r="N1448" s="171"/>
      <c r="O1448" s="202"/>
      <c r="P1448" s="202"/>
      <c r="Q1448" s="202"/>
      <c r="R1448" s="162"/>
      <c r="S1448" s="162"/>
    </row>
    <row r="1449" spans="1:19">
      <c r="A1449" s="294"/>
      <c r="B1449" s="164"/>
      <c r="C1449" s="165"/>
      <c r="D1449" s="165"/>
      <c r="E1449" s="165"/>
      <c r="F1449" s="165"/>
      <c r="G1449" s="166"/>
      <c r="I1449" s="295" t="s">
        <v>787</v>
      </c>
      <c r="J1449" s="295"/>
      <c r="K1449" s="170"/>
      <c r="L1449" s="171"/>
      <c r="M1449" s="50"/>
      <c r="N1449" s="171"/>
      <c r="O1449" s="202"/>
      <c r="P1449" s="202"/>
      <c r="Q1449" s="202"/>
      <c r="R1449" s="162"/>
      <c r="S1449" s="162"/>
    </row>
    <row r="1450" spans="1:19">
      <c r="A1450" s="294"/>
      <c r="B1450" s="161"/>
      <c r="C1450" s="162"/>
      <c r="D1450" s="162"/>
      <c r="E1450" s="162"/>
      <c r="F1450" s="162"/>
      <c r="G1450" s="163"/>
      <c r="I1450" s="295" t="s">
        <v>788</v>
      </c>
      <c r="J1450" s="295"/>
      <c r="K1450" s="170"/>
      <c r="L1450" s="171"/>
      <c r="M1450" s="50"/>
      <c r="N1450" s="171"/>
      <c r="O1450" s="202"/>
      <c r="P1450" s="202"/>
      <c r="Q1450" s="202"/>
      <c r="R1450" s="162"/>
      <c r="S1450" s="162"/>
    </row>
    <row r="1451" spans="1:19">
      <c r="A1451" s="294"/>
      <c r="B1451" s="164"/>
      <c r="C1451" s="165"/>
      <c r="D1451" s="165"/>
      <c r="E1451" s="165"/>
      <c r="F1451" s="165"/>
      <c r="G1451" s="166"/>
      <c r="I1451" s="295" t="s">
        <v>789</v>
      </c>
      <c r="J1451" s="295"/>
      <c r="K1451" s="170"/>
      <c r="L1451" s="171"/>
      <c r="M1451" s="50"/>
      <c r="N1451" s="171"/>
      <c r="O1451" s="202"/>
      <c r="P1451" s="202"/>
      <c r="Q1451" s="202"/>
      <c r="R1451" s="162"/>
      <c r="S1451" s="162"/>
    </row>
    <row r="1452" spans="1:19">
      <c r="A1452" s="63"/>
      <c r="B1452" s="63"/>
      <c r="C1452" s="63"/>
      <c r="D1452" s="63"/>
      <c r="E1452" s="63"/>
      <c r="F1452" s="63"/>
      <c r="G1452" s="63"/>
      <c r="I1452" s="295" t="s">
        <v>790</v>
      </c>
      <c r="J1452" s="295"/>
      <c r="K1452" s="170"/>
      <c r="L1452" s="171"/>
      <c r="M1452" s="50"/>
      <c r="N1452" s="171"/>
      <c r="O1452" s="202"/>
      <c r="P1452" s="202"/>
      <c r="Q1452" s="202"/>
      <c r="R1452" s="162"/>
      <c r="S1452" s="162"/>
    </row>
    <row r="1453" spans="1:19">
      <c r="A1453" s="63"/>
      <c r="B1453" s="63"/>
      <c r="C1453" s="63"/>
      <c r="D1453" s="63"/>
      <c r="E1453" s="63"/>
      <c r="F1453" s="63"/>
      <c r="G1453" s="63"/>
      <c r="I1453" s="295" t="s">
        <v>791</v>
      </c>
      <c r="J1453" s="295"/>
      <c r="K1453" s="170"/>
      <c r="L1453" s="171"/>
      <c r="M1453" s="50"/>
      <c r="N1453" s="171"/>
      <c r="O1453" s="202"/>
      <c r="P1453" s="202"/>
      <c r="Q1453" s="202"/>
      <c r="R1453" s="162"/>
      <c r="S1453" s="162"/>
    </row>
    <row r="1454" spans="1:19">
      <c r="A1454" s="63"/>
      <c r="B1454" s="63"/>
      <c r="C1454" s="63"/>
      <c r="D1454" s="63"/>
      <c r="E1454" s="63"/>
      <c r="F1454" s="63"/>
      <c r="G1454" s="63"/>
      <c r="I1454" s="296" t="s">
        <v>792</v>
      </c>
      <c r="J1454" s="296"/>
      <c r="K1454" s="170"/>
      <c r="L1454" s="171"/>
      <c r="M1454" s="50"/>
      <c r="N1454" s="171"/>
      <c r="O1454" s="202"/>
      <c r="P1454" s="202"/>
      <c r="Q1454" s="202"/>
      <c r="R1454" s="162"/>
      <c r="S1454" s="162"/>
    </row>
    <row r="1455" spans="1:19" ht="17.25" thickBot="1">
      <c r="A1455" s="63"/>
      <c r="B1455" s="63"/>
      <c r="C1455" s="63"/>
      <c r="D1455" s="63"/>
      <c r="E1455" s="63"/>
      <c r="F1455" s="63"/>
      <c r="G1455" s="63"/>
      <c r="I1455" s="297" t="s">
        <v>793</v>
      </c>
      <c r="J1455" s="297"/>
      <c r="K1455" s="172">
        <f t="shared" ref="K1455:S1455" si="639">SUM(K1444:K1454)</f>
        <v>0</v>
      </c>
      <c r="L1455" s="205">
        <f t="shared" si="639"/>
        <v>0</v>
      </c>
      <c r="M1455" s="205">
        <f t="shared" si="639"/>
        <v>0</v>
      </c>
      <c r="N1455" s="205">
        <f t="shared" si="639"/>
        <v>0</v>
      </c>
      <c r="O1455" s="174">
        <f t="shared" si="639"/>
        <v>0</v>
      </c>
      <c r="P1455" s="174">
        <f t="shared" si="639"/>
        <v>0</v>
      </c>
      <c r="Q1455" s="174">
        <f t="shared" si="639"/>
        <v>0</v>
      </c>
      <c r="R1455" s="175">
        <f t="shared" si="639"/>
        <v>0</v>
      </c>
      <c r="S1455" s="175">
        <f t="shared" si="639"/>
        <v>0</v>
      </c>
    </row>
    <row r="1456" spans="1:19" ht="17.25" thickBot="1">
      <c r="A1456" s="63"/>
      <c r="B1456" s="63"/>
      <c r="C1456" s="63"/>
      <c r="D1456" s="63"/>
      <c r="E1456" s="63"/>
      <c r="F1456" s="63"/>
      <c r="G1456" s="63"/>
      <c r="I1456" s="298" t="s">
        <v>794</v>
      </c>
      <c r="J1456" s="299"/>
      <c r="K1456" s="176">
        <f t="shared" ref="K1456" si="640">S1435-K1455</f>
        <v>0</v>
      </c>
      <c r="L1456" s="177">
        <f t="shared" ref="L1456" si="641">K1455-L1455</f>
        <v>0</v>
      </c>
      <c r="M1456" s="177">
        <f t="shared" ref="M1456" si="642">K1455-M1455</f>
        <v>0</v>
      </c>
      <c r="N1456" s="177">
        <f t="shared" ref="N1456" si="643">K1455-N1455</f>
        <v>0</v>
      </c>
      <c r="O1456" s="178">
        <f t="shared" ref="O1456" si="644">K1455-O1455</f>
        <v>0</v>
      </c>
      <c r="P1456" s="178">
        <f t="shared" ref="P1456" si="645">K1455-P1455</f>
        <v>0</v>
      </c>
      <c r="Q1456" s="178">
        <f t="shared" ref="Q1456" si="646">K1455-Q1455</f>
        <v>0</v>
      </c>
      <c r="R1456" s="179">
        <f t="shared" ref="R1456" si="647">K1455-R1455</f>
        <v>0</v>
      </c>
      <c r="S1456" s="180">
        <f t="shared" ref="S1456" si="648">L1455-S1455</f>
        <v>0</v>
      </c>
    </row>
    <row r="1457" spans="1:19">
      <c r="A1457" s="63"/>
      <c r="B1457" s="63"/>
      <c r="C1457" s="63"/>
      <c r="D1457" s="63"/>
      <c r="E1457" s="63"/>
      <c r="F1457" s="63"/>
      <c r="G1457" s="63"/>
      <c r="I1457" s="300" t="s">
        <v>795</v>
      </c>
      <c r="J1457" s="301"/>
      <c r="K1457" s="181"/>
      <c r="L1457" s="182"/>
      <c r="M1457" s="182"/>
      <c r="N1457" s="182"/>
      <c r="O1457" s="183"/>
      <c r="P1457" s="182"/>
      <c r="Q1457" s="182"/>
      <c r="R1457" s="182"/>
      <c r="S1457" s="182"/>
    </row>
    <row r="1458" spans="1:19">
      <c r="A1458" s="63"/>
      <c r="B1458" s="63"/>
      <c r="C1458" s="63"/>
      <c r="D1458" s="63"/>
      <c r="E1458" s="63"/>
      <c r="F1458" s="63"/>
      <c r="G1458" s="63"/>
      <c r="I1458" s="302" t="s">
        <v>796</v>
      </c>
      <c r="J1458" s="302"/>
      <c r="K1458" s="184"/>
      <c r="L1458" s="203"/>
      <c r="M1458" s="203"/>
      <c r="N1458" s="203"/>
      <c r="O1458" s="203"/>
      <c r="P1458" s="203"/>
      <c r="Q1458" s="203"/>
      <c r="R1458" s="203"/>
      <c r="S1458" s="203"/>
    </row>
    <row r="1459" spans="1:19">
      <c r="A1459" s="63"/>
      <c r="B1459" s="63"/>
      <c r="C1459" s="63"/>
      <c r="D1459" s="63"/>
      <c r="E1459" s="63"/>
      <c r="F1459" s="63"/>
      <c r="G1459" s="63"/>
      <c r="I1459" s="302" t="s">
        <v>797</v>
      </c>
      <c r="J1459" s="302"/>
      <c r="K1459" s="184"/>
      <c r="L1459" s="203"/>
      <c r="M1459" s="203"/>
      <c r="N1459" s="203"/>
      <c r="O1459" s="203"/>
      <c r="P1459" s="203"/>
      <c r="Q1459" s="203"/>
      <c r="R1459" s="203"/>
      <c r="S1459" s="203"/>
    </row>
    <row r="1460" spans="1:19">
      <c r="A1460" s="63"/>
      <c r="B1460" s="63"/>
      <c r="C1460" s="63"/>
      <c r="D1460" s="63"/>
      <c r="E1460" s="63"/>
      <c r="F1460" s="63"/>
      <c r="G1460" s="63"/>
      <c r="I1460" s="303" t="s">
        <v>798</v>
      </c>
      <c r="J1460" s="303"/>
      <c r="K1460" s="184"/>
      <c r="L1460" s="185"/>
      <c r="M1460" s="185"/>
      <c r="N1460" s="185"/>
      <c r="O1460" s="185"/>
      <c r="P1460" s="204"/>
      <c r="Q1460" s="204"/>
      <c r="R1460" s="204"/>
      <c r="S1460" s="204"/>
    </row>
    <row r="1461" spans="1:19">
      <c r="A1461" s="3" t="s">
        <v>801</v>
      </c>
      <c r="B1461" s="201" t="s">
        <v>802</v>
      </c>
      <c r="C1461" s="201" t="s">
        <v>803</v>
      </c>
      <c r="D1461" s="201" t="s">
        <v>119</v>
      </c>
      <c r="E1461" s="201" t="s">
        <v>148</v>
      </c>
      <c r="F1461" s="201" t="s">
        <v>806</v>
      </c>
      <c r="G1461" s="201" t="s">
        <v>81</v>
      </c>
      <c r="I1461" s="187"/>
      <c r="J1461" s="187"/>
      <c r="K1461" s="187"/>
      <c r="L1461" s="188"/>
      <c r="M1461" s="188"/>
      <c r="N1461" s="188"/>
      <c r="O1461" s="188"/>
      <c r="P1461" s="187"/>
      <c r="Q1461" s="187"/>
      <c r="R1461" s="187"/>
      <c r="S1461" s="187"/>
    </row>
    <row r="1462" spans="1:19">
      <c r="A1462" s="293">
        <v>44112</v>
      </c>
      <c r="B1462" s="161"/>
      <c r="C1462" s="162"/>
      <c r="D1462" s="162"/>
      <c r="E1462" s="162"/>
      <c r="F1462" s="162"/>
      <c r="G1462" s="163"/>
      <c r="I1462" s="191"/>
      <c r="J1462" s="190"/>
      <c r="K1462" s="190"/>
      <c r="L1462" s="190"/>
      <c r="M1462" s="190">
        <v>44112</v>
      </c>
      <c r="N1462" s="189" t="s">
        <v>864</v>
      </c>
      <c r="O1462" s="189"/>
      <c r="P1462" s="189"/>
      <c r="Q1462" s="189"/>
      <c r="R1462" s="189"/>
      <c r="S1462" s="189"/>
    </row>
    <row r="1463" spans="1:19">
      <c r="A1463" s="294"/>
      <c r="B1463" s="164"/>
      <c r="C1463" s="165"/>
      <c r="D1463" s="165"/>
      <c r="E1463" s="165"/>
      <c r="F1463" s="165"/>
      <c r="G1463" s="166"/>
      <c r="I1463" s="304"/>
      <c r="J1463" s="304"/>
      <c r="K1463" s="167"/>
      <c r="L1463" s="168"/>
      <c r="M1463" s="168"/>
      <c r="N1463" s="168"/>
      <c r="O1463" s="169"/>
      <c r="P1463" s="169"/>
      <c r="Q1463" s="169"/>
      <c r="R1463" s="161"/>
      <c r="S1463" s="161"/>
    </row>
    <row r="1464" spans="1:19">
      <c r="A1464" s="294"/>
      <c r="B1464" s="161"/>
      <c r="C1464" s="162"/>
      <c r="D1464" s="162"/>
      <c r="E1464" s="162"/>
      <c r="F1464" s="162"/>
      <c r="G1464" s="163"/>
      <c r="I1464" s="295" t="s">
        <v>782</v>
      </c>
      <c r="J1464" s="296"/>
      <c r="K1464" s="170"/>
      <c r="L1464" s="171"/>
      <c r="M1464" s="50"/>
      <c r="N1464" s="171"/>
      <c r="O1464" s="202"/>
      <c r="P1464" s="202"/>
      <c r="Q1464" s="202"/>
      <c r="R1464" s="162"/>
      <c r="S1464" s="162"/>
    </row>
    <row r="1465" spans="1:19">
      <c r="A1465" s="294"/>
      <c r="B1465" s="164"/>
      <c r="C1465" s="165"/>
      <c r="D1465" s="165"/>
      <c r="E1465" s="165"/>
      <c r="F1465" s="165"/>
      <c r="G1465" s="166"/>
      <c r="I1465" s="295" t="s">
        <v>783</v>
      </c>
      <c r="J1465" s="295"/>
      <c r="K1465" s="170"/>
      <c r="L1465" s="171"/>
      <c r="M1465" s="50"/>
      <c r="N1465" s="171"/>
      <c r="O1465" s="202"/>
      <c r="P1465" s="202"/>
      <c r="Q1465" s="202"/>
      <c r="R1465" s="162"/>
      <c r="S1465" s="162"/>
    </row>
    <row r="1466" spans="1:19">
      <c r="A1466" s="294"/>
      <c r="B1466" s="161"/>
      <c r="C1466" s="162"/>
      <c r="D1466" s="162"/>
      <c r="E1466" s="162"/>
      <c r="F1466" s="162"/>
      <c r="G1466" s="163"/>
      <c r="I1466" s="295" t="s">
        <v>784</v>
      </c>
      <c r="J1466" s="295"/>
      <c r="K1466" s="170"/>
      <c r="L1466" s="171"/>
      <c r="M1466" s="50"/>
      <c r="N1466" s="171"/>
      <c r="O1466" s="202"/>
      <c r="P1466" s="202"/>
      <c r="Q1466" s="202"/>
      <c r="R1466" s="162"/>
      <c r="S1466" s="162"/>
    </row>
    <row r="1467" spans="1:19">
      <c r="A1467" s="294"/>
      <c r="B1467" s="164"/>
      <c r="C1467" s="165"/>
      <c r="D1467" s="165"/>
      <c r="E1467" s="165"/>
      <c r="F1467" s="165"/>
      <c r="G1467" s="166"/>
      <c r="I1467" s="295" t="s">
        <v>785</v>
      </c>
      <c r="J1467" s="295"/>
      <c r="K1467" s="170"/>
      <c r="L1467" s="171"/>
      <c r="M1467" s="50"/>
      <c r="N1467" s="171"/>
      <c r="O1467" s="202"/>
      <c r="P1467" s="202"/>
      <c r="Q1467" s="202"/>
      <c r="R1467" s="162"/>
      <c r="S1467" s="162"/>
    </row>
    <row r="1468" spans="1:19">
      <c r="A1468" s="294"/>
      <c r="B1468" s="161"/>
      <c r="C1468" s="162"/>
      <c r="D1468" s="162"/>
      <c r="E1468" s="162"/>
      <c r="F1468" s="162"/>
      <c r="G1468" s="163"/>
      <c r="I1468" s="295" t="s">
        <v>786</v>
      </c>
      <c r="J1468" s="295"/>
      <c r="K1468" s="170"/>
      <c r="L1468" s="171"/>
      <c r="M1468" s="50"/>
      <c r="N1468" s="171"/>
      <c r="O1468" s="202"/>
      <c r="P1468" s="202"/>
      <c r="Q1468" s="202"/>
      <c r="R1468" s="162"/>
      <c r="S1468" s="162"/>
    </row>
    <row r="1469" spans="1:19">
      <c r="A1469" s="294"/>
      <c r="B1469" s="164"/>
      <c r="C1469" s="165"/>
      <c r="D1469" s="165"/>
      <c r="E1469" s="165"/>
      <c r="F1469" s="165"/>
      <c r="G1469" s="166"/>
      <c r="I1469" s="295" t="s">
        <v>787</v>
      </c>
      <c r="J1469" s="295"/>
      <c r="K1469" s="170"/>
      <c r="L1469" s="171"/>
      <c r="M1469" s="50"/>
      <c r="N1469" s="171"/>
      <c r="O1469" s="202"/>
      <c r="P1469" s="202"/>
      <c r="Q1469" s="202"/>
      <c r="R1469" s="162"/>
      <c r="S1469" s="162"/>
    </row>
    <row r="1470" spans="1:19">
      <c r="A1470" s="294"/>
      <c r="B1470" s="161"/>
      <c r="C1470" s="162"/>
      <c r="D1470" s="162"/>
      <c r="E1470" s="162"/>
      <c r="F1470" s="162"/>
      <c r="G1470" s="163"/>
      <c r="I1470" s="295" t="s">
        <v>788</v>
      </c>
      <c r="J1470" s="295"/>
      <c r="K1470" s="170"/>
      <c r="L1470" s="171"/>
      <c r="M1470" s="50"/>
      <c r="N1470" s="171"/>
      <c r="O1470" s="202"/>
      <c r="P1470" s="202"/>
      <c r="Q1470" s="202"/>
      <c r="R1470" s="162"/>
      <c r="S1470" s="162"/>
    </row>
    <row r="1471" spans="1:19">
      <c r="A1471" s="294"/>
      <c r="B1471" s="164"/>
      <c r="C1471" s="165"/>
      <c r="D1471" s="165"/>
      <c r="E1471" s="165"/>
      <c r="F1471" s="165"/>
      <c r="G1471" s="166"/>
      <c r="I1471" s="295" t="s">
        <v>789</v>
      </c>
      <c r="J1471" s="295"/>
      <c r="K1471" s="170"/>
      <c r="L1471" s="171"/>
      <c r="M1471" s="50"/>
      <c r="N1471" s="171"/>
      <c r="O1471" s="202"/>
      <c r="P1471" s="202"/>
      <c r="Q1471" s="202"/>
      <c r="R1471" s="162"/>
      <c r="S1471" s="162"/>
    </row>
    <row r="1472" spans="1:19">
      <c r="A1472" s="63"/>
      <c r="B1472" s="63"/>
      <c r="C1472" s="63"/>
      <c r="D1472" s="63"/>
      <c r="E1472" s="63"/>
      <c r="F1472" s="63"/>
      <c r="G1472" s="63"/>
      <c r="I1472" s="295" t="s">
        <v>790</v>
      </c>
      <c r="J1472" s="295"/>
      <c r="K1472" s="170"/>
      <c r="L1472" s="171"/>
      <c r="M1472" s="50"/>
      <c r="N1472" s="171"/>
      <c r="O1472" s="202"/>
      <c r="P1472" s="202"/>
      <c r="Q1472" s="202"/>
      <c r="R1472" s="162"/>
      <c r="S1472" s="162"/>
    </row>
    <row r="1473" spans="1:19">
      <c r="A1473" s="63"/>
      <c r="B1473" s="63"/>
      <c r="C1473" s="63"/>
      <c r="D1473" s="63"/>
      <c r="E1473" s="63"/>
      <c r="F1473" s="63"/>
      <c r="G1473" s="63"/>
      <c r="I1473" s="295" t="s">
        <v>791</v>
      </c>
      <c r="J1473" s="295"/>
      <c r="K1473" s="170"/>
      <c r="L1473" s="171"/>
      <c r="M1473" s="50"/>
      <c r="N1473" s="171"/>
      <c r="O1473" s="202"/>
      <c r="P1473" s="202"/>
      <c r="Q1473" s="202"/>
      <c r="R1473" s="162"/>
      <c r="S1473" s="162"/>
    </row>
    <row r="1474" spans="1:19">
      <c r="A1474" s="63"/>
      <c r="B1474" s="63"/>
      <c r="C1474" s="63"/>
      <c r="D1474" s="63"/>
      <c r="E1474" s="63"/>
      <c r="F1474" s="63"/>
      <c r="G1474" s="63"/>
      <c r="I1474" s="296" t="s">
        <v>792</v>
      </c>
      <c r="J1474" s="296"/>
      <c r="K1474" s="170"/>
      <c r="L1474" s="171"/>
      <c r="M1474" s="50"/>
      <c r="N1474" s="171"/>
      <c r="O1474" s="202"/>
      <c r="P1474" s="202"/>
      <c r="Q1474" s="202"/>
      <c r="R1474" s="162"/>
      <c r="S1474" s="162"/>
    </row>
    <row r="1475" spans="1:19" ht="17.25" thickBot="1">
      <c r="A1475" s="63"/>
      <c r="B1475" s="63"/>
      <c r="C1475" s="63"/>
      <c r="D1475" s="63"/>
      <c r="E1475" s="63"/>
      <c r="F1475" s="63"/>
      <c r="G1475" s="63"/>
      <c r="I1475" s="297" t="s">
        <v>793</v>
      </c>
      <c r="J1475" s="297"/>
      <c r="K1475" s="172">
        <f t="shared" ref="K1475:S1475" si="649">SUM(K1464:K1474)</f>
        <v>0</v>
      </c>
      <c r="L1475" s="205">
        <f t="shared" si="649"/>
        <v>0</v>
      </c>
      <c r="M1475" s="205">
        <f t="shared" si="649"/>
        <v>0</v>
      </c>
      <c r="N1475" s="205">
        <f t="shared" si="649"/>
        <v>0</v>
      </c>
      <c r="O1475" s="174">
        <f t="shared" si="649"/>
        <v>0</v>
      </c>
      <c r="P1475" s="174">
        <f t="shared" si="649"/>
        <v>0</v>
      </c>
      <c r="Q1475" s="174">
        <f t="shared" si="649"/>
        <v>0</v>
      </c>
      <c r="R1475" s="175">
        <f t="shared" si="649"/>
        <v>0</v>
      </c>
      <c r="S1475" s="175">
        <f t="shared" si="649"/>
        <v>0</v>
      </c>
    </row>
    <row r="1476" spans="1:19" ht="17.25" thickBot="1">
      <c r="A1476" s="63"/>
      <c r="B1476" s="63"/>
      <c r="C1476" s="63"/>
      <c r="D1476" s="63"/>
      <c r="E1476" s="63"/>
      <c r="F1476" s="63"/>
      <c r="G1476" s="63"/>
      <c r="I1476" s="298" t="s">
        <v>794</v>
      </c>
      <c r="J1476" s="299"/>
      <c r="K1476" s="176">
        <f t="shared" ref="K1476" si="650">S1455-K1475</f>
        <v>0</v>
      </c>
      <c r="L1476" s="177">
        <f t="shared" ref="L1476" si="651">K1475-L1475</f>
        <v>0</v>
      </c>
      <c r="M1476" s="177">
        <f t="shared" ref="M1476" si="652">K1475-M1475</f>
        <v>0</v>
      </c>
      <c r="N1476" s="177">
        <f t="shared" ref="N1476" si="653">K1475-N1475</f>
        <v>0</v>
      </c>
      <c r="O1476" s="178">
        <f t="shared" ref="O1476" si="654">K1475-O1475</f>
        <v>0</v>
      </c>
      <c r="P1476" s="178">
        <f t="shared" ref="P1476" si="655">K1475-P1475</f>
        <v>0</v>
      </c>
      <c r="Q1476" s="178">
        <f t="shared" ref="Q1476" si="656">K1475-Q1475</f>
        <v>0</v>
      </c>
      <c r="R1476" s="179">
        <f t="shared" ref="R1476" si="657">K1475-R1475</f>
        <v>0</v>
      </c>
      <c r="S1476" s="180">
        <f t="shared" ref="S1476" si="658">L1475-S1475</f>
        <v>0</v>
      </c>
    </row>
    <row r="1477" spans="1:19">
      <c r="A1477" s="63"/>
      <c r="B1477" s="63"/>
      <c r="C1477" s="63"/>
      <c r="D1477" s="63"/>
      <c r="E1477" s="63"/>
      <c r="F1477" s="63"/>
      <c r="G1477" s="63"/>
      <c r="I1477" s="300" t="s">
        <v>795</v>
      </c>
      <c r="J1477" s="301"/>
      <c r="K1477" s="181"/>
      <c r="L1477" s="182"/>
      <c r="M1477" s="182"/>
      <c r="N1477" s="182"/>
      <c r="O1477" s="183"/>
      <c r="P1477" s="182"/>
      <c r="Q1477" s="182"/>
      <c r="R1477" s="182"/>
      <c r="S1477" s="182"/>
    </row>
    <row r="1478" spans="1:19">
      <c r="A1478" s="63"/>
      <c r="B1478" s="63"/>
      <c r="C1478" s="63"/>
      <c r="D1478" s="63"/>
      <c r="E1478" s="63"/>
      <c r="F1478" s="63"/>
      <c r="G1478" s="63"/>
      <c r="I1478" s="302" t="s">
        <v>796</v>
      </c>
      <c r="J1478" s="302"/>
      <c r="K1478" s="184"/>
      <c r="L1478" s="203"/>
      <c r="M1478" s="203"/>
      <c r="N1478" s="203"/>
      <c r="O1478" s="203"/>
      <c r="P1478" s="203"/>
      <c r="Q1478" s="203"/>
      <c r="R1478" s="203"/>
      <c r="S1478" s="203"/>
    </row>
    <row r="1479" spans="1:19">
      <c r="A1479" s="63"/>
      <c r="B1479" s="63"/>
      <c r="C1479" s="63"/>
      <c r="D1479" s="63"/>
      <c r="E1479" s="63"/>
      <c r="F1479" s="63"/>
      <c r="G1479" s="63"/>
      <c r="I1479" s="302" t="s">
        <v>797</v>
      </c>
      <c r="J1479" s="302"/>
      <c r="K1479" s="184"/>
      <c r="L1479" s="203"/>
      <c r="M1479" s="203"/>
      <c r="N1479" s="203"/>
      <c r="O1479" s="203"/>
      <c r="P1479" s="203"/>
      <c r="Q1479" s="203"/>
      <c r="R1479" s="203"/>
      <c r="S1479" s="203"/>
    </row>
    <row r="1480" spans="1:19">
      <c r="A1480" s="63"/>
      <c r="B1480" s="63"/>
      <c r="C1480" s="63"/>
      <c r="D1480" s="63"/>
      <c r="E1480" s="63"/>
      <c r="F1480" s="63"/>
      <c r="G1480" s="63"/>
      <c r="I1480" s="303" t="s">
        <v>798</v>
      </c>
      <c r="J1480" s="303"/>
      <c r="K1480" s="184"/>
      <c r="L1480" s="185"/>
      <c r="M1480" s="185"/>
      <c r="N1480" s="185"/>
      <c r="O1480" s="185"/>
      <c r="P1480" s="204"/>
      <c r="Q1480" s="204"/>
      <c r="R1480" s="204"/>
      <c r="S1480" s="204"/>
    </row>
    <row r="1481" spans="1:19">
      <c r="A1481" s="3" t="s">
        <v>801</v>
      </c>
      <c r="B1481" s="201" t="s">
        <v>802</v>
      </c>
      <c r="C1481" s="201" t="s">
        <v>803</v>
      </c>
      <c r="D1481" s="201" t="s">
        <v>119</v>
      </c>
      <c r="E1481" s="201" t="s">
        <v>148</v>
      </c>
      <c r="F1481" s="201" t="s">
        <v>806</v>
      </c>
      <c r="G1481" s="201" t="s">
        <v>81</v>
      </c>
      <c r="I1481" s="187"/>
      <c r="J1481" s="187"/>
      <c r="K1481" s="187"/>
      <c r="L1481" s="188"/>
      <c r="M1481" s="188"/>
      <c r="N1481" s="188"/>
      <c r="O1481" s="188"/>
      <c r="P1481" s="187"/>
      <c r="Q1481" s="187"/>
      <c r="R1481" s="187"/>
      <c r="S1481" s="187"/>
    </row>
    <row r="1482" spans="1:19">
      <c r="A1482" s="293">
        <v>44113</v>
      </c>
      <c r="B1482" s="161"/>
      <c r="C1482" s="162"/>
      <c r="D1482" s="162"/>
      <c r="E1482" s="162"/>
      <c r="F1482" s="162"/>
      <c r="G1482" s="163"/>
      <c r="I1482" s="191"/>
      <c r="J1482" s="190"/>
      <c r="K1482" s="190"/>
      <c r="L1482" s="190"/>
      <c r="M1482" s="190">
        <v>44113</v>
      </c>
      <c r="N1482" s="189" t="s">
        <v>864</v>
      </c>
      <c r="O1482" s="189"/>
      <c r="P1482" s="189"/>
      <c r="Q1482" s="189"/>
      <c r="R1482" s="189"/>
      <c r="S1482" s="189"/>
    </row>
    <row r="1483" spans="1:19">
      <c r="A1483" s="294"/>
      <c r="B1483" s="164"/>
      <c r="C1483" s="165"/>
      <c r="D1483" s="165"/>
      <c r="E1483" s="165"/>
      <c r="F1483" s="165"/>
      <c r="G1483" s="166"/>
      <c r="I1483" s="304"/>
      <c r="J1483" s="304"/>
      <c r="K1483" s="167"/>
      <c r="L1483" s="168"/>
      <c r="M1483" s="168"/>
      <c r="N1483" s="168"/>
      <c r="O1483" s="169"/>
      <c r="P1483" s="169"/>
      <c r="Q1483" s="169"/>
      <c r="R1483" s="161"/>
      <c r="S1483" s="161"/>
    </row>
    <row r="1484" spans="1:19">
      <c r="A1484" s="294"/>
      <c r="B1484" s="161"/>
      <c r="C1484" s="162"/>
      <c r="D1484" s="162"/>
      <c r="E1484" s="162"/>
      <c r="F1484" s="162"/>
      <c r="G1484" s="163"/>
      <c r="I1484" s="295" t="s">
        <v>782</v>
      </c>
      <c r="J1484" s="296"/>
      <c r="K1484" s="170"/>
      <c r="L1484" s="171"/>
      <c r="M1484" s="50"/>
      <c r="N1484" s="171"/>
      <c r="O1484" s="202"/>
      <c r="P1484" s="202"/>
      <c r="Q1484" s="202"/>
      <c r="R1484" s="162"/>
      <c r="S1484" s="162"/>
    </row>
    <row r="1485" spans="1:19">
      <c r="A1485" s="294"/>
      <c r="B1485" s="164"/>
      <c r="C1485" s="165"/>
      <c r="D1485" s="165"/>
      <c r="E1485" s="165"/>
      <c r="F1485" s="165"/>
      <c r="G1485" s="166"/>
      <c r="I1485" s="295" t="s">
        <v>783</v>
      </c>
      <c r="J1485" s="295"/>
      <c r="K1485" s="170"/>
      <c r="L1485" s="171"/>
      <c r="M1485" s="50"/>
      <c r="N1485" s="171"/>
      <c r="O1485" s="202"/>
      <c r="P1485" s="202"/>
      <c r="Q1485" s="202"/>
      <c r="R1485" s="162"/>
      <c r="S1485" s="162"/>
    </row>
    <row r="1486" spans="1:19">
      <c r="A1486" s="294"/>
      <c r="B1486" s="161"/>
      <c r="C1486" s="162"/>
      <c r="D1486" s="162"/>
      <c r="E1486" s="162"/>
      <c r="F1486" s="162"/>
      <c r="G1486" s="163"/>
      <c r="I1486" s="295" t="s">
        <v>784</v>
      </c>
      <c r="J1486" s="295"/>
      <c r="K1486" s="170"/>
      <c r="L1486" s="171"/>
      <c r="M1486" s="50"/>
      <c r="N1486" s="171"/>
      <c r="O1486" s="202"/>
      <c r="P1486" s="202"/>
      <c r="Q1486" s="202"/>
      <c r="R1486" s="162"/>
      <c r="S1486" s="162"/>
    </row>
    <row r="1487" spans="1:19">
      <c r="A1487" s="294"/>
      <c r="B1487" s="164"/>
      <c r="C1487" s="165"/>
      <c r="D1487" s="165"/>
      <c r="E1487" s="165"/>
      <c r="F1487" s="165"/>
      <c r="G1487" s="166"/>
      <c r="I1487" s="295" t="s">
        <v>785</v>
      </c>
      <c r="J1487" s="295"/>
      <c r="K1487" s="170"/>
      <c r="L1487" s="171"/>
      <c r="M1487" s="50"/>
      <c r="N1487" s="171"/>
      <c r="O1487" s="202"/>
      <c r="P1487" s="202"/>
      <c r="Q1487" s="202"/>
      <c r="R1487" s="162"/>
      <c r="S1487" s="162"/>
    </row>
    <row r="1488" spans="1:19">
      <c r="A1488" s="294"/>
      <c r="B1488" s="161"/>
      <c r="C1488" s="162"/>
      <c r="D1488" s="162"/>
      <c r="E1488" s="162"/>
      <c r="F1488" s="162"/>
      <c r="G1488" s="163"/>
      <c r="I1488" s="295" t="s">
        <v>786</v>
      </c>
      <c r="J1488" s="295"/>
      <c r="K1488" s="170"/>
      <c r="L1488" s="171"/>
      <c r="M1488" s="50"/>
      <c r="N1488" s="171"/>
      <c r="O1488" s="202"/>
      <c r="P1488" s="202"/>
      <c r="Q1488" s="202"/>
      <c r="R1488" s="162"/>
      <c r="S1488" s="162"/>
    </row>
    <row r="1489" spans="1:19">
      <c r="A1489" s="294"/>
      <c r="B1489" s="164"/>
      <c r="C1489" s="165"/>
      <c r="D1489" s="165"/>
      <c r="E1489" s="165"/>
      <c r="F1489" s="165"/>
      <c r="G1489" s="166"/>
      <c r="I1489" s="295" t="s">
        <v>787</v>
      </c>
      <c r="J1489" s="295"/>
      <c r="K1489" s="170"/>
      <c r="L1489" s="171"/>
      <c r="M1489" s="50"/>
      <c r="N1489" s="171"/>
      <c r="O1489" s="202"/>
      <c r="P1489" s="202"/>
      <c r="Q1489" s="202"/>
      <c r="R1489" s="162"/>
      <c r="S1489" s="162"/>
    </row>
    <row r="1490" spans="1:19">
      <c r="A1490" s="294"/>
      <c r="B1490" s="161"/>
      <c r="C1490" s="162"/>
      <c r="D1490" s="162"/>
      <c r="E1490" s="162"/>
      <c r="F1490" s="162"/>
      <c r="G1490" s="163"/>
      <c r="I1490" s="295" t="s">
        <v>788</v>
      </c>
      <c r="J1490" s="295"/>
      <c r="K1490" s="170"/>
      <c r="L1490" s="171"/>
      <c r="M1490" s="50"/>
      <c r="N1490" s="171"/>
      <c r="O1490" s="202"/>
      <c r="P1490" s="202"/>
      <c r="Q1490" s="202"/>
      <c r="R1490" s="162"/>
      <c r="S1490" s="162"/>
    </row>
    <row r="1491" spans="1:19">
      <c r="A1491" s="294"/>
      <c r="B1491" s="164"/>
      <c r="C1491" s="165"/>
      <c r="D1491" s="165"/>
      <c r="E1491" s="165"/>
      <c r="F1491" s="165"/>
      <c r="G1491" s="166"/>
      <c r="I1491" s="295" t="s">
        <v>789</v>
      </c>
      <c r="J1491" s="295"/>
      <c r="K1491" s="170"/>
      <c r="L1491" s="171"/>
      <c r="M1491" s="50"/>
      <c r="N1491" s="171"/>
      <c r="O1491" s="202"/>
      <c r="P1491" s="202"/>
      <c r="Q1491" s="202"/>
      <c r="R1491" s="162"/>
      <c r="S1491" s="162"/>
    </row>
    <row r="1492" spans="1:19">
      <c r="A1492" s="63"/>
      <c r="B1492" s="63"/>
      <c r="C1492" s="63"/>
      <c r="D1492" s="63"/>
      <c r="E1492" s="63"/>
      <c r="F1492" s="63"/>
      <c r="G1492" s="63"/>
      <c r="I1492" s="295" t="s">
        <v>790</v>
      </c>
      <c r="J1492" s="295"/>
      <c r="K1492" s="170"/>
      <c r="L1492" s="171"/>
      <c r="M1492" s="50"/>
      <c r="N1492" s="171"/>
      <c r="O1492" s="202"/>
      <c r="P1492" s="202"/>
      <c r="Q1492" s="202"/>
      <c r="R1492" s="162"/>
      <c r="S1492" s="162"/>
    </row>
    <row r="1493" spans="1:19">
      <c r="A1493" s="63"/>
      <c r="B1493" s="63"/>
      <c r="C1493" s="63"/>
      <c r="D1493" s="63"/>
      <c r="E1493" s="63"/>
      <c r="F1493" s="63"/>
      <c r="G1493" s="63"/>
      <c r="I1493" s="295" t="s">
        <v>791</v>
      </c>
      <c r="J1493" s="295"/>
      <c r="K1493" s="170"/>
      <c r="L1493" s="171"/>
      <c r="M1493" s="50"/>
      <c r="N1493" s="171"/>
      <c r="O1493" s="202"/>
      <c r="P1493" s="202"/>
      <c r="Q1493" s="202"/>
      <c r="R1493" s="162"/>
      <c r="S1493" s="162"/>
    </row>
    <row r="1494" spans="1:19">
      <c r="A1494" s="63"/>
      <c r="B1494" s="63"/>
      <c r="C1494" s="63"/>
      <c r="D1494" s="63"/>
      <c r="E1494" s="63"/>
      <c r="F1494" s="63"/>
      <c r="G1494" s="63"/>
      <c r="I1494" s="296" t="s">
        <v>792</v>
      </c>
      <c r="J1494" s="296"/>
      <c r="K1494" s="170"/>
      <c r="L1494" s="171"/>
      <c r="M1494" s="50"/>
      <c r="N1494" s="171"/>
      <c r="O1494" s="202"/>
      <c r="P1494" s="202"/>
      <c r="Q1494" s="202"/>
      <c r="R1494" s="162"/>
      <c r="S1494" s="162"/>
    </row>
    <row r="1495" spans="1:19" ht="17.25" thickBot="1">
      <c r="A1495" s="63"/>
      <c r="B1495" s="63"/>
      <c r="C1495" s="63"/>
      <c r="D1495" s="63"/>
      <c r="E1495" s="63"/>
      <c r="F1495" s="63"/>
      <c r="G1495" s="63"/>
      <c r="I1495" s="297" t="s">
        <v>793</v>
      </c>
      <c r="J1495" s="297"/>
      <c r="K1495" s="172">
        <f t="shared" ref="K1495:S1495" si="659">SUM(K1484:K1494)</f>
        <v>0</v>
      </c>
      <c r="L1495" s="205">
        <f t="shared" si="659"/>
        <v>0</v>
      </c>
      <c r="M1495" s="205">
        <f t="shared" si="659"/>
        <v>0</v>
      </c>
      <c r="N1495" s="205">
        <f t="shared" si="659"/>
        <v>0</v>
      </c>
      <c r="O1495" s="174">
        <f t="shared" si="659"/>
        <v>0</v>
      </c>
      <c r="P1495" s="174">
        <f t="shared" si="659"/>
        <v>0</v>
      </c>
      <c r="Q1495" s="174">
        <f t="shared" si="659"/>
        <v>0</v>
      </c>
      <c r="R1495" s="175">
        <f t="shared" si="659"/>
        <v>0</v>
      </c>
      <c r="S1495" s="175">
        <f t="shared" si="659"/>
        <v>0</v>
      </c>
    </row>
    <row r="1496" spans="1:19" ht="17.25" thickBot="1">
      <c r="A1496" s="63"/>
      <c r="B1496" s="63"/>
      <c r="C1496" s="63"/>
      <c r="D1496" s="63"/>
      <c r="E1496" s="63"/>
      <c r="F1496" s="63"/>
      <c r="G1496" s="63"/>
      <c r="I1496" s="298" t="s">
        <v>794</v>
      </c>
      <c r="J1496" s="299"/>
      <c r="K1496" s="176">
        <f t="shared" ref="K1496" si="660">S1475-K1495</f>
        <v>0</v>
      </c>
      <c r="L1496" s="177">
        <f t="shared" ref="L1496" si="661">K1495-L1495</f>
        <v>0</v>
      </c>
      <c r="M1496" s="177">
        <f t="shared" ref="M1496" si="662">K1495-M1495</f>
        <v>0</v>
      </c>
      <c r="N1496" s="177">
        <f t="shared" ref="N1496" si="663">K1495-N1495</f>
        <v>0</v>
      </c>
      <c r="O1496" s="178">
        <f t="shared" ref="O1496" si="664">K1495-O1495</f>
        <v>0</v>
      </c>
      <c r="P1496" s="178">
        <f t="shared" ref="P1496" si="665">K1495-P1495</f>
        <v>0</v>
      </c>
      <c r="Q1496" s="178">
        <f t="shared" ref="Q1496" si="666">K1495-Q1495</f>
        <v>0</v>
      </c>
      <c r="R1496" s="179">
        <f t="shared" ref="R1496" si="667">K1495-R1495</f>
        <v>0</v>
      </c>
      <c r="S1496" s="180">
        <f t="shared" ref="S1496" si="668">L1495-S1495</f>
        <v>0</v>
      </c>
    </row>
    <row r="1497" spans="1:19">
      <c r="A1497" s="63"/>
      <c r="B1497" s="63"/>
      <c r="C1497" s="63"/>
      <c r="D1497" s="63"/>
      <c r="E1497" s="63"/>
      <c r="F1497" s="63"/>
      <c r="G1497" s="63"/>
      <c r="I1497" s="300" t="s">
        <v>795</v>
      </c>
      <c r="J1497" s="301"/>
      <c r="K1497" s="181"/>
      <c r="L1497" s="182"/>
      <c r="M1497" s="182"/>
      <c r="N1497" s="182"/>
      <c r="O1497" s="183"/>
      <c r="P1497" s="182"/>
      <c r="Q1497" s="182"/>
      <c r="R1497" s="182"/>
      <c r="S1497" s="182"/>
    </row>
    <row r="1498" spans="1:19">
      <c r="A1498" s="63"/>
      <c r="B1498" s="63"/>
      <c r="C1498" s="63"/>
      <c r="D1498" s="63"/>
      <c r="E1498" s="63"/>
      <c r="F1498" s="63"/>
      <c r="G1498" s="63"/>
      <c r="I1498" s="302" t="s">
        <v>796</v>
      </c>
      <c r="J1498" s="302"/>
      <c r="K1498" s="184"/>
      <c r="L1498" s="203"/>
      <c r="M1498" s="203"/>
      <c r="N1498" s="203"/>
      <c r="O1498" s="203"/>
      <c r="P1498" s="203"/>
      <c r="Q1498" s="203"/>
      <c r="R1498" s="203"/>
      <c r="S1498" s="203"/>
    </row>
    <row r="1499" spans="1:19">
      <c r="A1499" s="63"/>
      <c r="B1499" s="63"/>
      <c r="C1499" s="63"/>
      <c r="D1499" s="63"/>
      <c r="E1499" s="63"/>
      <c r="F1499" s="63"/>
      <c r="G1499" s="63"/>
      <c r="I1499" s="302" t="s">
        <v>797</v>
      </c>
      <c r="J1499" s="302"/>
      <c r="K1499" s="184"/>
      <c r="L1499" s="203"/>
      <c r="M1499" s="203"/>
      <c r="N1499" s="203"/>
      <c r="O1499" s="203"/>
      <c r="P1499" s="203"/>
      <c r="Q1499" s="203"/>
      <c r="R1499" s="203"/>
      <c r="S1499" s="203"/>
    </row>
    <row r="1500" spans="1:19">
      <c r="A1500" s="63"/>
      <c r="B1500" s="63"/>
      <c r="C1500" s="63"/>
      <c r="D1500" s="63"/>
      <c r="E1500" s="63"/>
      <c r="F1500" s="63"/>
      <c r="G1500" s="63"/>
      <c r="I1500" s="303" t="s">
        <v>798</v>
      </c>
      <c r="J1500" s="303"/>
      <c r="K1500" s="184"/>
      <c r="L1500" s="185"/>
      <c r="M1500" s="185"/>
      <c r="N1500" s="185"/>
      <c r="O1500" s="185"/>
      <c r="P1500" s="204"/>
      <c r="Q1500" s="204"/>
      <c r="R1500" s="204"/>
      <c r="S1500" s="204"/>
    </row>
    <row r="1501" spans="1:19">
      <c r="A1501" s="3" t="s">
        <v>801</v>
      </c>
      <c r="B1501" s="201" t="s">
        <v>802</v>
      </c>
      <c r="C1501" s="201" t="s">
        <v>803</v>
      </c>
      <c r="D1501" s="201" t="s">
        <v>119</v>
      </c>
      <c r="E1501" s="201" t="s">
        <v>148</v>
      </c>
      <c r="F1501" s="201" t="s">
        <v>806</v>
      </c>
      <c r="G1501" s="201" t="s">
        <v>81</v>
      </c>
      <c r="I1501" s="187"/>
      <c r="J1501" s="187"/>
      <c r="K1501" s="187"/>
      <c r="L1501" s="188"/>
      <c r="M1501" s="188"/>
      <c r="N1501" s="188"/>
      <c r="O1501" s="188"/>
      <c r="P1501" s="187"/>
      <c r="Q1501" s="187"/>
      <c r="R1501" s="187"/>
      <c r="S1501" s="187"/>
    </row>
    <row r="1502" spans="1:19">
      <c r="A1502" s="293">
        <v>44114</v>
      </c>
      <c r="B1502" s="161"/>
      <c r="C1502" s="162"/>
      <c r="D1502" s="162"/>
      <c r="E1502" s="162"/>
      <c r="F1502" s="162"/>
      <c r="G1502" s="163"/>
      <c r="I1502" s="191"/>
      <c r="J1502" s="190"/>
      <c r="K1502" s="190"/>
      <c r="L1502" s="190"/>
      <c r="M1502" s="190">
        <v>44114</v>
      </c>
      <c r="N1502" s="189" t="s">
        <v>864</v>
      </c>
      <c r="O1502" s="189"/>
      <c r="P1502" s="189"/>
      <c r="Q1502" s="189"/>
      <c r="R1502" s="189"/>
      <c r="S1502" s="189"/>
    </row>
    <row r="1503" spans="1:19">
      <c r="A1503" s="294"/>
      <c r="B1503" s="164"/>
      <c r="C1503" s="165"/>
      <c r="D1503" s="165"/>
      <c r="E1503" s="165"/>
      <c r="F1503" s="165"/>
      <c r="G1503" s="166"/>
      <c r="I1503" s="304"/>
      <c r="J1503" s="304"/>
      <c r="K1503" s="167"/>
      <c r="L1503" s="168"/>
      <c r="M1503" s="168"/>
      <c r="N1503" s="168"/>
      <c r="O1503" s="169"/>
      <c r="P1503" s="169"/>
      <c r="Q1503" s="169"/>
      <c r="R1503" s="161"/>
      <c r="S1503" s="161"/>
    </row>
    <row r="1504" spans="1:19">
      <c r="A1504" s="294"/>
      <c r="B1504" s="161"/>
      <c r="C1504" s="162"/>
      <c r="D1504" s="162"/>
      <c r="E1504" s="162"/>
      <c r="F1504" s="162"/>
      <c r="G1504" s="163"/>
      <c r="I1504" s="295" t="s">
        <v>782</v>
      </c>
      <c r="J1504" s="296"/>
      <c r="K1504" s="170"/>
      <c r="L1504" s="171"/>
      <c r="M1504" s="50"/>
      <c r="N1504" s="171"/>
      <c r="O1504" s="202"/>
      <c r="P1504" s="202"/>
      <c r="Q1504" s="202"/>
      <c r="R1504" s="162"/>
      <c r="S1504" s="162"/>
    </row>
    <row r="1505" spans="1:19">
      <c r="A1505" s="294"/>
      <c r="B1505" s="164"/>
      <c r="C1505" s="165"/>
      <c r="D1505" s="165"/>
      <c r="E1505" s="165"/>
      <c r="F1505" s="165"/>
      <c r="G1505" s="166"/>
      <c r="I1505" s="295" t="s">
        <v>783</v>
      </c>
      <c r="J1505" s="295"/>
      <c r="K1505" s="170"/>
      <c r="L1505" s="171"/>
      <c r="M1505" s="50"/>
      <c r="N1505" s="171"/>
      <c r="O1505" s="202"/>
      <c r="P1505" s="202"/>
      <c r="Q1505" s="202"/>
      <c r="R1505" s="162"/>
      <c r="S1505" s="162"/>
    </row>
    <row r="1506" spans="1:19">
      <c r="A1506" s="294"/>
      <c r="B1506" s="161"/>
      <c r="C1506" s="162"/>
      <c r="D1506" s="162"/>
      <c r="E1506" s="162"/>
      <c r="F1506" s="162"/>
      <c r="G1506" s="163"/>
      <c r="I1506" s="295" t="s">
        <v>784</v>
      </c>
      <c r="J1506" s="295"/>
      <c r="K1506" s="170"/>
      <c r="L1506" s="171"/>
      <c r="M1506" s="50"/>
      <c r="N1506" s="171"/>
      <c r="O1506" s="202"/>
      <c r="P1506" s="202"/>
      <c r="Q1506" s="202"/>
      <c r="R1506" s="162"/>
      <c r="S1506" s="162"/>
    </row>
    <row r="1507" spans="1:19">
      <c r="A1507" s="294"/>
      <c r="B1507" s="164"/>
      <c r="C1507" s="165"/>
      <c r="D1507" s="165"/>
      <c r="E1507" s="165"/>
      <c r="F1507" s="165"/>
      <c r="G1507" s="166"/>
      <c r="I1507" s="295" t="s">
        <v>785</v>
      </c>
      <c r="J1507" s="295"/>
      <c r="K1507" s="170"/>
      <c r="L1507" s="171"/>
      <c r="M1507" s="50"/>
      <c r="N1507" s="171"/>
      <c r="O1507" s="202"/>
      <c r="P1507" s="202"/>
      <c r="Q1507" s="202"/>
      <c r="R1507" s="162"/>
      <c r="S1507" s="162"/>
    </row>
    <row r="1508" spans="1:19">
      <c r="A1508" s="294"/>
      <c r="B1508" s="161"/>
      <c r="C1508" s="162"/>
      <c r="D1508" s="162"/>
      <c r="E1508" s="162"/>
      <c r="F1508" s="162"/>
      <c r="G1508" s="163"/>
      <c r="I1508" s="295" t="s">
        <v>786</v>
      </c>
      <c r="J1508" s="295"/>
      <c r="K1508" s="170"/>
      <c r="L1508" s="171"/>
      <c r="M1508" s="50"/>
      <c r="N1508" s="171"/>
      <c r="O1508" s="202"/>
      <c r="P1508" s="202"/>
      <c r="Q1508" s="202"/>
      <c r="R1508" s="162"/>
      <c r="S1508" s="162"/>
    </row>
    <row r="1509" spans="1:19">
      <c r="A1509" s="294"/>
      <c r="B1509" s="164"/>
      <c r="C1509" s="165"/>
      <c r="D1509" s="165"/>
      <c r="E1509" s="165"/>
      <c r="F1509" s="165"/>
      <c r="G1509" s="166"/>
      <c r="I1509" s="295" t="s">
        <v>787</v>
      </c>
      <c r="J1509" s="295"/>
      <c r="K1509" s="170"/>
      <c r="L1509" s="171"/>
      <c r="M1509" s="50"/>
      <c r="N1509" s="171"/>
      <c r="O1509" s="202"/>
      <c r="P1509" s="202"/>
      <c r="Q1509" s="202"/>
      <c r="R1509" s="162"/>
      <c r="S1509" s="162"/>
    </row>
    <row r="1510" spans="1:19">
      <c r="A1510" s="294"/>
      <c r="B1510" s="161"/>
      <c r="C1510" s="162"/>
      <c r="D1510" s="162"/>
      <c r="E1510" s="162"/>
      <c r="F1510" s="162"/>
      <c r="G1510" s="163"/>
      <c r="I1510" s="295" t="s">
        <v>788</v>
      </c>
      <c r="J1510" s="295"/>
      <c r="K1510" s="170"/>
      <c r="L1510" s="171"/>
      <c r="M1510" s="50"/>
      <c r="N1510" s="171"/>
      <c r="O1510" s="202"/>
      <c r="P1510" s="202"/>
      <c r="Q1510" s="202"/>
      <c r="R1510" s="162"/>
      <c r="S1510" s="162"/>
    </row>
    <row r="1511" spans="1:19">
      <c r="A1511" s="294"/>
      <c r="B1511" s="164"/>
      <c r="C1511" s="165"/>
      <c r="D1511" s="165"/>
      <c r="E1511" s="165"/>
      <c r="F1511" s="165"/>
      <c r="G1511" s="166"/>
      <c r="I1511" s="295" t="s">
        <v>789</v>
      </c>
      <c r="J1511" s="295"/>
      <c r="K1511" s="170"/>
      <c r="L1511" s="171"/>
      <c r="M1511" s="50"/>
      <c r="N1511" s="171"/>
      <c r="O1511" s="202"/>
      <c r="P1511" s="202"/>
      <c r="Q1511" s="202"/>
      <c r="R1511" s="162"/>
      <c r="S1511" s="162"/>
    </row>
    <row r="1512" spans="1:19">
      <c r="A1512" s="63"/>
      <c r="B1512" s="63"/>
      <c r="C1512" s="63"/>
      <c r="D1512" s="63"/>
      <c r="E1512" s="63"/>
      <c r="F1512" s="63"/>
      <c r="G1512" s="63"/>
      <c r="I1512" s="295" t="s">
        <v>790</v>
      </c>
      <c r="J1512" s="295"/>
      <c r="K1512" s="170"/>
      <c r="L1512" s="171"/>
      <c r="M1512" s="50"/>
      <c r="N1512" s="171"/>
      <c r="O1512" s="202"/>
      <c r="P1512" s="202"/>
      <c r="Q1512" s="202"/>
      <c r="R1512" s="162"/>
      <c r="S1512" s="162"/>
    </row>
    <row r="1513" spans="1:19">
      <c r="A1513" s="63"/>
      <c r="B1513" s="63"/>
      <c r="C1513" s="63"/>
      <c r="D1513" s="63"/>
      <c r="E1513" s="63"/>
      <c r="F1513" s="63"/>
      <c r="G1513" s="63"/>
      <c r="I1513" s="295" t="s">
        <v>791</v>
      </c>
      <c r="J1513" s="295"/>
      <c r="K1513" s="170"/>
      <c r="L1513" s="171"/>
      <c r="M1513" s="50"/>
      <c r="N1513" s="171"/>
      <c r="O1513" s="202"/>
      <c r="P1513" s="202"/>
      <c r="Q1513" s="202"/>
      <c r="R1513" s="162"/>
      <c r="S1513" s="162"/>
    </row>
    <row r="1514" spans="1:19">
      <c r="A1514" s="63"/>
      <c r="B1514" s="63"/>
      <c r="C1514" s="63"/>
      <c r="D1514" s="63"/>
      <c r="E1514" s="63"/>
      <c r="F1514" s="63"/>
      <c r="G1514" s="63"/>
      <c r="I1514" s="296" t="s">
        <v>792</v>
      </c>
      <c r="J1514" s="296"/>
      <c r="K1514" s="170"/>
      <c r="L1514" s="171"/>
      <c r="M1514" s="50"/>
      <c r="N1514" s="171"/>
      <c r="O1514" s="202"/>
      <c r="P1514" s="202"/>
      <c r="Q1514" s="202"/>
      <c r="R1514" s="162"/>
      <c r="S1514" s="162"/>
    </row>
    <row r="1515" spans="1:19" ht="17.25" thickBot="1">
      <c r="A1515" s="63"/>
      <c r="B1515" s="63"/>
      <c r="C1515" s="63"/>
      <c r="D1515" s="63"/>
      <c r="E1515" s="63"/>
      <c r="F1515" s="63"/>
      <c r="G1515" s="63"/>
      <c r="I1515" s="297" t="s">
        <v>793</v>
      </c>
      <c r="J1515" s="297"/>
      <c r="K1515" s="172">
        <f t="shared" ref="K1515:S1515" si="669">SUM(K1504:K1514)</f>
        <v>0</v>
      </c>
      <c r="L1515" s="205">
        <f t="shared" si="669"/>
        <v>0</v>
      </c>
      <c r="M1515" s="205">
        <f t="shared" si="669"/>
        <v>0</v>
      </c>
      <c r="N1515" s="205">
        <f t="shared" si="669"/>
        <v>0</v>
      </c>
      <c r="O1515" s="174">
        <f t="shared" si="669"/>
        <v>0</v>
      </c>
      <c r="P1515" s="174">
        <f t="shared" si="669"/>
        <v>0</v>
      </c>
      <c r="Q1515" s="174">
        <f t="shared" si="669"/>
        <v>0</v>
      </c>
      <c r="R1515" s="175">
        <f t="shared" si="669"/>
        <v>0</v>
      </c>
      <c r="S1515" s="175">
        <f t="shared" si="669"/>
        <v>0</v>
      </c>
    </row>
    <row r="1516" spans="1:19" ht="17.25" thickBot="1">
      <c r="A1516" s="63"/>
      <c r="B1516" s="63"/>
      <c r="C1516" s="63"/>
      <c r="D1516" s="63"/>
      <c r="E1516" s="63"/>
      <c r="F1516" s="63"/>
      <c r="G1516" s="63"/>
      <c r="I1516" s="298" t="s">
        <v>794</v>
      </c>
      <c r="J1516" s="299"/>
      <c r="K1516" s="176">
        <f t="shared" ref="K1516" si="670">S1495-K1515</f>
        <v>0</v>
      </c>
      <c r="L1516" s="177">
        <f t="shared" ref="L1516" si="671">K1515-L1515</f>
        <v>0</v>
      </c>
      <c r="M1516" s="177">
        <f t="shared" ref="M1516" si="672">K1515-M1515</f>
        <v>0</v>
      </c>
      <c r="N1516" s="177">
        <f t="shared" ref="N1516" si="673">K1515-N1515</f>
        <v>0</v>
      </c>
      <c r="O1516" s="178">
        <f t="shared" ref="O1516" si="674">K1515-O1515</f>
        <v>0</v>
      </c>
      <c r="P1516" s="178">
        <f t="shared" ref="P1516" si="675">K1515-P1515</f>
        <v>0</v>
      </c>
      <c r="Q1516" s="178">
        <f t="shared" ref="Q1516" si="676">K1515-Q1515</f>
        <v>0</v>
      </c>
      <c r="R1516" s="179">
        <f t="shared" ref="R1516" si="677">K1515-R1515</f>
        <v>0</v>
      </c>
      <c r="S1516" s="180">
        <f t="shared" ref="S1516" si="678">L1515-S1515</f>
        <v>0</v>
      </c>
    </row>
    <row r="1517" spans="1:19">
      <c r="A1517" s="63"/>
      <c r="B1517" s="63"/>
      <c r="C1517" s="63"/>
      <c r="D1517" s="63"/>
      <c r="E1517" s="63"/>
      <c r="F1517" s="63"/>
      <c r="G1517" s="63"/>
      <c r="I1517" s="300" t="s">
        <v>795</v>
      </c>
      <c r="J1517" s="301"/>
      <c r="K1517" s="181"/>
      <c r="L1517" s="182"/>
      <c r="M1517" s="182"/>
      <c r="N1517" s="182"/>
      <c r="O1517" s="183"/>
      <c r="P1517" s="182"/>
      <c r="Q1517" s="182"/>
      <c r="R1517" s="182"/>
      <c r="S1517" s="182"/>
    </row>
    <row r="1518" spans="1:19">
      <c r="A1518" s="63"/>
      <c r="B1518" s="63"/>
      <c r="C1518" s="63"/>
      <c r="D1518" s="63"/>
      <c r="E1518" s="63"/>
      <c r="F1518" s="63"/>
      <c r="G1518" s="63"/>
      <c r="I1518" s="302" t="s">
        <v>796</v>
      </c>
      <c r="J1518" s="302"/>
      <c r="K1518" s="184"/>
      <c r="L1518" s="203"/>
      <c r="M1518" s="203"/>
      <c r="N1518" s="203"/>
      <c r="O1518" s="203"/>
      <c r="P1518" s="203"/>
      <c r="Q1518" s="203"/>
      <c r="R1518" s="203"/>
      <c r="S1518" s="203"/>
    </row>
    <row r="1519" spans="1:19">
      <c r="A1519" s="63"/>
      <c r="B1519" s="63"/>
      <c r="C1519" s="63"/>
      <c r="D1519" s="63"/>
      <c r="E1519" s="63"/>
      <c r="F1519" s="63"/>
      <c r="G1519" s="63"/>
      <c r="I1519" s="302" t="s">
        <v>797</v>
      </c>
      <c r="J1519" s="302"/>
      <c r="K1519" s="184"/>
      <c r="L1519" s="203"/>
      <c r="M1519" s="203"/>
      <c r="N1519" s="203"/>
      <c r="O1519" s="203"/>
      <c r="P1519" s="203"/>
      <c r="Q1519" s="203"/>
      <c r="R1519" s="203"/>
      <c r="S1519" s="203"/>
    </row>
    <row r="1520" spans="1:19">
      <c r="A1520" s="63"/>
      <c r="B1520" s="63"/>
      <c r="C1520" s="63"/>
      <c r="D1520" s="63"/>
      <c r="E1520" s="63"/>
      <c r="F1520" s="63"/>
      <c r="G1520" s="63"/>
      <c r="I1520" s="303" t="s">
        <v>798</v>
      </c>
      <c r="J1520" s="303"/>
      <c r="K1520" s="184"/>
      <c r="L1520" s="185"/>
      <c r="M1520" s="185"/>
      <c r="N1520" s="185"/>
      <c r="O1520" s="185"/>
      <c r="P1520" s="204"/>
      <c r="Q1520" s="204"/>
      <c r="R1520" s="204"/>
      <c r="S1520" s="204"/>
    </row>
    <row r="1521" spans="1:19">
      <c r="A1521" s="3" t="s">
        <v>801</v>
      </c>
      <c r="B1521" s="201" t="s">
        <v>802</v>
      </c>
      <c r="C1521" s="201" t="s">
        <v>803</v>
      </c>
      <c r="D1521" s="201" t="s">
        <v>119</v>
      </c>
      <c r="E1521" s="201" t="s">
        <v>148</v>
      </c>
      <c r="F1521" s="201" t="s">
        <v>806</v>
      </c>
      <c r="G1521" s="201" t="s">
        <v>81</v>
      </c>
      <c r="I1521" s="187"/>
      <c r="J1521" s="187"/>
      <c r="K1521" s="187"/>
      <c r="L1521" s="188"/>
      <c r="M1521" s="188"/>
      <c r="N1521" s="188"/>
      <c r="O1521" s="188"/>
      <c r="P1521" s="187"/>
      <c r="Q1521" s="187"/>
      <c r="R1521" s="187"/>
      <c r="S1521" s="187"/>
    </row>
    <row r="1522" spans="1:19">
      <c r="A1522" s="293">
        <v>44115</v>
      </c>
      <c r="B1522" s="161"/>
      <c r="C1522" s="162"/>
      <c r="D1522" s="162"/>
      <c r="E1522" s="162"/>
      <c r="F1522" s="162"/>
      <c r="G1522" s="163"/>
      <c r="I1522" s="191"/>
      <c r="J1522" s="190"/>
      <c r="K1522" s="190"/>
      <c r="L1522" s="190"/>
      <c r="M1522" s="190">
        <v>44115</v>
      </c>
      <c r="N1522" s="189" t="s">
        <v>864</v>
      </c>
      <c r="O1522" s="189"/>
      <c r="P1522" s="189"/>
      <c r="Q1522" s="189"/>
      <c r="R1522" s="189"/>
      <c r="S1522" s="189"/>
    </row>
    <row r="1523" spans="1:19">
      <c r="A1523" s="294"/>
      <c r="B1523" s="164"/>
      <c r="C1523" s="165"/>
      <c r="D1523" s="165"/>
      <c r="E1523" s="165"/>
      <c r="F1523" s="165"/>
      <c r="G1523" s="166"/>
      <c r="I1523" s="304"/>
      <c r="J1523" s="304"/>
      <c r="K1523" s="167"/>
      <c r="L1523" s="168"/>
      <c r="M1523" s="168"/>
      <c r="N1523" s="168"/>
      <c r="O1523" s="169"/>
      <c r="P1523" s="169"/>
      <c r="Q1523" s="169"/>
      <c r="R1523" s="161"/>
      <c r="S1523" s="161"/>
    </row>
    <row r="1524" spans="1:19">
      <c r="A1524" s="294"/>
      <c r="B1524" s="161"/>
      <c r="C1524" s="162"/>
      <c r="D1524" s="162"/>
      <c r="E1524" s="162"/>
      <c r="F1524" s="162"/>
      <c r="G1524" s="163"/>
      <c r="I1524" s="295" t="s">
        <v>782</v>
      </c>
      <c r="J1524" s="296"/>
      <c r="K1524" s="170"/>
      <c r="L1524" s="171"/>
      <c r="M1524" s="50"/>
      <c r="N1524" s="171"/>
      <c r="O1524" s="202"/>
      <c r="P1524" s="202"/>
      <c r="Q1524" s="202"/>
      <c r="R1524" s="162"/>
      <c r="S1524" s="162"/>
    </row>
    <row r="1525" spans="1:19">
      <c r="A1525" s="294"/>
      <c r="B1525" s="164"/>
      <c r="C1525" s="165"/>
      <c r="D1525" s="165"/>
      <c r="E1525" s="165"/>
      <c r="F1525" s="165"/>
      <c r="G1525" s="166"/>
      <c r="I1525" s="295" t="s">
        <v>783</v>
      </c>
      <c r="J1525" s="295"/>
      <c r="K1525" s="170"/>
      <c r="L1525" s="171"/>
      <c r="M1525" s="50"/>
      <c r="N1525" s="171"/>
      <c r="O1525" s="202"/>
      <c r="P1525" s="202"/>
      <c r="Q1525" s="202"/>
      <c r="R1525" s="162"/>
      <c r="S1525" s="162"/>
    </row>
    <row r="1526" spans="1:19">
      <c r="A1526" s="294"/>
      <c r="B1526" s="161"/>
      <c r="C1526" s="162"/>
      <c r="D1526" s="162"/>
      <c r="E1526" s="162"/>
      <c r="F1526" s="162"/>
      <c r="G1526" s="163"/>
      <c r="I1526" s="295" t="s">
        <v>784</v>
      </c>
      <c r="J1526" s="295"/>
      <c r="K1526" s="170"/>
      <c r="L1526" s="171"/>
      <c r="M1526" s="50"/>
      <c r="N1526" s="171"/>
      <c r="O1526" s="202"/>
      <c r="P1526" s="202"/>
      <c r="Q1526" s="202"/>
      <c r="R1526" s="162"/>
      <c r="S1526" s="162"/>
    </row>
    <row r="1527" spans="1:19">
      <c r="A1527" s="294"/>
      <c r="B1527" s="164"/>
      <c r="C1527" s="165"/>
      <c r="D1527" s="165"/>
      <c r="E1527" s="165"/>
      <c r="F1527" s="165"/>
      <c r="G1527" s="166"/>
      <c r="I1527" s="295" t="s">
        <v>785</v>
      </c>
      <c r="J1527" s="295"/>
      <c r="K1527" s="170"/>
      <c r="L1527" s="171"/>
      <c r="M1527" s="50"/>
      <c r="N1527" s="171"/>
      <c r="O1527" s="202"/>
      <c r="P1527" s="202"/>
      <c r="Q1527" s="202"/>
      <c r="R1527" s="162"/>
      <c r="S1527" s="162"/>
    </row>
    <row r="1528" spans="1:19">
      <c r="A1528" s="294"/>
      <c r="B1528" s="161"/>
      <c r="C1528" s="162"/>
      <c r="D1528" s="162"/>
      <c r="E1528" s="162"/>
      <c r="F1528" s="162"/>
      <c r="G1528" s="163"/>
      <c r="I1528" s="295" t="s">
        <v>786</v>
      </c>
      <c r="J1528" s="295"/>
      <c r="K1528" s="170"/>
      <c r="L1528" s="171"/>
      <c r="M1528" s="50"/>
      <c r="N1528" s="171"/>
      <c r="O1528" s="202"/>
      <c r="P1528" s="202"/>
      <c r="Q1528" s="202"/>
      <c r="R1528" s="162"/>
      <c r="S1528" s="162"/>
    </row>
    <row r="1529" spans="1:19">
      <c r="A1529" s="294"/>
      <c r="B1529" s="164"/>
      <c r="C1529" s="165"/>
      <c r="D1529" s="165"/>
      <c r="E1529" s="165"/>
      <c r="F1529" s="165"/>
      <c r="G1529" s="166"/>
      <c r="I1529" s="295" t="s">
        <v>787</v>
      </c>
      <c r="J1529" s="295"/>
      <c r="K1529" s="170"/>
      <c r="L1529" s="171"/>
      <c r="M1529" s="50"/>
      <c r="N1529" s="171"/>
      <c r="O1529" s="202"/>
      <c r="P1529" s="202"/>
      <c r="Q1529" s="202"/>
      <c r="R1529" s="162"/>
      <c r="S1529" s="162"/>
    </row>
    <row r="1530" spans="1:19">
      <c r="A1530" s="294"/>
      <c r="B1530" s="161"/>
      <c r="C1530" s="162"/>
      <c r="D1530" s="162"/>
      <c r="E1530" s="162"/>
      <c r="F1530" s="162"/>
      <c r="G1530" s="163"/>
      <c r="I1530" s="295" t="s">
        <v>788</v>
      </c>
      <c r="J1530" s="295"/>
      <c r="K1530" s="170"/>
      <c r="L1530" s="171"/>
      <c r="M1530" s="50"/>
      <c r="N1530" s="171"/>
      <c r="O1530" s="202"/>
      <c r="P1530" s="202"/>
      <c r="Q1530" s="202"/>
      <c r="R1530" s="162"/>
      <c r="S1530" s="162"/>
    </row>
    <row r="1531" spans="1:19">
      <c r="A1531" s="294"/>
      <c r="B1531" s="164"/>
      <c r="C1531" s="165"/>
      <c r="D1531" s="165"/>
      <c r="E1531" s="165"/>
      <c r="F1531" s="165"/>
      <c r="G1531" s="166"/>
      <c r="I1531" s="295" t="s">
        <v>789</v>
      </c>
      <c r="J1531" s="295"/>
      <c r="K1531" s="170"/>
      <c r="L1531" s="171"/>
      <c r="M1531" s="50"/>
      <c r="N1531" s="171"/>
      <c r="O1531" s="202"/>
      <c r="P1531" s="202"/>
      <c r="Q1531" s="202"/>
      <c r="R1531" s="162"/>
      <c r="S1531" s="162"/>
    </row>
    <row r="1532" spans="1:19">
      <c r="A1532" s="63"/>
      <c r="B1532" s="63"/>
      <c r="C1532" s="63"/>
      <c r="D1532" s="63"/>
      <c r="E1532" s="63"/>
      <c r="F1532" s="63"/>
      <c r="G1532" s="63"/>
      <c r="I1532" s="295" t="s">
        <v>790</v>
      </c>
      <c r="J1532" s="295"/>
      <c r="K1532" s="170"/>
      <c r="L1532" s="171"/>
      <c r="M1532" s="50"/>
      <c r="N1532" s="171"/>
      <c r="O1532" s="202"/>
      <c r="P1532" s="202"/>
      <c r="Q1532" s="202"/>
      <c r="R1532" s="162"/>
      <c r="S1532" s="162"/>
    </row>
    <row r="1533" spans="1:19">
      <c r="A1533" s="63"/>
      <c r="B1533" s="63"/>
      <c r="C1533" s="63"/>
      <c r="D1533" s="63"/>
      <c r="E1533" s="63"/>
      <c r="F1533" s="63"/>
      <c r="G1533" s="63"/>
      <c r="I1533" s="295" t="s">
        <v>791</v>
      </c>
      <c r="J1533" s="295"/>
      <c r="K1533" s="170"/>
      <c r="L1533" s="171"/>
      <c r="M1533" s="50"/>
      <c r="N1533" s="171"/>
      <c r="O1533" s="202"/>
      <c r="P1533" s="202"/>
      <c r="Q1533" s="202"/>
      <c r="R1533" s="162"/>
      <c r="S1533" s="162"/>
    </row>
    <row r="1534" spans="1:19">
      <c r="A1534" s="63"/>
      <c r="B1534" s="63"/>
      <c r="C1534" s="63"/>
      <c r="D1534" s="63"/>
      <c r="E1534" s="63"/>
      <c r="F1534" s="63"/>
      <c r="G1534" s="63"/>
      <c r="I1534" s="296" t="s">
        <v>792</v>
      </c>
      <c r="J1534" s="296"/>
      <c r="K1534" s="170"/>
      <c r="L1534" s="171"/>
      <c r="M1534" s="50"/>
      <c r="N1534" s="171"/>
      <c r="O1534" s="202"/>
      <c r="P1534" s="202"/>
      <c r="Q1534" s="202"/>
      <c r="R1534" s="162"/>
      <c r="S1534" s="162"/>
    </row>
    <row r="1535" spans="1:19" ht="17.25" thickBot="1">
      <c r="A1535" s="63"/>
      <c r="B1535" s="63"/>
      <c r="C1535" s="63"/>
      <c r="D1535" s="63"/>
      <c r="E1535" s="63"/>
      <c r="F1535" s="63"/>
      <c r="G1535" s="63"/>
      <c r="I1535" s="297" t="s">
        <v>793</v>
      </c>
      <c r="J1535" s="297"/>
      <c r="K1535" s="172">
        <f t="shared" ref="K1535:S1535" si="679">SUM(K1524:K1534)</f>
        <v>0</v>
      </c>
      <c r="L1535" s="205">
        <f t="shared" si="679"/>
        <v>0</v>
      </c>
      <c r="M1535" s="205">
        <f t="shared" si="679"/>
        <v>0</v>
      </c>
      <c r="N1535" s="205">
        <f t="shared" si="679"/>
        <v>0</v>
      </c>
      <c r="O1535" s="174">
        <f t="shared" si="679"/>
        <v>0</v>
      </c>
      <c r="P1535" s="174">
        <f t="shared" si="679"/>
        <v>0</v>
      </c>
      <c r="Q1535" s="174">
        <f t="shared" si="679"/>
        <v>0</v>
      </c>
      <c r="R1535" s="175">
        <f t="shared" si="679"/>
        <v>0</v>
      </c>
      <c r="S1535" s="175">
        <f t="shared" si="679"/>
        <v>0</v>
      </c>
    </row>
    <row r="1536" spans="1:19" ht="17.25" thickBot="1">
      <c r="A1536" s="63"/>
      <c r="B1536" s="63"/>
      <c r="C1536" s="63"/>
      <c r="D1536" s="63"/>
      <c r="E1536" s="63"/>
      <c r="F1536" s="63"/>
      <c r="G1536" s="63"/>
      <c r="I1536" s="298" t="s">
        <v>794</v>
      </c>
      <c r="J1536" s="299"/>
      <c r="K1536" s="176">
        <f t="shared" ref="K1536" si="680">S1515-K1535</f>
        <v>0</v>
      </c>
      <c r="L1536" s="177">
        <f t="shared" ref="L1536" si="681">K1535-L1535</f>
        <v>0</v>
      </c>
      <c r="M1536" s="177">
        <f t="shared" ref="M1536" si="682">K1535-M1535</f>
        <v>0</v>
      </c>
      <c r="N1536" s="177">
        <f t="shared" ref="N1536" si="683">K1535-N1535</f>
        <v>0</v>
      </c>
      <c r="O1536" s="178">
        <f t="shared" ref="O1536" si="684">K1535-O1535</f>
        <v>0</v>
      </c>
      <c r="P1536" s="178">
        <f t="shared" ref="P1536" si="685">K1535-P1535</f>
        <v>0</v>
      </c>
      <c r="Q1536" s="178">
        <f t="shared" ref="Q1536" si="686">K1535-Q1535</f>
        <v>0</v>
      </c>
      <c r="R1536" s="179">
        <f t="shared" ref="R1536" si="687">K1535-R1535</f>
        <v>0</v>
      </c>
      <c r="S1536" s="180">
        <f t="shared" ref="S1536" si="688">L1535-S1535</f>
        <v>0</v>
      </c>
    </row>
    <row r="1537" spans="1:19">
      <c r="A1537" s="63"/>
      <c r="B1537" s="63"/>
      <c r="C1537" s="63"/>
      <c r="D1537" s="63"/>
      <c r="E1537" s="63"/>
      <c r="F1537" s="63"/>
      <c r="G1537" s="63"/>
      <c r="I1537" s="300" t="s">
        <v>795</v>
      </c>
      <c r="J1537" s="301"/>
      <c r="K1537" s="181"/>
      <c r="L1537" s="182"/>
      <c r="M1537" s="182"/>
      <c r="N1537" s="182"/>
      <c r="O1537" s="183"/>
      <c r="P1537" s="182"/>
      <c r="Q1537" s="182"/>
      <c r="R1537" s="182"/>
      <c r="S1537" s="182"/>
    </row>
    <row r="1538" spans="1:19">
      <c r="A1538" s="63"/>
      <c r="B1538" s="63"/>
      <c r="C1538" s="63"/>
      <c r="D1538" s="63"/>
      <c r="E1538" s="63"/>
      <c r="F1538" s="63"/>
      <c r="G1538" s="63"/>
      <c r="I1538" s="302" t="s">
        <v>796</v>
      </c>
      <c r="J1538" s="302"/>
      <c r="K1538" s="184"/>
      <c r="L1538" s="203"/>
      <c r="M1538" s="203"/>
      <c r="N1538" s="203"/>
      <c r="O1538" s="203"/>
      <c r="P1538" s="203"/>
      <c r="Q1538" s="203"/>
      <c r="R1538" s="203"/>
      <c r="S1538" s="203"/>
    </row>
    <row r="1539" spans="1:19">
      <c r="A1539" s="63"/>
      <c r="B1539" s="63"/>
      <c r="C1539" s="63"/>
      <c r="D1539" s="63"/>
      <c r="E1539" s="63"/>
      <c r="F1539" s="63"/>
      <c r="G1539" s="63"/>
      <c r="I1539" s="302" t="s">
        <v>797</v>
      </c>
      <c r="J1539" s="302"/>
      <c r="K1539" s="184"/>
      <c r="L1539" s="203"/>
      <c r="M1539" s="203"/>
      <c r="N1539" s="203"/>
      <c r="O1539" s="203"/>
      <c r="P1539" s="203"/>
      <c r="Q1539" s="203"/>
      <c r="R1539" s="203"/>
      <c r="S1539" s="203"/>
    </row>
    <row r="1540" spans="1:19">
      <c r="A1540" s="63"/>
      <c r="B1540" s="63"/>
      <c r="C1540" s="63"/>
      <c r="D1540" s="63"/>
      <c r="E1540" s="63"/>
      <c r="F1540" s="63"/>
      <c r="G1540" s="63"/>
      <c r="I1540" s="303" t="s">
        <v>798</v>
      </c>
      <c r="J1540" s="303"/>
      <c r="K1540" s="184"/>
      <c r="L1540" s="185"/>
      <c r="M1540" s="185"/>
      <c r="N1540" s="185"/>
      <c r="O1540" s="185"/>
      <c r="P1540" s="204"/>
      <c r="Q1540" s="204"/>
      <c r="R1540" s="204"/>
      <c r="S1540" s="204"/>
    </row>
    <row r="1541" spans="1:19">
      <c r="A1541" s="3" t="s">
        <v>801</v>
      </c>
      <c r="B1541" s="201" t="s">
        <v>802</v>
      </c>
      <c r="C1541" s="201" t="s">
        <v>803</v>
      </c>
      <c r="D1541" s="201" t="s">
        <v>119</v>
      </c>
      <c r="E1541" s="201" t="s">
        <v>148</v>
      </c>
      <c r="F1541" s="201" t="s">
        <v>806</v>
      </c>
      <c r="G1541" s="201" t="s">
        <v>81</v>
      </c>
      <c r="I1541" s="187"/>
      <c r="J1541" s="187"/>
      <c r="K1541" s="187"/>
      <c r="L1541" s="188"/>
      <c r="M1541" s="188"/>
      <c r="N1541" s="188"/>
      <c r="O1541" s="188"/>
      <c r="P1541" s="187"/>
      <c r="Q1541" s="187"/>
      <c r="R1541" s="187"/>
      <c r="S1541" s="187"/>
    </row>
    <row r="1542" spans="1:19">
      <c r="A1542" s="293">
        <v>44116</v>
      </c>
      <c r="B1542" s="161"/>
      <c r="C1542" s="162"/>
      <c r="D1542" s="162"/>
      <c r="E1542" s="162"/>
      <c r="F1542" s="162"/>
      <c r="G1542" s="163"/>
      <c r="I1542" s="191"/>
      <c r="J1542" s="190"/>
      <c r="K1542" s="190"/>
      <c r="L1542" s="190"/>
      <c r="M1542" s="190">
        <v>44116</v>
      </c>
      <c r="N1542" s="189" t="s">
        <v>864</v>
      </c>
      <c r="O1542" s="189"/>
      <c r="P1542" s="189"/>
      <c r="Q1542" s="189"/>
      <c r="R1542" s="189"/>
      <c r="S1542" s="189"/>
    </row>
    <row r="1543" spans="1:19">
      <c r="A1543" s="294"/>
      <c r="B1543" s="164"/>
      <c r="C1543" s="165"/>
      <c r="D1543" s="165"/>
      <c r="E1543" s="165"/>
      <c r="F1543" s="165"/>
      <c r="G1543" s="166"/>
      <c r="I1543" s="304"/>
      <c r="J1543" s="304"/>
      <c r="K1543" s="167"/>
      <c r="L1543" s="168"/>
      <c r="M1543" s="168"/>
      <c r="N1543" s="168"/>
      <c r="O1543" s="169"/>
      <c r="P1543" s="169"/>
      <c r="Q1543" s="169"/>
      <c r="R1543" s="161"/>
      <c r="S1543" s="161"/>
    </row>
    <row r="1544" spans="1:19">
      <c r="A1544" s="294"/>
      <c r="B1544" s="161"/>
      <c r="C1544" s="162"/>
      <c r="D1544" s="162"/>
      <c r="E1544" s="162"/>
      <c r="F1544" s="162"/>
      <c r="G1544" s="163"/>
      <c r="I1544" s="295" t="s">
        <v>782</v>
      </c>
      <c r="J1544" s="296"/>
      <c r="K1544" s="170"/>
      <c r="L1544" s="171"/>
      <c r="M1544" s="50"/>
      <c r="N1544" s="171"/>
      <c r="O1544" s="202"/>
      <c r="P1544" s="202"/>
      <c r="Q1544" s="202"/>
      <c r="R1544" s="162"/>
      <c r="S1544" s="162"/>
    </row>
    <row r="1545" spans="1:19">
      <c r="A1545" s="294"/>
      <c r="B1545" s="164"/>
      <c r="C1545" s="165"/>
      <c r="D1545" s="165"/>
      <c r="E1545" s="165"/>
      <c r="F1545" s="165"/>
      <c r="G1545" s="166"/>
      <c r="I1545" s="295" t="s">
        <v>783</v>
      </c>
      <c r="J1545" s="295"/>
      <c r="K1545" s="170"/>
      <c r="L1545" s="171"/>
      <c r="M1545" s="50"/>
      <c r="N1545" s="171"/>
      <c r="O1545" s="202"/>
      <c r="P1545" s="202"/>
      <c r="Q1545" s="202"/>
      <c r="R1545" s="162"/>
      <c r="S1545" s="162"/>
    </row>
    <row r="1546" spans="1:19">
      <c r="A1546" s="294"/>
      <c r="B1546" s="161"/>
      <c r="C1546" s="162"/>
      <c r="D1546" s="162"/>
      <c r="E1546" s="162"/>
      <c r="F1546" s="162"/>
      <c r="G1546" s="163"/>
      <c r="I1546" s="295" t="s">
        <v>784</v>
      </c>
      <c r="J1546" s="295"/>
      <c r="K1546" s="170"/>
      <c r="L1546" s="171"/>
      <c r="M1546" s="50"/>
      <c r="N1546" s="171"/>
      <c r="O1546" s="202"/>
      <c r="P1546" s="202"/>
      <c r="Q1546" s="202"/>
      <c r="R1546" s="162"/>
      <c r="S1546" s="162"/>
    </row>
    <row r="1547" spans="1:19">
      <c r="A1547" s="294"/>
      <c r="B1547" s="164"/>
      <c r="C1547" s="165"/>
      <c r="D1547" s="165"/>
      <c r="E1547" s="165"/>
      <c r="F1547" s="165"/>
      <c r="G1547" s="166"/>
      <c r="I1547" s="295" t="s">
        <v>785</v>
      </c>
      <c r="J1547" s="295"/>
      <c r="K1547" s="170"/>
      <c r="L1547" s="171"/>
      <c r="M1547" s="50"/>
      <c r="N1547" s="171"/>
      <c r="O1547" s="202"/>
      <c r="P1547" s="202"/>
      <c r="Q1547" s="202"/>
      <c r="R1547" s="162"/>
      <c r="S1547" s="162"/>
    </row>
    <row r="1548" spans="1:19">
      <c r="A1548" s="294"/>
      <c r="B1548" s="161"/>
      <c r="C1548" s="162"/>
      <c r="D1548" s="162"/>
      <c r="E1548" s="162"/>
      <c r="F1548" s="162"/>
      <c r="G1548" s="163"/>
      <c r="I1548" s="295" t="s">
        <v>786</v>
      </c>
      <c r="J1548" s="295"/>
      <c r="K1548" s="170"/>
      <c r="L1548" s="171"/>
      <c r="M1548" s="50"/>
      <c r="N1548" s="171"/>
      <c r="O1548" s="202"/>
      <c r="P1548" s="202"/>
      <c r="Q1548" s="202"/>
      <c r="R1548" s="162"/>
      <c r="S1548" s="162"/>
    </row>
    <row r="1549" spans="1:19">
      <c r="A1549" s="294"/>
      <c r="B1549" s="164"/>
      <c r="C1549" s="165"/>
      <c r="D1549" s="165"/>
      <c r="E1549" s="165"/>
      <c r="F1549" s="165"/>
      <c r="G1549" s="166"/>
      <c r="I1549" s="295" t="s">
        <v>787</v>
      </c>
      <c r="J1549" s="295"/>
      <c r="K1549" s="170"/>
      <c r="L1549" s="171"/>
      <c r="M1549" s="50"/>
      <c r="N1549" s="171"/>
      <c r="O1549" s="202"/>
      <c r="P1549" s="202"/>
      <c r="Q1549" s="202"/>
      <c r="R1549" s="162"/>
      <c r="S1549" s="162"/>
    </row>
    <row r="1550" spans="1:19">
      <c r="A1550" s="294"/>
      <c r="B1550" s="161"/>
      <c r="C1550" s="162"/>
      <c r="D1550" s="162"/>
      <c r="E1550" s="162"/>
      <c r="F1550" s="162"/>
      <c r="G1550" s="163"/>
      <c r="I1550" s="295" t="s">
        <v>788</v>
      </c>
      <c r="J1550" s="295"/>
      <c r="K1550" s="170"/>
      <c r="L1550" s="171"/>
      <c r="M1550" s="50"/>
      <c r="N1550" s="171"/>
      <c r="O1550" s="202"/>
      <c r="P1550" s="202"/>
      <c r="Q1550" s="202"/>
      <c r="R1550" s="162"/>
      <c r="S1550" s="162"/>
    </row>
    <row r="1551" spans="1:19">
      <c r="A1551" s="294"/>
      <c r="B1551" s="164"/>
      <c r="C1551" s="165"/>
      <c r="D1551" s="165"/>
      <c r="E1551" s="165"/>
      <c r="F1551" s="165"/>
      <c r="G1551" s="166"/>
      <c r="I1551" s="295" t="s">
        <v>789</v>
      </c>
      <c r="J1551" s="295"/>
      <c r="K1551" s="170"/>
      <c r="L1551" s="171"/>
      <c r="M1551" s="50"/>
      <c r="N1551" s="171"/>
      <c r="O1551" s="202"/>
      <c r="P1551" s="202"/>
      <c r="Q1551" s="202"/>
      <c r="R1551" s="162"/>
      <c r="S1551" s="162"/>
    </row>
    <row r="1552" spans="1:19">
      <c r="A1552" s="63"/>
      <c r="B1552" s="63"/>
      <c r="C1552" s="63"/>
      <c r="D1552" s="63"/>
      <c r="E1552" s="63"/>
      <c r="F1552" s="63"/>
      <c r="G1552" s="63"/>
      <c r="I1552" s="295" t="s">
        <v>790</v>
      </c>
      <c r="J1552" s="295"/>
      <c r="K1552" s="170"/>
      <c r="L1552" s="171"/>
      <c r="M1552" s="50"/>
      <c r="N1552" s="171"/>
      <c r="O1552" s="202"/>
      <c r="P1552" s="202"/>
      <c r="Q1552" s="202"/>
      <c r="R1552" s="162"/>
      <c r="S1552" s="162"/>
    </row>
    <row r="1553" spans="1:19">
      <c r="A1553" s="63"/>
      <c r="B1553" s="63"/>
      <c r="C1553" s="63"/>
      <c r="D1553" s="63"/>
      <c r="E1553" s="63"/>
      <c r="F1553" s="63"/>
      <c r="G1553" s="63"/>
      <c r="I1553" s="295" t="s">
        <v>791</v>
      </c>
      <c r="J1553" s="295"/>
      <c r="K1553" s="170"/>
      <c r="L1553" s="171"/>
      <c r="M1553" s="50"/>
      <c r="N1553" s="171"/>
      <c r="O1553" s="202"/>
      <c r="P1553" s="202"/>
      <c r="Q1553" s="202"/>
      <c r="R1553" s="162"/>
      <c r="S1553" s="162"/>
    </row>
    <row r="1554" spans="1:19">
      <c r="A1554" s="63"/>
      <c r="B1554" s="63"/>
      <c r="C1554" s="63"/>
      <c r="D1554" s="63"/>
      <c r="E1554" s="63"/>
      <c r="F1554" s="63"/>
      <c r="G1554" s="63"/>
      <c r="I1554" s="296" t="s">
        <v>792</v>
      </c>
      <c r="J1554" s="296"/>
      <c r="K1554" s="170"/>
      <c r="L1554" s="171"/>
      <c r="M1554" s="50"/>
      <c r="N1554" s="171"/>
      <c r="O1554" s="202"/>
      <c r="P1554" s="202"/>
      <c r="Q1554" s="202"/>
      <c r="R1554" s="162"/>
      <c r="S1554" s="162"/>
    </row>
    <row r="1555" spans="1:19" ht="17.25" thickBot="1">
      <c r="A1555" s="63"/>
      <c r="B1555" s="63"/>
      <c r="C1555" s="63"/>
      <c r="D1555" s="63"/>
      <c r="E1555" s="63"/>
      <c r="F1555" s="63"/>
      <c r="G1555" s="63"/>
      <c r="I1555" s="297" t="s">
        <v>793</v>
      </c>
      <c r="J1555" s="297"/>
      <c r="K1555" s="172">
        <f t="shared" ref="K1555:S1555" si="689">SUM(K1544:K1554)</f>
        <v>0</v>
      </c>
      <c r="L1555" s="205">
        <f t="shared" si="689"/>
        <v>0</v>
      </c>
      <c r="M1555" s="205">
        <f t="shared" si="689"/>
        <v>0</v>
      </c>
      <c r="N1555" s="205">
        <f t="shared" si="689"/>
        <v>0</v>
      </c>
      <c r="O1555" s="174">
        <f t="shared" si="689"/>
        <v>0</v>
      </c>
      <c r="P1555" s="174">
        <f t="shared" si="689"/>
        <v>0</v>
      </c>
      <c r="Q1555" s="174">
        <f t="shared" si="689"/>
        <v>0</v>
      </c>
      <c r="R1555" s="175">
        <f t="shared" si="689"/>
        <v>0</v>
      </c>
      <c r="S1555" s="175">
        <f t="shared" si="689"/>
        <v>0</v>
      </c>
    </row>
    <row r="1556" spans="1:19" ht="17.25" thickBot="1">
      <c r="A1556" s="63"/>
      <c r="B1556" s="63"/>
      <c r="C1556" s="63"/>
      <c r="D1556" s="63"/>
      <c r="E1556" s="63"/>
      <c r="F1556" s="63"/>
      <c r="G1556" s="63"/>
      <c r="I1556" s="298" t="s">
        <v>794</v>
      </c>
      <c r="J1556" s="299"/>
      <c r="K1556" s="176">
        <f t="shared" ref="K1556" si="690">S1535-K1555</f>
        <v>0</v>
      </c>
      <c r="L1556" s="177">
        <f t="shared" ref="L1556" si="691">K1555-L1555</f>
        <v>0</v>
      </c>
      <c r="M1556" s="177">
        <f t="shared" ref="M1556" si="692">K1555-M1555</f>
        <v>0</v>
      </c>
      <c r="N1556" s="177">
        <f t="shared" ref="N1556" si="693">K1555-N1555</f>
        <v>0</v>
      </c>
      <c r="O1556" s="178">
        <f t="shared" ref="O1556" si="694">K1555-O1555</f>
        <v>0</v>
      </c>
      <c r="P1556" s="178">
        <f t="shared" ref="P1556" si="695">K1555-P1555</f>
        <v>0</v>
      </c>
      <c r="Q1556" s="178">
        <f t="shared" ref="Q1556" si="696">K1555-Q1555</f>
        <v>0</v>
      </c>
      <c r="R1556" s="179">
        <f t="shared" ref="R1556" si="697">K1555-R1555</f>
        <v>0</v>
      </c>
      <c r="S1556" s="180">
        <f t="shared" ref="S1556" si="698">L1555-S1555</f>
        <v>0</v>
      </c>
    </row>
    <row r="1557" spans="1:19">
      <c r="A1557" s="63"/>
      <c r="B1557" s="63"/>
      <c r="C1557" s="63"/>
      <c r="D1557" s="63"/>
      <c r="E1557" s="63"/>
      <c r="F1557" s="63"/>
      <c r="G1557" s="63"/>
      <c r="I1557" s="300" t="s">
        <v>795</v>
      </c>
      <c r="J1557" s="301"/>
      <c r="K1557" s="181"/>
      <c r="L1557" s="182"/>
      <c r="M1557" s="182"/>
      <c r="N1557" s="182"/>
      <c r="O1557" s="183"/>
      <c r="P1557" s="182"/>
      <c r="Q1557" s="182"/>
      <c r="R1557" s="182"/>
      <c r="S1557" s="182"/>
    </row>
    <row r="1558" spans="1:19">
      <c r="A1558" s="63"/>
      <c r="B1558" s="63"/>
      <c r="C1558" s="63"/>
      <c r="D1558" s="63"/>
      <c r="E1558" s="63"/>
      <c r="F1558" s="63"/>
      <c r="G1558" s="63"/>
      <c r="I1558" s="302" t="s">
        <v>796</v>
      </c>
      <c r="J1558" s="302"/>
      <c r="K1558" s="184"/>
      <c r="L1558" s="203"/>
      <c r="M1558" s="203"/>
      <c r="N1558" s="203"/>
      <c r="O1558" s="203"/>
      <c r="P1558" s="203"/>
      <c r="Q1558" s="203"/>
      <c r="R1558" s="203"/>
      <c r="S1558" s="203"/>
    </row>
    <row r="1559" spans="1:19">
      <c r="A1559" s="63"/>
      <c r="B1559" s="63"/>
      <c r="C1559" s="63"/>
      <c r="D1559" s="63"/>
      <c r="E1559" s="63"/>
      <c r="F1559" s="63"/>
      <c r="G1559" s="63"/>
      <c r="I1559" s="302" t="s">
        <v>797</v>
      </c>
      <c r="J1559" s="302"/>
      <c r="K1559" s="184"/>
      <c r="L1559" s="203"/>
      <c r="M1559" s="203"/>
      <c r="N1559" s="203"/>
      <c r="O1559" s="203"/>
      <c r="P1559" s="203"/>
      <c r="Q1559" s="203"/>
      <c r="R1559" s="203"/>
      <c r="S1559" s="203"/>
    </row>
    <row r="1560" spans="1:19">
      <c r="A1560" s="63"/>
      <c r="B1560" s="63"/>
      <c r="C1560" s="63"/>
      <c r="D1560" s="63"/>
      <c r="E1560" s="63"/>
      <c r="F1560" s="63"/>
      <c r="G1560" s="63"/>
      <c r="I1560" s="303" t="s">
        <v>798</v>
      </c>
      <c r="J1560" s="303"/>
      <c r="K1560" s="184"/>
      <c r="L1560" s="185"/>
      <c r="M1560" s="185"/>
      <c r="N1560" s="185"/>
      <c r="O1560" s="185"/>
      <c r="P1560" s="204"/>
      <c r="Q1560" s="204"/>
      <c r="R1560" s="204"/>
      <c r="S1560" s="204"/>
    </row>
    <row r="1561" spans="1:19">
      <c r="A1561" s="3" t="s">
        <v>801</v>
      </c>
      <c r="B1561" s="201" t="s">
        <v>802</v>
      </c>
      <c r="C1561" s="201" t="s">
        <v>803</v>
      </c>
      <c r="D1561" s="201" t="s">
        <v>119</v>
      </c>
      <c r="E1561" s="201" t="s">
        <v>148</v>
      </c>
      <c r="F1561" s="201" t="s">
        <v>806</v>
      </c>
      <c r="G1561" s="201" t="s">
        <v>81</v>
      </c>
      <c r="I1561" s="187"/>
      <c r="J1561" s="187"/>
      <c r="K1561" s="187"/>
      <c r="L1561" s="188"/>
      <c r="M1561" s="188"/>
      <c r="N1561" s="188"/>
      <c r="O1561" s="188"/>
      <c r="P1561" s="187"/>
      <c r="Q1561" s="187"/>
      <c r="R1561" s="187"/>
      <c r="S1561" s="187"/>
    </row>
    <row r="1562" spans="1:19">
      <c r="A1562" s="293">
        <v>44117</v>
      </c>
      <c r="B1562" s="161">
        <v>0.72916666666666663</v>
      </c>
      <c r="C1562" s="162">
        <v>18</v>
      </c>
      <c r="D1562" s="162">
        <v>37</v>
      </c>
      <c r="E1562" s="162">
        <v>52</v>
      </c>
      <c r="F1562" s="162">
        <v>15</v>
      </c>
      <c r="G1562" s="163">
        <v>0.88690000000000002</v>
      </c>
      <c r="I1562" s="191"/>
      <c r="J1562" s="190"/>
      <c r="K1562" s="190"/>
      <c r="L1562" s="190"/>
      <c r="M1562" s="190">
        <v>44117</v>
      </c>
      <c r="N1562" s="189" t="s">
        <v>864</v>
      </c>
      <c r="O1562" s="189"/>
      <c r="P1562" s="189"/>
      <c r="Q1562" s="189"/>
      <c r="R1562" s="189"/>
      <c r="S1562" s="189"/>
    </row>
    <row r="1563" spans="1:19">
      <c r="A1563" s="294"/>
      <c r="B1563" s="164">
        <v>0.79513888888888884</v>
      </c>
      <c r="C1563" s="165">
        <v>20</v>
      </c>
      <c r="D1563" s="165">
        <v>47</v>
      </c>
      <c r="E1563" s="165">
        <v>60</v>
      </c>
      <c r="F1563" s="165">
        <v>13</v>
      </c>
      <c r="G1563" s="166">
        <v>0.88870000000000005</v>
      </c>
      <c r="I1563" s="304"/>
      <c r="J1563" s="304"/>
      <c r="K1563" s="167"/>
      <c r="L1563" s="168">
        <v>0.72916666666666663</v>
      </c>
      <c r="M1563" s="168">
        <v>0.79513888888888884</v>
      </c>
      <c r="N1563" s="168">
        <v>0.96180555555555547</v>
      </c>
      <c r="O1563" s="169">
        <v>0.12847222222222224</v>
      </c>
      <c r="P1563" s="169"/>
      <c r="Q1563" s="169"/>
      <c r="R1563" s="161"/>
      <c r="S1563" s="161"/>
    </row>
    <row r="1564" spans="1:19">
      <c r="A1564" s="294"/>
      <c r="B1564" s="161">
        <v>0.96180555555555547</v>
      </c>
      <c r="C1564" s="162">
        <v>14</v>
      </c>
      <c r="D1564" s="162">
        <v>72</v>
      </c>
      <c r="E1564" s="162">
        <v>71</v>
      </c>
      <c r="F1564" s="162">
        <v>-1</v>
      </c>
      <c r="G1564" s="163">
        <v>0.88719999999999999</v>
      </c>
      <c r="I1564" s="295" t="s">
        <v>782</v>
      </c>
      <c r="J1564" s="296"/>
      <c r="K1564" s="170"/>
      <c r="L1564" s="171">
        <v>2</v>
      </c>
      <c r="M1564" s="50">
        <v>2</v>
      </c>
      <c r="N1564" s="171">
        <v>6</v>
      </c>
      <c r="O1564" s="202">
        <v>4</v>
      </c>
      <c r="P1564" s="202"/>
      <c r="Q1564" s="202"/>
      <c r="R1564" s="162"/>
      <c r="S1564" s="162"/>
    </row>
    <row r="1565" spans="1:19">
      <c r="A1565" s="294"/>
      <c r="B1565" s="164">
        <v>0.12847222222222224</v>
      </c>
      <c r="C1565" s="165">
        <v>22</v>
      </c>
      <c r="D1565" s="165">
        <v>88</v>
      </c>
      <c r="E1565" s="165">
        <v>90</v>
      </c>
      <c r="F1565" s="165">
        <v>2</v>
      </c>
      <c r="G1565" s="166">
        <v>0.88770000000000004</v>
      </c>
      <c r="I1565" s="295" t="s">
        <v>783</v>
      </c>
      <c r="J1565" s="295"/>
      <c r="K1565" s="170"/>
      <c r="L1565" s="171">
        <v>1</v>
      </c>
      <c r="M1565" s="50">
        <v>1</v>
      </c>
      <c r="N1565" s="171">
        <v>1</v>
      </c>
      <c r="O1565" s="202">
        <v>1</v>
      </c>
      <c r="P1565" s="202"/>
      <c r="Q1565" s="202"/>
      <c r="R1565" s="162"/>
      <c r="S1565" s="162"/>
    </row>
    <row r="1566" spans="1:19">
      <c r="A1566" s="294"/>
      <c r="B1566" s="161"/>
      <c r="C1566" s="162"/>
      <c r="D1566" s="162"/>
      <c r="E1566" s="162"/>
      <c r="F1566" s="162"/>
      <c r="G1566" s="163"/>
      <c r="I1566" s="295" t="s">
        <v>784</v>
      </c>
      <c r="J1566" s="295"/>
      <c r="K1566" s="170"/>
      <c r="L1566" s="171">
        <v>4</v>
      </c>
      <c r="M1566" s="50">
        <v>4</v>
      </c>
      <c r="N1566" s="171">
        <v>4</v>
      </c>
      <c r="O1566" s="202">
        <v>4</v>
      </c>
      <c r="P1566" s="202"/>
      <c r="Q1566" s="202"/>
      <c r="R1566" s="162"/>
      <c r="S1566" s="162"/>
    </row>
    <row r="1567" spans="1:19">
      <c r="A1567" s="294"/>
      <c r="B1567" s="164"/>
      <c r="C1567" s="165"/>
      <c r="D1567" s="165"/>
      <c r="E1567" s="165"/>
      <c r="F1567" s="165"/>
      <c r="G1567" s="166"/>
      <c r="I1567" s="295" t="s">
        <v>785</v>
      </c>
      <c r="J1567" s="295"/>
      <c r="K1567" s="170"/>
      <c r="L1567" s="171">
        <v>3</v>
      </c>
      <c r="M1567" s="50">
        <v>6</v>
      </c>
      <c r="N1567" s="171">
        <v>4</v>
      </c>
      <c r="O1567" s="202">
        <v>4</v>
      </c>
      <c r="P1567" s="202"/>
      <c r="Q1567" s="202"/>
      <c r="R1567" s="162"/>
      <c r="S1567" s="162"/>
    </row>
    <row r="1568" spans="1:19">
      <c r="A1568" s="294"/>
      <c r="B1568" s="161"/>
      <c r="C1568" s="162"/>
      <c r="D1568" s="162"/>
      <c r="E1568" s="162"/>
      <c r="F1568" s="162"/>
      <c r="G1568" s="163"/>
      <c r="I1568" s="295" t="s">
        <v>786</v>
      </c>
      <c r="J1568" s="295"/>
      <c r="K1568" s="170"/>
      <c r="L1568" s="171">
        <v>2</v>
      </c>
      <c r="M1568" s="50">
        <v>3</v>
      </c>
      <c r="N1568" s="171">
        <v>2</v>
      </c>
      <c r="O1568" s="202">
        <v>2</v>
      </c>
      <c r="P1568" s="202"/>
      <c r="Q1568" s="202"/>
      <c r="R1568" s="162"/>
      <c r="S1568" s="162"/>
    </row>
    <row r="1569" spans="1:19">
      <c r="A1569" s="294"/>
      <c r="B1569" s="164"/>
      <c r="C1569" s="165"/>
      <c r="D1569" s="165"/>
      <c r="E1569" s="165"/>
      <c r="F1569" s="165"/>
      <c r="G1569" s="166"/>
      <c r="I1569" s="295" t="s">
        <v>787</v>
      </c>
      <c r="J1569" s="295"/>
      <c r="K1569" s="170"/>
      <c r="L1569" s="171">
        <v>10</v>
      </c>
      <c r="M1569" s="50">
        <v>7</v>
      </c>
      <c r="N1569" s="171">
        <v>10</v>
      </c>
      <c r="O1569" s="202">
        <v>10</v>
      </c>
      <c r="P1569" s="202"/>
      <c r="Q1569" s="202"/>
      <c r="R1569" s="162"/>
      <c r="S1569" s="162"/>
    </row>
    <row r="1570" spans="1:19">
      <c r="A1570" s="294"/>
      <c r="B1570" s="161"/>
      <c r="C1570" s="162"/>
      <c r="D1570" s="162"/>
      <c r="E1570" s="162"/>
      <c r="F1570" s="162"/>
      <c r="G1570" s="163"/>
      <c r="I1570" s="295" t="s">
        <v>788</v>
      </c>
      <c r="J1570" s="295"/>
      <c r="K1570" s="170"/>
      <c r="L1570" s="171">
        <v>1</v>
      </c>
      <c r="M1570" s="50">
        <v>1</v>
      </c>
      <c r="N1570" s="171">
        <v>1</v>
      </c>
      <c r="O1570" s="202">
        <v>1</v>
      </c>
      <c r="P1570" s="202"/>
      <c r="Q1570" s="202"/>
      <c r="R1570" s="162"/>
      <c r="S1570" s="162"/>
    </row>
    <row r="1571" spans="1:19">
      <c r="A1571" s="294"/>
      <c r="B1571" s="164"/>
      <c r="C1571" s="165"/>
      <c r="D1571" s="165"/>
      <c r="E1571" s="165"/>
      <c r="F1571" s="165"/>
      <c r="G1571" s="166"/>
      <c r="I1571" s="295" t="s">
        <v>789</v>
      </c>
      <c r="J1571" s="295"/>
      <c r="K1571" s="170"/>
      <c r="L1571" s="171">
        <v>6</v>
      </c>
      <c r="M1571" s="50">
        <v>6</v>
      </c>
      <c r="N1571" s="171">
        <v>5</v>
      </c>
      <c r="O1571" s="202">
        <v>5</v>
      </c>
      <c r="P1571" s="202"/>
      <c r="Q1571" s="202"/>
      <c r="R1571" s="162"/>
      <c r="S1571" s="162"/>
    </row>
    <row r="1572" spans="1:19">
      <c r="A1572" s="63"/>
      <c r="B1572" s="63"/>
      <c r="C1572" s="63"/>
      <c r="D1572" s="63"/>
      <c r="E1572" s="63"/>
      <c r="F1572" s="63"/>
      <c r="G1572" s="63"/>
      <c r="I1572" s="295" t="s">
        <v>790</v>
      </c>
      <c r="J1572" s="295"/>
      <c r="K1572" s="170"/>
      <c r="L1572" s="171">
        <v>3</v>
      </c>
      <c r="M1572" s="50">
        <v>3</v>
      </c>
      <c r="N1572" s="171">
        <v>4</v>
      </c>
      <c r="O1572" s="202">
        <v>3</v>
      </c>
      <c r="P1572" s="202"/>
      <c r="Q1572" s="202"/>
      <c r="R1572" s="162"/>
      <c r="S1572" s="162"/>
    </row>
    <row r="1573" spans="1:19">
      <c r="A1573" s="63"/>
      <c r="B1573" s="63"/>
      <c r="C1573" s="63"/>
      <c r="D1573" s="63"/>
      <c r="E1573" s="63"/>
      <c r="F1573" s="63"/>
      <c r="G1573" s="63"/>
      <c r="I1573" s="295" t="s">
        <v>791</v>
      </c>
      <c r="J1573" s="295"/>
      <c r="K1573" s="170"/>
      <c r="L1573" s="171">
        <v>27</v>
      </c>
      <c r="M1573" s="50">
        <v>27</v>
      </c>
      <c r="N1573" s="171">
        <v>28</v>
      </c>
      <c r="O1573" s="202">
        <v>27</v>
      </c>
      <c r="P1573" s="202"/>
      <c r="Q1573" s="202"/>
      <c r="R1573" s="162"/>
      <c r="S1573" s="162"/>
    </row>
    <row r="1574" spans="1:19">
      <c r="A1574" s="63"/>
      <c r="B1574" s="63"/>
      <c r="C1574" s="63"/>
      <c r="D1574" s="63"/>
      <c r="E1574" s="63"/>
      <c r="F1574" s="63"/>
      <c r="G1574" s="63"/>
      <c r="I1574" s="296" t="s">
        <v>792</v>
      </c>
      <c r="J1574" s="296"/>
      <c r="K1574" s="170"/>
      <c r="L1574" s="171">
        <v>2</v>
      </c>
      <c r="M1574" s="50">
        <v>2</v>
      </c>
      <c r="N1574" s="171">
        <v>2</v>
      </c>
      <c r="O1574" s="202">
        <v>4</v>
      </c>
      <c r="P1574" s="202"/>
      <c r="Q1574" s="202"/>
      <c r="R1574" s="162"/>
      <c r="S1574" s="162"/>
    </row>
    <row r="1575" spans="1:19" ht="17.25" thickBot="1">
      <c r="A1575" s="63"/>
      <c r="B1575" s="63"/>
      <c r="C1575" s="63"/>
      <c r="D1575" s="63"/>
      <c r="E1575" s="63"/>
      <c r="F1575" s="63"/>
      <c r="G1575" s="63"/>
      <c r="I1575" s="297" t="s">
        <v>793</v>
      </c>
      <c r="J1575" s="297"/>
      <c r="K1575" s="172">
        <f t="shared" ref="K1575:S1575" si="699">SUM(K1564:K1574)</f>
        <v>0</v>
      </c>
      <c r="L1575" s="205">
        <f t="shared" si="699"/>
        <v>61</v>
      </c>
      <c r="M1575" s="205">
        <f t="shared" si="699"/>
        <v>62</v>
      </c>
      <c r="N1575" s="205">
        <f t="shared" si="699"/>
        <v>67</v>
      </c>
      <c r="O1575" s="174">
        <f t="shared" si="699"/>
        <v>65</v>
      </c>
      <c r="P1575" s="174">
        <f t="shared" si="699"/>
        <v>0</v>
      </c>
      <c r="Q1575" s="174">
        <f t="shared" si="699"/>
        <v>0</v>
      </c>
      <c r="R1575" s="175">
        <f t="shared" si="699"/>
        <v>0</v>
      </c>
      <c r="S1575" s="175">
        <f t="shared" si="699"/>
        <v>0</v>
      </c>
    </row>
    <row r="1576" spans="1:19" ht="17.25" thickBot="1">
      <c r="A1576" s="63"/>
      <c r="B1576" s="63"/>
      <c r="C1576" s="63"/>
      <c r="D1576" s="63"/>
      <c r="E1576" s="63"/>
      <c r="F1576" s="63"/>
      <c r="G1576" s="63"/>
      <c r="I1576" s="298" t="s">
        <v>794</v>
      </c>
      <c r="J1576" s="299"/>
      <c r="K1576" s="176">
        <f t="shared" ref="K1576" si="700">S1555-K1575</f>
        <v>0</v>
      </c>
      <c r="L1576" s="177">
        <f t="shared" ref="L1576" si="701">K1575-L1575</f>
        <v>-61</v>
      </c>
      <c r="M1576" s="177">
        <f t="shared" ref="M1576" si="702">K1575-M1575</f>
        <v>-62</v>
      </c>
      <c r="N1576" s="177">
        <f t="shared" ref="N1576" si="703">K1575-N1575</f>
        <v>-67</v>
      </c>
      <c r="O1576" s="178">
        <f t="shared" ref="O1576" si="704">K1575-O1575</f>
        <v>-65</v>
      </c>
      <c r="P1576" s="178">
        <f t="shared" ref="P1576" si="705">K1575-P1575</f>
        <v>0</v>
      </c>
      <c r="Q1576" s="178">
        <f t="shared" ref="Q1576" si="706">K1575-Q1575</f>
        <v>0</v>
      </c>
      <c r="R1576" s="179">
        <f t="shared" ref="R1576" si="707">K1575-R1575</f>
        <v>0</v>
      </c>
      <c r="S1576" s="180">
        <f t="shared" ref="S1576" si="708">L1575-S1575</f>
        <v>61</v>
      </c>
    </row>
    <row r="1577" spans="1:19">
      <c r="A1577" s="63"/>
      <c r="B1577" s="63"/>
      <c r="C1577" s="63"/>
      <c r="D1577" s="63"/>
      <c r="E1577" s="63"/>
      <c r="F1577" s="63"/>
      <c r="G1577" s="63"/>
      <c r="I1577" s="300" t="s">
        <v>795</v>
      </c>
      <c r="J1577" s="301"/>
      <c r="K1577" s="181"/>
      <c r="L1577" s="182">
        <v>156</v>
      </c>
      <c r="M1577" s="182">
        <v>158</v>
      </c>
      <c r="N1577" s="182">
        <v>159</v>
      </c>
      <c r="O1577" s="183">
        <v>153</v>
      </c>
      <c r="P1577" s="182"/>
      <c r="Q1577" s="182"/>
      <c r="R1577" s="182"/>
      <c r="S1577" s="182"/>
    </row>
    <row r="1578" spans="1:19">
      <c r="A1578" s="63"/>
      <c r="B1578" s="63"/>
      <c r="C1578" s="63"/>
      <c r="D1578" s="63"/>
      <c r="E1578" s="63"/>
      <c r="F1578" s="63"/>
      <c r="G1578" s="63"/>
      <c r="I1578" s="302" t="s">
        <v>796</v>
      </c>
      <c r="J1578" s="302"/>
      <c r="K1578" s="184"/>
      <c r="L1578" s="203">
        <v>20</v>
      </c>
      <c r="M1578" s="203">
        <v>22</v>
      </c>
      <c r="N1578" s="203">
        <v>15</v>
      </c>
      <c r="O1578" s="203">
        <v>21</v>
      </c>
      <c r="P1578" s="203"/>
      <c r="Q1578" s="203"/>
      <c r="R1578" s="203"/>
      <c r="S1578" s="203"/>
    </row>
    <row r="1579" spans="1:19">
      <c r="A1579" s="63"/>
      <c r="B1579" s="63"/>
      <c r="C1579" s="63"/>
      <c r="D1579" s="63"/>
      <c r="E1579" s="63"/>
      <c r="F1579" s="63"/>
      <c r="G1579" s="63"/>
      <c r="I1579" s="302" t="s">
        <v>797</v>
      </c>
      <c r="J1579" s="302"/>
      <c r="K1579" s="184"/>
      <c r="L1579" s="203">
        <v>136</v>
      </c>
      <c r="M1579" s="203">
        <v>136</v>
      </c>
      <c r="N1579" s="203">
        <v>144</v>
      </c>
      <c r="O1579" s="203">
        <v>132</v>
      </c>
      <c r="P1579" s="203"/>
      <c r="Q1579" s="203"/>
      <c r="R1579" s="203"/>
      <c r="S1579" s="203"/>
    </row>
    <row r="1580" spans="1:19">
      <c r="A1580" s="63"/>
      <c r="B1580" s="63"/>
      <c r="C1580" s="63"/>
      <c r="D1580" s="63"/>
      <c r="E1580" s="63"/>
      <c r="F1580" s="63"/>
      <c r="G1580" s="63"/>
      <c r="I1580" s="303" t="s">
        <v>798</v>
      </c>
      <c r="J1580" s="303"/>
      <c r="K1580" s="184"/>
      <c r="L1580" s="185"/>
      <c r="M1580" s="185"/>
      <c r="N1580" s="185"/>
      <c r="O1580" s="185"/>
      <c r="P1580" s="204"/>
      <c r="Q1580" s="204"/>
      <c r="R1580" s="204"/>
      <c r="S1580" s="204"/>
    </row>
    <row r="1581" spans="1:19">
      <c r="A1581" s="3" t="s">
        <v>801</v>
      </c>
      <c r="B1581" s="201" t="s">
        <v>802</v>
      </c>
      <c r="C1581" s="201" t="s">
        <v>803</v>
      </c>
      <c r="D1581" s="201" t="s">
        <v>119</v>
      </c>
      <c r="E1581" s="201" t="s">
        <v>148</v>
      </c>
      <c r="F1581" s="201" t="s">
        <v>806</v>
      </c>
      <c r="G1581" s="201" t="s">
        <v>81</v>
      </c>
      <c r="I1581" s="187"/>
      <c r="J1581" s="187"/>
      <c r="K1581" s="187"/>
      <c r="L1581" s="188"/>
      <c r="M1581" s="188"/>
      <c r="N1581" s="188"/>
      <c r="O1581" s="188"/>
      <c r="P1581" s="187"/>
      <c r="Q1581" s="187"/>
      <c r="R1581" s="187"/>
      <c r="S1581" s="187"/>
    </row>
    <row r="1582" spans="1:19">
      <c r="A1582" s="293">
        <v>44118</v>
      </c>
      <c r="B1582" s="161"/>
      <c r="C1582" s="162"/>
      <c r="D1582" s="162"/>
      <c r="E1582" s="162"/>
      <c r="F1582" s="162"/>
      <c r="G1582" s="163"/>
      <c r="I1582" s="191"/>
      <c r="J1582" s="190"/>
      <c r="K1582" s="190"/>
      <c r="L1582" s="190"/>
      <c r="M1582" s="190">
        <v>44118</v>
      </c>
      <c r="N1582" s="189" t="s">
        <v>864</v>
      </c>
      <c r="O1582" s="189"/>
      <c r="P1582" s="189"/>
      <c r="Q1582" s="189"/>
      <c r="R1582" s="189"/>
      <c r="S1582" s="189"/>
    </row>
    <row r="1583" spans="1:19">
      <c r="A1583" s="294"/>
      <c r="B1583" s="164"/>
      <c r="C1583" s="165"/>
      <c r="D1583" s="165"/>
      <c r="E1583" s="165"/>
      <c r="F1583" s="165"/>
      <c r="G1583" s="166"/>
      <c r="I1583" s="304"/>
      <c r="J1583" s="304"/>
      <c r="K1583" s="167"/>
      <c r="L1583" s="168"/>
      <c r="M1583" s="168"/>
      <c r="N1583" s="168"/>
      <c r="O1583" s="169"/>
      <c r="P1583" s="169"/>
      <c r="Q1583" s="169"/>
      <c r="R1583" s="161"/>
      <c r="S1583" s="161"/>
    </row>
    <row r="1584" spans="1:19">
      <c r="A1584" s="294"/>
      <c r="B1584" s="161"/>
      <c r="C1584" s="162"/>
      <c r="D1584" s="162"/>
      <c r="E1584" s="162"/>
      <c r="F1584" s="162"/>
      <c r="G1584" s="163"/>
      <c r="I1584" s="295" t="s">
        <v>782</v>
      </c>
      <c r="J1584" s="296"/>
      <c r="K1584" s="170"/>
      <c r="L1584" s="171"/>
      <c r="M1584" s="50"/>
      <c r="N1584" s="171"/>
      <c r="O1584" s="202"/>
      <c r="P1584" s="202"/>
      <c r="Q1584" s="202"/>
      <c r="R1584" s="162"/>
      <c r="S1584" s="162"/>
    </row>
    <row r="1585" spans="1:19">
      <c r="A1585" s="294"/>
      <c r="B1585" s="164"/>
      <c r="C1585" s="165"/>
      <c r="D1585" s="165"/>
      <c r="E1585" s="165"/>
      <c r="F1585" s="165"/>
      <c r="G1585" s="166"/>
      <c r="I1585" s="295" t="s">
        <v>783</v>
      </c>
      <c r="J1585" s="295"/>
      <c r="K1585" s="170"/>
      <c r="L1585" s="171"/>
      <c r="M1585" s="50"/>
      <c r="N1585" s="171"/>
      <c r="O1585" s="202"/>
      <c r="P1585" s="202"/>
      <c r="Q1585" s="202"/>
      <c r="R1585" s="162"/>
      <c r="S1585" s="162"/>
    </row>
    <row r="1586" spans="1:19">
      <c r="A1586" s="294"/>
      <c r="B1586" s="161"/>
      <c r="C1586" s="162"/>
      <c r="D1586" s="162"/>
      <c r="E1586" s="162"/>
      <c r="F1586" s="162"/>
      <c r="G1586" s="163"/>
      <c r="I1586" s="295" t="s">
        <v>784</v>
      </c>
      <c r="J1586" s="295"/>
      <c r="K1586" s="170"/>
      <c r="L1586" s="171"/>
      <c r="M1586" s="50"/>
      <c r="N1586" s="171"/>
      <c r="O1586" s="202"/>
      <c r="P1586" s="202"/>
      <c r="Q1586" s="202"/>
      <c r="R1586" s="162"/>
      <c r="S1586" s="162"/>
    </row>
    <row r="1587" spans="1:19">
      <c r="A1587" s="294"/>
      <c r="B1587" s="164"/>
      <c r="C1587" s="165"/>
      <c r="D1587" s="165"/>
      <c r="E1587" s="165"/>
      <c r="F1587" s="165"/>
      <c r="G1587" s="166"/>
      <c r="I1587" s="295" t="s">
        <v>785</v>
      </c>
      <c r="J1587" s="295"/>
      <c r="K1587" s="170"/>
      <c r="L1587" s="171"/>
      <c r="M1587" s="50"/>
      <c r="N1587" s="171"/>
      <c r="O1587" s="202"/>
      <c r="P1587" s="202"/>
      <c r="Q1587" s="202"/>
      <c r="R1587" s="162"/>
      <c r="S1587" s="162"/>
    </row>
    <row r="1588" spans="1:19">
      <c r="A1588" s="294"/>
      <c r="B1588" s="161"/>
      <c r="C1588" s="162"/>
      <c r="D1588" s="162"/>
      <c r="E1588" s="162"/>
      <c r="F1588" s="162"/>
      <c r="G1588" s="163"/>
      <c r="I1588" s="295" t="s">
        <v>786</v>
      </c>
      <c r="J1588" s="295"/>
      <c r="K1588" s="170"/>
      <c r="L1588" s="171"/>
      <c r="M1588" s="50"/>
      <c r="N1588" s="171"/>
      <c r="O1588" s="202"/>
      <c r="P1588" s="202"/>
      <c r="Q1588" s="202"/>
      <c r="R1588" s="162"/>
      <c r="S1588" s="162"/>
    </row>
    <row r="1589" spans="1:19">
      <c r="A1589" s="294"/>
      <c r="B1589" s="164"/>
      <c r="C1589" s="165"/>
      <c r="D1589" s="165"/>
      <c r="E1589" s="165"/>
      <c r="F1589" s="165"/>
      <c r="G1589" s="166"/>
      <c r="I1589" s="295" t="s">
        <v>787</v>
      </c>
      <c r="J1589" s="295"/>
      <c r="K1589" s="170"/>
      <c r="L1589" s="171"/>
      <c r="M1589" s="50"/>
      <c r="N1589" s="171"/>
      <c r="O1589" s="202"/>
      <c r="P1589" s="202"/>
      <c r="Q1589" s="202"/>
      <c r="R1589" s="162"/>
      <c r="S1589" s="162"/>
    </row>
    <row r="1590" spans="1:19">
      <c r="A1590" s="294"/>
      <c r="B1590" s="161"/>
      <c r="C1590" s="162"/>
      <c r="D1590" s="162"/>
      <c r="E1590" s="162"/>
      <c r="F1590" s="162"/>
      <c r="G1590" s="163"/>
      <c r="I1590" s="295" t="s">
        <v>788</v>
      </c>
      <c r="J1590" s="295"/>
      <c r="K1590" s="170"/>
      <c r="L1590" s="171"/>
      <c r="M1590" s="50"/>
      <c r="N1590" s="171"/>
      <c r="O1590" s="202"/>
      <c r="P1590" s="202"/>
      <c r="Q1590" s="202"/>
      <c r="R1590" s="162"/>
      <c r="S1590" s="162"/>
    </row>
    <row r="1591" spans="1:19">
      <c r="A1591" s="294"/>
      <c r="B1591" s="164"/>
      <c r="C1591" s="165"/>
      <c r="D1591" s="165"/>
      <c r="E1591" s="165"/>
      <c r="F1591" s="165"/>
      <c r="G1591" s="166"/>
      <c r="I1591" s="295" t="s">
        <v>789</v>
      </c>
      <c r="J1591" s="295"/>
      <c r="K1591" s="170"/>
      <c r="L1591" s="171"/>
      <c r="M1591" s="50"/>
      <c r="N1591" s="171"/>
      <c r="O1591" s="202"/>
      <c r="P1591" s="202"/>
      <c r="Q1591" s="202"/>
      <c r="R1591" s="162"/>
      <c r="S1591" s="162"/>
    </row>
    <row r="1592" spans="1:19">
      <c r="A1592" s="63"/>
      <c r="B1592" s="63"/>
      <c r="C1592" s="63"/>
      <c r="D1592" s="63"/>
      <c r="E1592" s="63"/>
      <c r="F1592" s="63"/>
      <c r="G1592" s="63"/>
      <c r="I1592" s="295" t="s">
        <v>790</v>
      </c>
      <c r="J1592" s="295"/>
      <c r="K1592" s="170"/>
      <c r="L1592" s="171"/>
      <c r="M1592" s="50"/>
      <c r="N1592" s="171"/>
      <c r="O1592" s="202"/>
      <c r="P1592" s="202"/>
      <c r="Q1592" s="202"/>
      <c r="R1592" s="162"/>
      <c r="S1592" s="162"/>
    </row>
    <row r="1593" spans="1:19">
      <c r="A1593" s="63"/>
      <c r="B1593" s="63"/>
      <c r="C1593" s="63"/>
      <c r="D1593" s="63"/>
      <c r="E1593" s="63"/>
      <c r="F1593" s="63"/>
      <c r="G1593" s="63"/>
      <c r="I1593" s="295" t="s">
        <v>791</v>
      </c>
      <c r="J1593" s="295"/>
      <c r="K1593" s="170"/>
      <c r="L1593" s="171"/>
      <c r="M1593" s="50"/>
      <c r="N1593" s="171"/>
      <c r="O1593" s="202"/>
      <c r="P1593" s="202"/>
      <c r="Q1593" s="202"/>
      <c r="R1593" s="162"/>
      <c r="S1593" s="162"/>
    </row>
    <row r="1594" spans="1:19">
      <c r="A1594" s="63"/>
      <c r="B1594" s="63"/>
      <c r="C1594" s="63"/>
      <c r="D1594" s="63"/>
      <c r="E1594" s="63"/>
      <c r="F1594" s="63"/>
      <c r="G1594" s="63"/>
      <c r="I1594" s="296" t="s">
        <v>792</v>
      </c>
      <c r="J1594" s="296"/>
      <c r="K1594" s="170"/>
      <c r="L1594" s="171"/>
      <c r="M1594" s="50"/>
      <c r="N1594" s="171"/>
      <c r="O1594" s="202"/>
      <c r="P1594" s="202"/>
      <c r="Q1594" s="202"/>
      <c r="R1594" s="162"/>
      <c r="S1594" s="162"/>
    </row>
    <row r="1595" spans="1:19" ht="17.25" thickBot="1">
      <c r="A1595" s="63"/>
      <c r="B1595" s="63"/>
      <c r="C1595" s="63"/>
      <c r="D1595" s="63"/>
      <c r="E1595" s="63"/>
      <c r="F1595" s="63"/>
      <c r="G1595" s="63"/>
      <c r="I1595" s="297" t="s">
        <v>793</v>
      </c>
      <c r="J1595" s="297"/>
      <c r="K1595" s="172">
        <f t="shared" ref="K1595:S1595" si="709">SUM(K1584:K1594)</f>
        <v>0</v>
      </c>
      <c r="L1595" s="205">
        <f t="shared" si="709"/>
        <v>0</v>
      </c>
      <c r="M1595" s="205">
        <f t="shared" si="709"/>
        <v>0</v>
      </c>
      <c r="N1595" s="205">
        <f t="shared" si="709"/>
        <v>0</v>
      </c>
      <c r="O1595" s="174">
        <f t="shared" si="709"/>
        <v>0</v>
      </c>
      <c r="P1595" s="174">
        <f t="shared" si="709"/>
        <v>0</v>
      </c>
      <c r="Q1595" s="174">
        <f t="shared" si="709"/>
        <v>0</v>
      </c>
      <c r="R1595" s="175">
        <f t="shared" si="709"/>
        <v>0</v>
      </c>
      <c r="S1595" s="175">
        <f t="shared" si="709"/>
        <v>0</v>
      </c>
    </row>
    <row r="1596" spans="1:19" ht="17.25" thickBot="1">
      <c r="A1596" s="63"/>
      <c r="B1596" s="63"/>
      <c r="C1596" s="63"/>
      <c r="D1596" s="63"/>
      <c r="E1596" s="63"/>
      <c r="F1596" s="63"/>
      <c r="G1596" s="63"/>
      <c r="I1596" s="298" t="s">
        <v>794</v>
      </c>
      <c r="J1596" s="299"/>
      <c r="K1596" s="176">
        <f t="shared" ref="K1596" si="710">S1575-K1595</f>
        <v>0</v>
      </c>
      <c r="L1596" s="177">
        <f t="shared" ref="L1596" si="711">K1595-L1595</f>
        <v>0</v>
      </c>
      <c r="M1596" s="177">
        <f t="shared" ref="M1596" si="712">K1595-M1595</f>
        <v>0</v>
      </c>
      <c r="N1596" s="177">
        <f t="shared" ref="N1596" si="713">K1595-N1595</f>
        <v>0</v>
      </c>
      <c r="O1596" s="178">
        <f t="shared" ref="O1596" si="714">K1595-O1595</f>
        <v>0</v>
      </c>
      <c r="P1596" s="178">
        <f t="shared" ref="P1596" si="715">K1595-P1595</f>
        <v>0</v>
      </c>
      <c r="Q1596" s="178">
        <f t="shared" ref="Q1596" si="716">K1595-Q1595</f>
        <v>0</v>
      </c>
      <c r="R1596" s="179">
        <f t="shared" ref="R1596" si="717">K1595-R1595</f>
        <v>0</v>
      </c>
      <c r="S1596" s="180">
        <f t="shared" ref="S1596" si="718">L1595-S1595</f>
        <v>0</v>
      </c>
    </row>
    <row r="1597" spans="1:19">
      <c r="A1597" s="63"/>
      <c r="B1597" s="63"/>
      <c r="C1597" s="63"/>
      <c r="D1597" s="63"/>
      <c r="E1597" s="63"/>
      <c r="F1597" s="63"/>
      <c r="G1597" s="63"/>
      <c r="I1597" s="300" t="s">
        <v>795</v>
      </c>
      <c r="J1597" s="301"/>
      <c r="K1597" s="181"/>
      <c r="L1597" s="182"/>
      <c r="M1597" s="182"/>
      <c r="N1597" s="182"/>
      <c r="O1597" s="183"/>
      <c r="P1597" s="182"/>
      <c r="Q1597" s="182"/>
      <c r="R1597" s="182"/>
      <c r="S1597" s="182"/>
    </row>
    <row r="1598" spans="1:19">
      <c r="A1598" s="63"/>
      <c r="B1598" s="63"/>
      <c r="C1598" s="63"/>
      <c r="D1598" s="63"/>
      <c r="E1598" s="63"/>
      <c r="F1598" s="63"/>
      <c r="G1598" s="63"/>
      <c r="I1598" s="302" t="s">
        <v>796</v>
      </c>
      <c r="J1598" s="302"/>
      <c r="K1598" s="184"/>
      <c r="L1598" s="203"/>
      <c r="M1598" s="203"/>
      <c r="N1598" s="203"/>
      <c r="O1598" s="203"/>
      <c r="P1598" s="203"/>
      <c r="Q1598" s="203"/>
      <c r="R1598" s="203"/>
      <c r="S1598" s="203"/>
    </row>
    <row r="1599" spans="1:19">
      <c r="A1599" s="63"/>
      <c r="B1599" s="63"/>
      <c r="C1599" s="63"/>
      <c r="D1599" s="63"/>
      <c r="E1599" s="63"/>
      <c r="F1599" s="63"/>
      <c r="G1599" s="63"/>
      <c r="I1599" s="302" t="s">
        <v>797</v>
      </c>
      <c r="J1599" s="302"/>
      <c r="K1599" s="184"/>
      <c r="L1599" s="203"/>
      <c r="M1599" s="203"/>
      <c r="N1599" s="203"/>
      <c r="O1599" s="203"/>
      <c r="P1599" s="203"/>
      <c r="Q1599" s="203"/>
      <c r="R1599" s="203"/>
      <c r="S1599" s="203"/>
    </row>
    <row r="1600" spans="1:19">
      <c r="A1600" s="63"/>
      <c r="B1600" s="63"/>
      <c r="C1600" s="63"/>
      <c r="D1600" s="63"/>
      <c r="E1600" s="63"/>
      <c r="F1600" s="63"/>
      <c r="G1600" s="63"/>
      <c r="I1600" s="303" t="s">
        <v>798</v>
      </c>
      <c r="J1600" s="303"/>
      <c r="K1600" s="184"/>
      <c r="L1600" s="185"/>
      <c r="M1600" s="185"/>
      <c r="N1600" s="185"/>
      <c r="O1600" s="185"/>
      <c r="P1600" s="204"/>
      <c r="Q1600" s="204"/>
      <c r="R1600" s="204"/>
      <c r="S1600" s="204"/>
    </row>
    <row r="1601" spans="1:19">
      <c r="A1601" s="3" t="s">
        <v>801</v>
      </c>
      <c r="B1601" s="201" t="s">
        <v>802</v>
      </c>
      <c r="C1601" s="201" t="s">
        <v>803</v>
      </c>
      <c r="D1601" s="201" t="s">
        <v>119</v>
      </c>
      <c r="E1601" s="201" t="s">
        <v>148</v>
      </c>
      <c r="F1601" s="201" t="s">
        <v>806</v>
      </c>
      <c r="G1601" s="201" t="s">
        <v>81</v>
      </c>
      <c r="I1601" s="187"/>
      <c r="J1601" s="187"/>
      <c r="K1601" s="187"/>
      <c r="L1601" s="188"/>
      <c r="M1601" s="188"/>
      <c r="N1601" s="188"/>
      <c r="O1601" s="188"/>
      <c r="P1601" s="187"/>
      <c r="Q1601" s="187"/>
      <c r="R1601" s="187"/>
      <c r="S1601" s="187"/>
    </row>
    <row r="1602" spans="1:19">
      <c r="A1602" s="293">
        <v>44119</v>
      </c>
      <c r="B1602" s="161"/>
      <c r="C1602" s="162"/>
      <c r="D1602" s="162"/>
      <c r="E1602" s="162"/>
      <c r="F1602" s="162"/>
      <c r="G1602" s="163"/>
      <c r="I1602" s="191"/>
      <c r="J1602" s="190"/>
      <c r="K1602" s="190"/>
      <c r="L1602" s="190"/>
      <c r="M1602" s="190">
        <v>44119</v>
      </c>
      <c r="N1602" s="189" t="s">
        <v>864</v>
      </c>
      <c r="O1602" s="189"/>
      <c r="P1602" s="189"/>
      <c r="Q1602" s="189"/>
      <c r="R1602" s="189"/>
      <c r="S1602" s="189"/>
    </row>
    <row r="1603" spans="1:19">
      <c r="A1603" s="294"/>
      <c r="B1603" s="164"/>
      <c r="C1603" s="165"/>
      <c r="D1603" s="165"/>
      <c r="E1603" s="165"/>
      <c r="F1603" s="165"/>
      <c r="G1603" s="166"/>
      <c r="I1603" s="304"/>
      <c r="J1603" s="304"/>
      <c r="K1603" s="167"/>
      <c r="L1603" s="168"/>
      <c r="M1603" s="168"/>
      <c r="N1603" s="168"/>
      <c r="O1603" s="169"/>
      <c r="P1603" s="169"/>
      <c r="Q1603" s="169"/>
      <c r="R1603" s="161"/>
      <c r="S1603" s="161"/>
    </row>
    <row r="1604" spans="1:19">
      <c r="A1604" s="294"/>
      <c r="B1604" s="161"/>
      <c r="C1604" s="162"/>
      <c r="D1604" s="162"/>
      <c r="E1604" s="162"/>
      <c r="F1604" s="162"/>
      <c r="G1604" s="163"/>
      <c r="I1604" s="295" t="s">
        <v>782</v>
      </c>
      <c r="J1604" s="296"/>
      <c r="K1604" s="170"/>
      <c r="L1604" s="171"/>
      <c r="M1604" s="50"/>
      <c r="N1604" s="171"/>
      <c r="O1604" s="202"/>
      <c r="P1604" s="202"/>
      <c r="Q1604" s="202"/>
      <c r="R1604" s="162"/>
      <c r="S1604" s="162"/>
    </row>
    <row r="1605" spans="1:19">
      <c r="A1605" s="294"/>
      <c r="B1605" s="164"/>
      <c r="C1605" s="165"/>
      <c r="D1605" s="165"/>
      <c r="E1605" s="165"/>
      <c r="F1605" s="165"/>
      <c r="G1605" s="166"/>
      <c r="I1605" s="295" t="s">
        <v>783</v>
      </c>
      <c r="J1605" s="295"/>
      <c r="K1605" s="170"/>
      <c r="L1605" s="171"/>
      <c r="M1605" s="50"/>
      <c r="N1605" s="171"/>
      <c r="O1605" s="202"/>
      <c r="P1605" s="202"/>
      <c r="Q1605" s="202"/>
      <c r="R1605" s="162"/>
      <c r="S1605" s="162"/>
    </row>
    <row r="1606" spans="1:19">
      <c r="A1606" s="294"/>
      <c r="B1606" s="161"/>
      <c r="C1606" s="162"/>
      <c r="D1606" s="162"/>
      <c r="E1606" s="162"/>
      <c r="F1606" s="162"/>
      <c r="G1606" s="163"/>
      <c r="I1606" s="295" t="s">
        <v>784</v>
      </c>
      <c r="J1606" s="295"/>
      <c r="K1606" s="170"/>
      <c r="L1606" s="171"/>
      <c r="M1606" s="50"/>
      <c r="N1606" s="171"/>
      <c r="O1606" s="202"/>
      <c r="P1606" s="202"/>
      <c r="Q1606" s="202"/>
      <c r="R1606" s="162"/>
      <c r="S1606" s="162"/>
    </row>
    <row r="1607" spans="1:19">
      <c r="A1607" s="294"/>
      <c r="B1607" s="164"/>
      <c r="C1607" s="165"/>
      <c r="D1607" s="165"/>
      <c r="E1607" s="165"/>
      <c r="F1607" s="165"/>
      <c r="G1607" s="166"/>
      <c r="I1607" s="295" t="s">
        <v>785</v>
      </c>
      <c r="J1607" s="295"/>
      <c r="K1607" s="170"/>
      <c r="L1607" s="171"/>
      <c r="M1607" s="50"/>
      <c r="N1607" s="171"/>
      <c r="O1607" s="202"/>
      <c r="P1607" s="202"/>
      <c r="Q1607" s="202"/>
      <c r="R1607" s="162"/>
      <c r="S1607" s="162"/>
    </row>
    <row r="1608" spans="1:19">
      <c r="A1608" s="294"/>
      <c r="B1608" s="161"/>
      <c r="C1608" s="162"/>
      <c r="D1608" s="162"/>
      <c r="E1608" s="162"/>
      <c r="F1608" s="162"/>
      <c r="G1608" s="163"/>
      <c r="I1608" s="295" t="s">
        <v>786</v>
      </c>
      <c r="J1608" s="295"/>
      <c r="K1608" s="170"/>
      <c r="L1608" s="171"/>
      <c r="M1608" s="50"/>
      <c r="N1608" s="171"/>
      <c r="O1608" s="202"/>
      <c r="P1608" s="202"/>
      <c r="Q1608" s="202"/>
      <c r="R1608" s="162"/>
      <c r="S1608" s="162"/>
    </row>
    <row r="1609" spans="1:19">
      <c r="A1609" s="294"/>
      <c r="B1609" s="164"/>
      <c r="C1609" s="165"/>
      <c r="D1609" s="165"/>
      <c r="E1609" s="165"/>
      <c r="F1609" s="165"/>
      <c r="G1609" s="166"/>
      <c r="I1609" s="295" t="s">
        <v>787</v>
      </c>
      <c r="J1609" s="295"/>
      <c r="K1609" s="170"/>
      <c r="L1609" s="171"/>
      <c r="M1609" s="50"/>
      <c r="N1609" s="171"/>
      <c r="O1609" s="202"/>
      <c r="P1609" s="202"/>
      <c r="Q1609" s="202"/>
      <c r="R1609" s="162"/>
      <c r="S1609" s="162"/>
    </row>
    <row r="1610" spans="1:19">
      <c r="A1610" s="294"/>
      <c r="B1610" s="161"/>
      <c r="C1610" s="162"/>
      <c r="D1610" s="162"/>
      <c r="E1610" s="162"/>
      <c r="F1610" s="162"/>
      <c r="G1610" s="163"/>
      <c r="I1610" s="295" t="s">
        <v>788</v>
      </c>
      <c r="J1610" s="295"/>
      <c r="K1610" s="170"/>
      <c r="L1610" s="171"/>
      <c r="M1610" s="50"/>
      <c r="N1610" s="171"/>
      <c r="O1610" s="202"/>
      <c r="P1610" s="202"/>
      <c r="Q1610" s="202"/>
      <c r="R1610" s="162"/>
      <c r="S1610" s="162"/>
    </row>
    <row r="1611" spans="1:19">
      <c r="A1611" s="294"/>
      <c r="B1611" s="164"/>
      <c r="C1611" s="165"/>
      <c r="D1611" s="165"/>
      <c r="E1611" s="165"/>
      <c r="F1611" s="165"/>
      <c r="G1611" s="166"/>
      <c r="I1611" s="295" t="s">
        <v>789</v>
      </c>
      <c r="J1611" s="295"/>
      <c r="K1611" s="170"/>
      <c r="L1611" s="171"/>
      <c r="M1611" s="50"/>
      <c r="N1611" s="171"/>
      <c r="O1611" s="202"/>
      <c r="P1611" s="202"/>
      <c r="Q1611" s="202"/>
      <c r="R1611" s="162"/>
      <c r="S1611" s="162"/>
    </row>
    <row r="1612" spans="1:19">
      <c r="A1612" s="63"/>
      <c r="B1612" s="63"/>
      <c r="C1612" s="63"/>
      <c r="D1612" s="63"/>
      <c r="E1612" s="63"/>
      <c r="F1612" s="63"/>
      <c r="G1612" s="63"/>
      <c r="I1612" s="295" t="s">
        <v>790</v>
      </c>
      <c r="J1612" s="295"/>
      <c r="K1612" s="170"/>
      <c r="L1612" s="171"/>
      <c r="M1612" s="50"/>
      <c r="N1612" s="171"/>
      <c r="O1612" s="202"/>
      <c r="P1612" s="202"/>
      <c r="Q1612" s="202"/>
      <c r="R1612" s="162"/>
      <c r="S1612" s="162"/>
    </row>
    <row r="1613" spans="1:19">
      <c r="A1613" s="63"/>
      <c r="B1613" s="63"/>
      <c r="C1613" s="63"/>
      <c r="D1613" s="63"/>
      <c r="E1613" s="63"/>
      <c r="F1613" s="63"/>
      <c r="G1613" s="63"/>
      <c r="I1613" s="295" t="s">
        <v>791</v>
      </c>
      <c r="J1613" s="295"/>
      <c r="K1613" s="170"/>
      <c r="L1613" s="171"/>
      <c r="M1613" s="50"/>
      <c r="N1613" s="171"/>
      <c r="O1613" s="202"/>
      <c r="P1613" s="202"/>
      <c r="Q1613" s="202"/>
      <c r="R1613" s="162"/>
      <c r="S1613" s="162"/>
    </row>
    <row r="1614" spans="1:19">
      <c r="A1614" s="63"/>
      <c r="B1614" s="63"/>
      <c r="C1614" s="63"/>
      <c r="D1614" s="63"/>
      <c r="E1614" s="63"/>
      <c r="F1614" s="63"/>
      <c r="G1614" s="63"/>
      <c r="I1614" s="296" t="s">
        <v>792</v>
      </c>
      <c r="J1614" s="296"/>
      <c r="K1614" s="170"/>
      <c r="L1614" s="171"/>
      <c r="M1614" s="50"/>
      <c r="N1614" s="171"/>
      <c r="O1614" s="202"/>
      <c r="P1614" s="202"/>
      <c r="Q1614" s="202"/>
      <c r="R1614" s="162"/>
      <c r="S1614" s="162"/>
    </row>
    <row r="1615" spans="1:19" ht="17.25" thickBot="1">
      <c r="A1615" s="63"/>
      <c r="B1615" s="63"/>
      <c r="C1615" s="63"/>
      <c r="D1615" s="63"/>
      <c r="E1615" s="63"/>
      <c r="F1615" s="63"/>
      <c r="G1615" s="63"/>
      <c r="I1615" s="297" t="s">
        <v>793</v>
      </c>
      <c r="J1615" s="297"/>
      <c r="K1615" s="172">
        <f t="shared" ref="K1615:S1615" si="719">SUM(K1604:K1614)</f>
        <v>0</v>
      </c>
      <c r="L1615" s="205">
        <f t="shared" si="719"/>
        <v>0</v>
      </c>
      <c r="M1615" s="205">
        <f t="shared" si="719"/>
        <v>0</v>
      </c>
      <c r="N1615" s="205">
        <f t="shared" si="719"/>
        <v>0</v>
      </c>
      <c r="O1615" s="174">
        <f t="shared" si="719"/>
        <v>0</v>
      </c>
      <c r="P1615" s="174">
        <f t="shared" si="719"/>
        <v>0</v>
      </c>
      <c r="Q1615" s="174">
        <f t="shared" si="719"/>
        <v>0</v>
      </c>
      <c r="R1615" s="175">
        <f t="shared" si="719"/>
        <v>0</v>
      </c>
      <c r="S1615" s="175">
        <f t="shared" si="719"/>
        <v>0</v>
      </c>
    </row>
    <row r="1616" spans="1:19" ht="17.25" thickBot="1">
      <c r="A1616" s="63"/>
      <c r="B1616" s="63"/>
      <c r="C1616" s="63"/>
      <c r="D1616" s="63"/>
      <c r="E1616" s="63"/>
      <c r="F1616" s="63"/>
      <c r="G1616" s="63"/>
      <c r="I1616" s="298" t="s">
        <v>794</v>
      </c>
      <c r="J1616" s="299"/>
      <c r="K1616" s="176">
        <f t="shared" ref="K1616" si="720">S1595-K1615</f>
        <v>0</v>
      </c>
      <c r="L1616" s="177">
        <f t="shared" ref="L1616" si="721">K1615-L1615</f>
        <v>0</v>
      </c>
      <c r="M1616" s="177">
        <f t="shared" ref="M1616" si="722">K1615-M1615</f>
        <v>0</v>
      </c>
      <c r="N1616" s="177">
        <f t="shared" ref="N1616" si="723">K1615-N1615</f>
        <v>0</v>
      </c>
      <c r="O1616" s="178">
        <f t="shared" ref="O1616" si="724">K1615-O1615</f>
        <v>0</v>
      </c>
      <c r="P1616" s="178">
        <f t="shared" ref="P1616" si="725">K1615-P1615</f>
        <v>0</v>
      </c>
      <c r="Q1616" s="178">
        <f t="shared" ref="Q1616" si="726">K1615-Q1615</f>
        <v>0</v>
      </c>
      <c r="R1616" s="179">
        <f t="shared" ref="R1616" si="727">K1615-R1615</f>
        <v>0</v>
      </c>
      <c r="S1616" s="180">
        <f t="shared" ref="S1616" si="728">L1615-S1615</f>
        <v>0</v>
      </c>
    </row>
    <row r="1617" spans="1:19">
      <c r="A1617" s="63"/>
      <c r="B1617" s="63"/>
      <c r="C1617" s="63"/>
      <c r="D1617" s="63"/>
      <c r="E1617" s="63"/>
      <c r="F1617" s="63"/>
      <c r="G1617" s="63"/>
      <c r="I1617" s="300" t="s">
        <v>795</v>
      </c>
      <c r="J1617" s="301"/>
      <c r="K1617" s="181"/>
      <c r="L1617" s="182"/>
      <c r="M1617" s="182"/>
      <c r="N1617" s="182"/>
      <c r="O1617" s="183"/>
      <c r="P1617" s="182"/>
      <c r="Q1617" s="182"/>
      <c r="R1617" s="182"/>
      <c r="S1617" s="182"/>
    </row>
    <row r="1618" spans="1:19">
      <c r="A1618" s="63"/>
      <c r="B1618" s="63"/>
      <c r="C1618" s="63"/>
      <c r="D1618" s="63"/>
      <c r="E1618" s="63"/>
      <c r="F1618" s="63"/>
      <c r="G1618" s="63"/>
      <c r="I1618" s="302" t="s">
        <v>796</v>
      </c>
      <c r="J1618" s="302"/>
      <c r="K1618" s="184"/>
      <c r="L1618" s="203"/>
      <c r="M1618" s="203"/>
      <c r="N1618" s="203"/>
      <c r="O1618" s="203"/>
      <c r="P1618" s="203"/>
      <c r="Q1618" s="203"/>
      <c r="R1618" s="203"/>
      <c r="S1618" s="203"/>
    </row>
    <row r="1619" spans="1:19">
      <c r="A1619" s="63"/>
      <c r="B1619" s="63"/>
      <c r="C1619" s="63"/>
      <c r="D1619" s="63"/>
      <c r="E1619" s="63"/>
      <c r="F1619" s="63"/>
      <c r="G1619" s="63"/>
      <c r="I1619" s="302" t="s">
        <v>797</v>
      </c>
      <c r="J1619" s="302"/>
      <c r="K1619" s="184"/>
      <c r="L1619" s="203"/>
      <c r="M1619" s="203"/>
      <c r="N1619" s="203"/>
      <c r="O1619" s="203"/>
      <c r="P1619" s="203"/>
      <c r="Q1619" s="203"/>
      <c r="R1619" s="203"/>
      <c r="S1619" s="203"/>
    </row>
    <row r="1620" spans="1:19">
      <c r="A1620" s="63"/>
      <c r="B1620" s="63"/>
      <c r="C1620" s="63"/>
      <c r="D1620" s="63"/>
      <c r="E1620" s="63"/>
      <c r="F1620" s="63"/>
      <c r="G1620" s="63"/>
      <c r="I1620" s="303" t="s">
        <v>798</v>
      </c>
      <c r="J1620" s="303"/>
      <c r="K1620" s="184"/>
      <c r="L1620" s="185"/>
      <c r="M1620" s="185"/>
      <c r="N1620" s="185"/>
      <c r="O1620" s="185"/>
      <c r="P1620" s="204"/>
      <c r="Q1620" s="204"/>
      <c r="R1620" s="204"/>
      <c r="S1620" s="204"/>
    </row>
    <row r="1621" spans="1:19">
      <c r="A1621" s="3" t="s">
        <v>801</v>
      </c>
      <c r="B1621" s="201" t="s">
        <v>802</v>
      </c>
      <c r="C1621" s="201" t="s">
        <v>803</v>
      </c>
      <c r="D1621" s="201" t="s">
        <v>119</v>
      </c>
      <c r="E1621" s="201" t="s">
        <v>148</v>
      </c>
      <c r="F1621" s="201" t="s">
        <v>806</v>
      </c>
      <c r="G1621" s="201" t="s">
        <v>81</v>
      </c>
      <c r="I1621" s="187"/>
      <c r="J1621" s="187"/>
      <c r="K1621" s="187"/>
      <c r="L1621" s="188"/>
      <c r="M1621" s="188"/>
      <c r="N1621" s="188"/>
      <c r="O1621" s="188"/>
      <c r="P1621" s="187"/>
      <c r="Q1621" s="187"/>
      <c r="R1621" s="187"/>
      <c r="S1621" s="187"/>
    </row>
    <row r="1622" spans="1:19">
      <c r="A1622" s="293">
        <v>44120</v>
      </c>
      <c r="B1622" s="161"/>
      <c r="C1622" s="162"/>
      <c r="D1622" s="162"/>
      <c r="E1622" s="162"/>
      <c r="F1622" s="162"/>
      <c r="G1622" s="163"/>
      <c r="I1622" s="191"/>
      <c r="J1622" s="190"/>
      <c r="K1622" s="190"/>
      <c r="L1622" s="190"/>
      <c r="M1622" s="190">
        <v>44120</v>
      </c>
      <c r="N1622" s="189" t="s">
        <v>864</v>
      </c>
      <c r="O1622" s="189"/>
      <c r="P1622" s="189"/>
      <c r="Q1622" s="189"/>
      <c r="R1622" s="189"/>
      <c r="S1622" s="189"/>
    </row>
    <row r="1623" spans="1:19">
      <c r="A1623" s="294"/>
      <c r="B1623" s="164"/>
      <c r="C1623" s="165"/>
      <c r="D1623" s="165"/>
      <c r="E1623" s="165"/>
      <c r="F1623" s="165"/>
      <c r="G1623" s="166"/>
      <c r="I1623" s="304"/>
      <c r="J1623" s="304"/>
      <c r="K1623" s="167"/>
      <c r="L1623" s="168"/>
      <c r="M1623" s="168"/>
      <c r="N1623" s="168"/>
      <c r="O1623" s="169"/>
      <c r="P1623" s="169"/>
      <c r="Q1623" s="169"/>
      <c r="R1623" s="161"/>
      <c r="S1623" s="161"/>
    </row>
    <row r="1624" spans="1:19">
      <c r="A1624" s="294"/>
      <c r="B1624" s="161"/>
      <c r="C1624" s="162"/>
      <c r="D1624" s="162"/>
      <c r="E1624" s="162"/>
      <c r="F1624" s="162"/>
      <c r="G1624" s="163"/>
      <c r="I1624" s="295" t="s">
        <v>782</v>
      </c>
      <c r="J1624" s="296"/>
      <c r="K1624" s="170"/>
      <c r="L1624" s="171"/>
      <c r="M1624" s="50"/>
      <c r="N1624" s="171"/>
      <c r="O1624" s="202"/>
      <c r="P1624" s="202"/>
      <c r="Q1624" s="202"/>
      <c r="R1624" s="162"/>
      <c r="S1624" s="162"/>
    </row>
    <row r="1625" spans="1:19">
      <c r="A1625" s="294"/>
      <c r="B1625" s="164"/>
      <c r="C1625" s="165"/>
      <c r="D1625" s="165"/>
      <c r="E1625" s="165"/>
      <c r="F1625" s="165"/>
      <c r="G1625" s="166"/>
      <c r="I1625" s="295" t="s">
        <v>783</v>
      </c>
      <c r="J1625" s="295"/>
      <c r="K1625" s="170"/>
      <c r="L1625" s="171"/>
      <c r="M1625" s="50"/>
      <c r="N1625" s="171"/>
      <c r="O1625" s="202"/>
      <c r="P1625" s="202"/>
      <c r="Q1625" s="202"/>
      <c r="R1625" s="162"/>
      <c r="S1625" s="162"/>
    </row>
    <row r="1626" spans="1:19">
      <c r="A1626" s="294"/>
      <c r="B1626" s="161"/>
      <c r="C1626" s="162"/>
      <c r="D1626" s="162"/>
      <c r="E1626" s="162"/>
      <c r="F1626" s="162"/>
      <c r="G1626" s="163"/>
      <c r="I1626" s="295" t="s">
        <v>784</v>
      </c>
      <c r="J1626" s="295"/>
      <c r="K1626" s="170"/>
      <c r="L1626" s="171"/>
      <c r="M1626" s="50"/>
      <c r="N1626" s="171"/>
      <c r="O1626" s="202"/>
      <c r="P1626" s="202"/>
      <c r="Q1626" s="202"/>
      <c r="R1626" s="162"/>
      <c r="S1626" s="162"/>
    </row>
    <row r="1627" spans="1:19">
      <c r="A1627" s="294"/>
      <c r="B1627" s="164"/>
      <c r="C1627" s="165"/>
      <c r="D1627" s="165"/>
      <c r="E1627" s="165"/>
      <c r="F1627" s="165"/>
      <c r="G1627" s="166"/>
      <c r="I1627" s="295" t="s">
        <v>785</v>
      </c>
      <c r="J1627" s="295"/>
      <c r="K1627" s="170"/>
      <c r="L1627" s="171"/>
      <c r="M1627" s="50"/>
      <c r="N1627" s="171"/>
      <c r="O1627" s="202"/>
      <c r="P1627" s="202"/>
      <c r="Q1627" s="202"/>
      <c r="R1627" s="162"/>
      <c r="S1627" s="162"/>
    </row>
    <row r="1628" spans="1:19">
      <c r="A1628" s="294"/>
      <c r="B1628" s="161"/>
      <c r="C1628" s="162"/>
      <c r="D1628" s="162"/>
      <c r="E1628" s="162"/>
      <c r="F1628" s="162"/>
      <c r="G1628" s="163"/>
      <c r="I1628" s="295" t="s">
        <v>786</v>
      </c>
      <c r="J1628" s="295"/>
      <c r="K1628" s="170"/>
      <c r="L1628" s="171"/>
      <c r="M1628" s="50"/>
      <c r="N1628" s="171"/>
      <c r="O1628" s="202"/>
      <c r="P1628" s="202"/>
      <c r="Q1628" s="202"/>
      <c r="R1628" s="162"/>
      <c r="S1628" s="162"/>
    </row>
    <row r="1629" spans="1:19">
      <c r="A1629" s="294"/>
      <c r="B1629" s="164"/>
      <c r="C1629" s="165"/>
      <c r="D1629" s="165"/>
      <c r="E1629" s="165"/>
      <c r="F1629" s="165"/>
      <c r="G1629" s="166"/>
      <c r="I1629" s="295" t="s">
        <v>787</v>
      </c>
      <c r="J1629" s="295"/>
      <c r="K1629" s="170"/>
      <c r="L1629" s="171"/>
      <c r="M1629" s="50"/>
      <c r="N1629" s="171"/>
      <c r="O1629" s="202"/>
      <c r="P1629" s="202"/>
      <c r="Q1629" s="202"/>
      <c r="R1629" s="162"/>
      <c r="S1629" s="162"/>
    </row>
    <row r="1630" spans="1:19">
      <c r="A1630" s="294"/>
      <c r="B1630" s="161"/>
      <c r="C1630" s="162"/>
      <c r="D1630" s="162"/>
      <c r="E1630" s="162"/>
      <c r="F1630" s="162"/>
      <c r="G1630" s="163"/>
      <c r="I1630" s="295" t="s">
        <v>788</v>
      </c>
      <c r="J1630" s="295"/>
      <c r="K1630" s="170"/>
      <c r="L1630" s="171"/>
      <c r="M1630" s="50"/>
      <c r="N1630" s="171"/>
      <c r="O1630" s="202"/>
      <c r="P1630" s="202"/>
      <c r="Q1630" s="202"/>
      <c r="R1630" s="162"/>
      <c r="S1630" s="162"/>
    </row>
    <row r="1631" spans="1:19">
      <c r="A1631" s="294"/>
      <c r="B1631" s="164"/>
      <c r="C1631" s="165"/>
      <c r="D1631" s="165"/>
      <c r="E1631" s="165"/>
      <c r="F1631" s="165"/>
      <c r="G1631" s="166"/>
      <c r="I1631" s="295" t="s">
        <v>789</v>
      </c>
      <c r="J1631" s="295"/>
      <c r="K1631" s="170"/>
      <c r="L1631" s="171"/>
      <c r="M1631" s="50"/>
      <c r="N1631" s="171"/>
      <c r="O1631" s="202"/>
      <c r="P1631" s="202"/>
      <c r="Q1631" s="202"/>
      <c r="R1631" s="162"/>
      <c r="S1631" s="162"/>
    </row>
    <row r="1632" spans="1:19">
      <c r="A1632" s="63"/>
      <c r="B1632" s="63"/>
      <c r="C1632" s="63"/>
      <c r="D1632" s="63"/>
      <c r="E1632" s="63"/>
      <c r="F1632" s="63"/>
      <c r="G1632" s="63"/>
      <c r="I1632" s="295" t="s">
        <v>790</v>
      </c>
      <c r="J1632" s="295"/>
      <c r="K1632" s="170"/>
      <c r="L1632" s="171"/>
      <c r="M1632" s="50"/>
      <c r="N1632" s="171"/>
      <c r="O1632" s="202"/>
      <c r="P1632" s="202"/>
      <c r="Q1632" s="202"/>
      <c r="R1632" s="162"/>
      <c r="S1632" s="162"/>
    </row>
    <row r="1633" spans="1:19">
      <c r="A1633" s="63"/>
      <c r="B1633" s="63"/>
      <c r="C1633" s="63"/>
      <c r="D1633" s="63"/>
      <c r="E1633" s="63"/>
      <c r="F1633" s="63"/>
      <c r="G1633" s="63"/>
      <c r="I1633" s="295" t="s">
        <v>791</v>
      </c>
      <c r="J1633" s="295"/>
      <c r="K1633" s="170"/>
      <c r="L1633" s="171"/>
      <c r="M1633" s="50"/>
      <c r="N1633" s="171"/>
      <c r="O1633" s="202"/>
      <c r="P1633" s="202"/>
      <c r="Q1633" s="202"/>
      <c r="R1633" s="162"/>
      <c r="S1633" s="162"/>
    </row>
    <row r="1634" spans="1:19">
      <c r="A1634" s="63"/>
      <c r="B1634" s="63"/>
      <c r="C1634" s="63"/>
      <c r="D1634" s="63"/>
      <c r="E1634" s="63"/>
      <c r="F1634" s="63"/>
      <c r="G1634" s="63"/>
      <c r="I1634" s="296" t="s">
        <v>792</v>
      </c>
      <c r="J1634" s="296"/>
      <c r="K1634" s="170"/>
      <c r="L1634" s="171"/>
      <c r="M1634" s="50"/>
      <c r="N1634" s="171"/>
      <c r="O1634" s="202"/>
      <c r="P1634" s="202"/>
      <c r="Q1634" s="202"/>
      <c r="R1634" s="162"/>
      <c r="S1634" s="162"/>
    </row>
    <row r="1635" spans="1:19" ht="17.25" thickBot="1">
      <c r="A1635" s="63"/>
      <c r="B1635" s="63"/>
      <c r="C1635" s="63"/>
      <c r="D1635" s="63"/>
      <c r="E1635" s="63"/>
      <c r="F1635" s="63"/>
      <c r="G1635" s="63"/>
      <c r="I1635" s="297" t="s">
        <v>793</v>
      </c>
      <c r="J1635" s="297"/>
      <c r="K1635" s="172">
        <f t="shared" ref="K1635:S1635" si="729">SUM(K1624:K1634)</f>
        <v>0</v>
      </c>
      <c r="L1635" s="205">
        <f t="shared" si="729"/>
        <v>0</v>
      </c>
      <c r="M1635" s="205">
        <f t="shared" si="729"/>
        <v>0</v>
      </c>
      <c r="N1635" s="205">
        <f t="shared" si="729"/>
        <v>0</v>
      </c>
      <c r="O1635" s="174">
        <f t="shared" si="729"/>
        <v>0</v>
      </c>
      <c r="P1635" s="174">
        <f t="shared" si="729"/>
        <v>0</v>
      </c>
      <c r="Q1635" s="174">
        <f t="shared" si="729"/>
        <v>0</v>
      </c>
      <c r="R1635" s="175">
        <f t="shared" si="729"/>
        <v>0</v>
      </c>
      <c r="S1635" s="175">
        <f t="shared" si="729"/>
        <v>0</v>
      </c>
    </row>
    <row r="1636" spans="1:19" ht="17.25" thickBot="1">
      <c r="A1636" s="63"/>
      <c r="B1636" s="63"/>
      <c r="C1636" s="63"/>
      <c r="D1636" s="63"/>
      <c r="E1636" s="63"/>
      <c r="F1636" s="63"/>
      <c r="G1636" s="63"/>
      <c r="I1636" s="298" t="s">
        <v>794</v>
      </c>
      <c r="J1636" s="299"/>
      <c r="K1636" s="176">
        <f t="shared" ref="K1636" si="730">S1615-K1635</f>
        <v>0</v>
      </c>
      <c r="L1636" s="177">
        <f t="shared" ref="L1636" si="731">K1635-L1635</f>
        <v>0</v>
      </c>
      <c r="M1636" s="177">
        <f t="shared" ref="M1636" si="732">K1635-M1635</f>
        <v>0</v>
      </c>
      <c r="N1636" s="177">
        <f t="shared" ref="N1636" si="733">K1635-N1635</f>
        <v>0</v>
      </c>
      <c r="O1636" s="178">
        <f t="shared" ref="O1636" si="734">K1635-O1635</f>
        <v>0</v>
      </c>
      <c r="P1636" s="178">
        <f t="shared" ref="P1636" si="735">K1635-P1635</f>
        <v>0</v>
      </c>
      <c r="Q1636" s="178">
        <f t="shared" ref="Q1636" si="736">K1635-Q1635</f>
        <v>0</v>
      </c>
      <c r="R1636" s="179">
        <f t="shared" ref="R1636" si="737">K1635-R1635</f>
        <v>0</v>
      </c>
      <c r="S1636" s="180">
        <f t="shared" ref="S1636" si="738">L1635-S1635</f>
        <v>0</v>
      </c>
    </row>
    <row r="1637" spans="1:19">
      <c r="A1637" s="63"/>
      <c r="B1637" s="63"/>
      <c r="C1637" s="63"/>
      <c r="D1637" s="63"/>
      <c r="E1637" s="63"/>
      <c r="F1637" s="63"/>
      <c r="G1637" s="63"/>
      <c r="I1637" s="300" t="s">
        <v>795</v>
      </c>
      <c r="J1637" s="301"/>
      <c r="K1637" s="181"/>
      <c r="L1637" s="182"/>
      <c r="M1637" s="182"/>
      <c r="N1637" s="182"/>
      <c r="O1637" s="183"/>
      <c r="P1637" s="182"/>
      <c r="Q1637" s="182"/>
      <c r="R1637" s="182"/>
      <c r="S1637" s="182"/>
    </row>
    <row r="1638" spans="1:19">
      <c r="A1638" s="63"/>
      <c r="B1638" s="63"/>
      <c r="C1638" s="63"/>
      <c r="D1638" s="63"/>
      <c r="E1638" s="63"/>
      <c r="F1638" s="63"/>
      <c r="G1638" s="63"/>
      <c r="I1638" s="302" t="s">
        <v>796</v>
      </c>
      <c r="J1638" s="302"/>
      <c r="K1638" s="184"/>
      <c r="L1638" s="203"/>
      <c r="M1638" s="203"/>
      <c r="N1638" s="203"/>
      <c r="O1638" s="203"/>
      <c r="P1638" s="203"/>
      <c r="Q1638" s="203"/>
      <c r="R1638" s="203"/>
      <c r="S1638" s="203"/>
    </row>
    <row r="1639" spans="1:19">
      <c r="A1639" s="63"/>
      <c r="B1639" s="63"/>
      <c r="C1639" s="63"/>
      <c r="D1639" s="63"/>
      <c r="E1639" s="63"/>
      <c r="F1639" s="63"/>
      <c r="G1639" s="63"/>
      <c r="I1639" s="302" t="s">
        <v>797</v>
      </c>
      <c r="J1639" s="302"/>
      <c r="K1639" s="184"/>
      <c r="L1639" s="203"/>
      <c r="M1639" s="203"/>
      <c r="N1639" s="203"/>
      <c r="O1639" s="203"/>
      <c r="P1639" s="203"/>
      <c r="Q1639" s="203"/>
      <c r="R1639" s="203"/>
      <c r="S1639" s="203"/>
    </row>
    <row r="1640" spans="1:19">
      <c r="A1640" s="63"/>
      <c r="B1640" s="63"/>
      <c r="C1640" s="63"/>
      <c r="D1640" s="63"/>
      <c r="E1640" s="63"/>
      <c r="F1640" s="63"/>
      <c r="G1640" s="63"/>
      <c r="I1640" s="303" t="s">
        <v>798</v>
      </c>
      <c r="J1640" s="303"/>
      <c r="K1640" s="184"/>
      <c r="L1640" s="185"/>
      <c r="M1640" s="185"/>
      <c r="N1640" s="185"/>
      <c r="O1640" s="185"/>
      <c r="P1640" s="204"/>
      <c r="Q1640" s="204"/>
      <c r="R1640" s="204"/>
      <c r="S1640" s="204"/>
    </row>
    <row r="1641" spans="1:19">
      <c r="A1641" s="3" t="s">
        <v>801</v>
      </c>
      <c r="B1641" s="201" t="s">
        <v>802</v>
      </c>
      <c r="C1641" s="201" t="s">
        <v>803</v>
      </c>
      <c r="D1641" s="201" t="s">
        <v>119</v>
      </c>
      <c r="E1641" s="201" t="s">
        <v>148</v>
      </c>
      <c r="F1641" s="201" t="s">
        <v>806</v>
      </c>
      <c r="G1641" s="201" t="s">
        <v>81</v>
      </c>
      <c r="I1641" s="187"/>
      <c r="J1641" s="187"/>
      <c r="K1641" s="187"/>
      <c r="L1641" s="188"/>
      <c r="M1641" s="188"/>
      <c r="N1641" s="188"/>
      <c r="O1641" s="188"/>
      <c r="P1641" s="187"/>
      <c r="Q1641" s="187"/>
      <c r="R1641" s="187"/>
      <c r="S1641" s="187"/>
    </row>
    <row r="1642" spans="1:19">
      <c r="A1642" s="293">
        <v>44121</v>
      </c>
      <c r="B1642" s="161"/>
      <c r="C1642" s="162"/>
      <c r="D1642" s="162"/>
      <c r="E1642" s="162"/>
      <c r="F1642" s="162"/>
      <c r="G1642" s="163"/>
      <c r="I1642" s="191"/>
      <c r="J1642" s="190"/>
      <c r="K1642" s="190"/>
      <c r="L1642" s="190"/>
      <c r="M1642" s="190">
        <v>44121</v>
      </c>
      <c r="N1642" s="189" t="s">
        <v>864</v>
      </c>
      <c r="O1642" s="189"/>
      <c r="P1642" s="189"/>
      <c r="Q1642" s="189"/>
      <c r="R1642" s="189"/>
      <c r="S1642" s="189"/>
    </row>
    <row r="1643" spans="1:19">
      <c r="A1643" s="294"/>
      <c r="B1643" s="164"/>
      <c r="C1643" s="165"/>
      <c r="D1643" s="165"/>
      <c r="E1643" s="165"/>
      <c r="F1643" s="165"/>
      <c r="G1643" s="166"/>
      <c r="I1643" s="304"/>
      <c r="J1643" s="304"/>
      <c r="K1643" s="167"/>
      <c r="L1643" s="168"/>
      <c r="M1643" s="168"/>
      <c r="N1643" s="168"/>
      <c r="O1643" s="169"/>
      <c r="P1643" s="169"/>
      <c r="Q1643" s="169"/>
      <c r="R1643" s="161"/>
      <c r="S1643" s="161"/>
    </row>
    <row r="1644" spans="1:19">
      <c r="A1644" s="294"/>
      <c r="B1644" s="161"/>
      <c r="C1644" s="162"/>
      <c r="D1644" s="162"/>
      <c r="E1644" s="162"/>
      <c r="F1644" s="162"/>
      <c r="G1644" s="163"/>
      <c r="I1644" s="295" t="s">
        <v>782</v>
      </c>
      <c r="J1644" s="296"/>
      <c r="K1644" s="170"/>
      <c r="L1644" s="171"/>
      <c r="M1644" s="50"/>
      <c r="N1644" s="171"/>
      <c r="O1644" s="202"/>
      <c r="P1644" s="202"/>
      <c r="Q1644" s="202"/>
      <c r="R1644" s="162"/>
      <c r="S1644" s="162"/>
    </row>
    <row r="1645" spans="1:19">
      <c r="A1645" s="294"/>
      <c r="B1645" s="164"/>
      <c r="C1645" s="165"/>
      <c r="D1645" s="165"/>
      <c r="E1645" s="165"/>
      <c r="F1645" s="165"/>
      <c r="G1645" s="166"/>
      <c r="I1645" s="295" t="s">
        <v>783</v>
      </c>
      <c r="J1645" s="295"/>
      <c r="K1645" s="170"/>
      <c r="L1645" s="171"/>
      <c r="M1645" s="50"/>
      <c r="N1645" s="171"/>
      <c r="O1645" s="202"/>
      <c r="P1645" s="202"/>
      <c r="Q1645" s="202"/>
      <c r="R1645" s="162"/>
      <c r="S1645" s="162"/>
    </row>
    <row r="1646" spans="1:19">
      <c r="A1646" s="294"/>
      <c r="B1646" s="161"/>
      <c r="C1646" s="162"/>
      <c r="D1646" s="162"/>
      <c r="E1646" s="162"/>
      <c r="F1646" s="162"/>
      <c r="G1646" s="163"/>
      <c r="I1646" s="295" t="s">
        <v>784</v>
      </c>
      <c r="J1646" s="295"/>
      <c r="K1646" s="170"/>
      <c r="L1646" s="171"/>
      <c r="M1646" s="50"/>
      <c r="N1646" s="171"/>
      <c r="O1646" s="202"/>
      <c r="P1646" s="202"/>
      <c r="Q1646" s="202"/>
      <c r="R1646" s="162"/>
      <c r="S1646" s="162"/>
    </row>
    <row r="1647" spans="1:19">
      <c r="A1647" s="294"/>
      <c r="B1647" s="164"/>
      <c r="C1647" s="165"/>
      <c r="D1647" s="165"/>
      <c r="E1647" s="165"/>
      <c r="F1647" s="165"/>
      <c r="G1647" s="166"/>
      <c r="I1647" s="295" t="s">
        <v>785</v>
      </c>
      <c r="J1647" s="295"/>
      <c r="K1647" s="170"/>
      <c r="L1647" s="171"/>
      <c r="M1647" s="50"/>
      <c r="N1647" s="171"/>
      <c r="O1647" s="202"/>
      <c r="P1647" s="202"/>
      <c r="Q1647" s="202"/>
      <c r="R1647" s="162"/>
      <c r="S1647" s="162"/>
    </row>
    <row r="1648" spans="1:19">
      <c r="A1648" s="294"/>
      <c r="B1648" s="161"/>
      <c r="C1648" s="162"/>
      <c r="D1648" s="162"/>
      <c r="E1648" s="162"/>
      <c r="F1648" s="162"/>
      <c r="G1648" s="163"/>
      <c r="I1648" s="295" t="s">
        <v>786</v>
      </c>
      <c r="J1648" s="295"/>
      <c r="K1648" s="170"/>
      <c r="L1648" s="171"/>
      <c r="M1648" s="50"/>
      <c r="N1648" s="171"/>
      <c r="O1648" s="202"/>
      <c r="P1648" s="202"/>
      <c r="Q1648" s="202"/>
      <c r="R1648" s="162"/>
      <c r="S1648" s="162"/>
    </row>
    <row r="1649" spans="1:19">
      <c r="A1649" s="294"/>
      <c r="B1649" s="164"/>
      <c r="C1649" s="165"/>
      <c r="D1649" s="165"/>
      <c r="E1649" s="165"/>
      <c r="F1649" s="165"/>
      <c r="G1649" s="166"/>
      <c r="I1649" s="295" t="s">
        <v>787</v>
      </c>
      <c r="J1649" s="295"/>
      <c r="K1649" s="170"/>
      <c r="L1649" s="171"/>
      <c r="M1649" s="50"/>
      <c r="N1649" s="171"/>
      <c r="O1649" s="202"/>
      <c r="P1649" s="202"/>
      <c r="Q1649" s="202"/>
      <c r="R1649" s="162"/>
      <c r="S1649" s="162"/>
    </row>
    <row r="1650" spans="1:19">
      <c r="A1650" s="294"/>
      <c r="B1650" s="161"/>
      <c r="C1650" s="162"/>
      <c r="D1650" s="162"/>
      <c r="E1650" s="162"/>
      <c r="F1650" s="162"/>
      <c r="G1650" s="163"/>
      <c r="I1650" s="295" t="s">
        <v>788</v>
      </c>
      <c r="J1650" s="295"/>
      <c r="K1650" s="170"/>
      <c r="L1650" s="171"/>
      <c r="M1650" s="50"/>
      <c r="N1650" s="171"/>
      <c r="O1650" s="202"/>
      <c r="P1650" s="202"/>
      <c r="Q1650" s="202"/>
      <c r="R1650" s="162"/>
      <c r="S1650" s="162"/>
    </row>
    <row r="1651" spans="1:19">
      <c r="A1651" s="294"/>
      <c r="B1651" s="164"/>
      <c r="C1651" s="165"/>
      <c r="D1651" s="165"/>
      <c r="E1651" s="165"/>
      <c r="F1651" s="165"/>
      <c r="G1651" s="166"/>
      <c r="I1651" s="295" t="s">
        <v>789</v>
      </c>
      <c r="J1651" s="295"/>
      <c r="K1651" s="170"/>
      <c r="L1651" s="171"/>
      <c r="M1651" s="50"/>
      <c r="N1651" s="171"/>
      <c r="O1651" s="202"/>
      <c r="P1651" s="202"/>
      <c r="Q1651" s="202"/>
      <c r="R1651" s="162"/>
      <c r="S1651" s="162"/>
    </row>
    <row r="1652" spans="1:19">
      <c r="A1652" s="63"/>
      <c r="B1652" s="63"/>
      <c r="C1652" s="63"/>
      <c r="D1652" s="63"/>
      <c r="E1652" s="63"/>
      <c r="F1652" s="63"/>
      <c r="G1652" s="63"/>
      <c r="I1652" s="295" t="s">
        <v>790</v>
      </c>
      <c r="J1652" s="295"/>
      <c r="K1652" s="170"/>
      <c r="L1652" s="171"/>
      <c r="M1652" s="50"/>
      <c r="N1652" s="171"/>
      <c r="O1652" s="202"/>
      <c r="P1652" s="202"/>
      <c r="Q1652" s="202"/>
      <c r="R1652" s="162"/>
      <c r="S1652" s="162"/>
    </row>
    <row r="1653" spans="1:19">
      <c r="A1653" s="63"/>
      <c r="B1653" s="63"/>
      <c r="C1653" s="63"/>
      <c r="D1653" s="63"/>
      <c r="E1653" s="63"/>
      <c r="F1653" s="63"/>
      <c r="G1653" s="63"/>
      <c r="I1653" s="295" t="s">
        <v>791</v>
      </c>
      <c r="J1653" s="295"/>
      <c r="K1653" s="170"/>
      <c r="L1653" s="171"/>
      <c r="M1653" s="50"/>
      <c r="N1653" s="171"/>
      <c r="O1653" s="202"/>
      <c r="P1653" s="202"/>
      <c r="Q1653" s="202"/>
      <c r="R1653" s="162"/>
      <c r="S1653" s="162"/>
    </row>
    <row r="1654" spans="1:19">
      <c r="A1654" s="63"/>
      <c r="B1654" s="63"/>
      <c r="C1654" s="63"/>
      <c r="D1654" s="63"/>
      <c r="E1654" s="63"/>
      <c r="F1654" s="63"/>
      <c r="G1654" s="63"/>
      <c r="I1654" s="296" t="s">
        <v>792</v>
      </c>
      <c r="J1654" s="296"/>
      <c r="K1654" s="170"/>
      <c r="L1654" s="171"/>
      <c r="M1654" s="50"/>
      <c r="N1654" s="171"/>
      <c r="O1654" s="202"/>
      <c r="P1654" s="202"/>
      <c r="Q1654" s="202"/>
      <c r="R1654" s="162"/>
      <c r="S1654" s="162"/>
    </row>
    <row r="1655" spans="1:19" ht="17.25" thickBot="1">
      <c r="A1655" s="63"/>
      <c r="B1655" s="63"/>
      <c r="C1655" s="63"/>
      <c r="D1655" s="63"/>
      <c r="E1655" s="63"/>
      <c r="F1655" s="63"/>
      <c r="G1655" s="63"/>
      <c r="I1655" s="297" t="s">
        <v>793</v>
      </c>
      <c r="J1655" s="297"/>
      <c r="K1655" s="172">
        <f t="shared" ref="K1655:S1655" si="739">SUM(K1644:K1654)</f>
        <v>0</v>
      </c>
      <c r="L1655" s="205">
        <f t="shared" si="739"/>
        <v>0</v>
      </c>
      <c r="M1655" s="205">
        <f t="shared" si="739"/>
        <v>0</v>
      </c>
      <c r="N1655" s="205">
        <f t="shared" si="739"/>
        <v>0</v>
      </c>
      <c r="O1655" s="174">
        <f t="shared" si="739"/>
        <v>0</v>
      </c>
      <c r="P1655" s="174">
        <f t="shared" si="739"/>
        <v>0</v>
      </c>
      <c r="Q1655" s="174">
        <f t="shared" si="739"/>
        <v>0</v>
      </c>
      <c r="R1655" s="175">
        <f t="shared" si="739"/>
        <v>0</v>
      </c>
      <c r="S1655" s="175">
        <f t="shared" si="739"/>
        <v>0</v>
      </c>
    </row>
    <row r="1656" spans="1:19" ht="17.25" thickBot="1">
      <c r="A1656" s="63"/>
      <c r="B1656" s="63"/>
      <c r="C1656" s="63"/>
      <c r="D1656" s="63"/>
      <c r="E1656" s="63"/>
      <c r="F1656" s="63"/>
      <c r="G1656" s="63"/>
      <c r="I1656" s="298" t="s">
        <v>794</v>
      </c>
      <c r="J1656" s="299"/>
      <c r="K1656" s="176">
        <f t="shared" ref="K1656" si="740">S1635-K1655</f>
        <v>0</v>
      </c>
      <c r="L1656" s="177">
        <f t="shared" ref="L1656" si="741">K1655-L1655</f>
        <v>0</v>
      </c>
      <c r="M1656" s="177">
        <f t="shared" ref="M1656" si="742">K1655-M1655</f>
        <v>0</v>
      </c>
      <c r="N1656" s="177">
        <f t="shared" ref="N1656" si="743">K1655-N1655</f>
        <v>0</v>
      </c>
      <c r="O1656" s="178">
        <f t="shared" ref="O1656" si="744">K1655-O1655</f>
        <v>0</v>
      </c>
      <c r="P1656" s="178">
        <f t="shared" ref="P1656" si="745">K1655-P1655</f>
        <v>0</v>
      </c>
      <c r="Q1656" s="178">
        <f t="shared" ref="Q1656" si="746">K1655-Q1655</f>
        <v>0</v>
      </c>
      <c r="R1656" s="179">
        <f t="shared" ref="R1656" si="747">K1655-R1655</f>
        <v>0</v>
      </c>
      <c r="S1656" s="180">
        <f t="shared" ref="S1656" si="748">L1655-S1655</f>
        <v>0</v>
      </c>
    </row>
    <row r="1657" spans="1:19">
      <c r="A1657" s="63"/>
      <c r="B1657" s="63"/>
      <c r="C1657" s="63"/>
      <c r="D1657" s="63"/>
      <c r="E1657" s="63"/>
      <c r="F1657" s="63"/>
      <c r="G1657" s="63"/>
      <c r="I1657" s="300" t="s">
        <v>795</v>
      </c>
      <c r="J1657" s="301"/>
      <c r="K1657" s="181"/>
      <c r="L1657" s="182"/>
      <c r="M1657" s="182"/>
      <c r="N1657" s="182"/>
      <c r="O1657" s="183"/>
      <c r="P1657" s="182"/>
      <c r="Q1657" s="182"/>
      <c r="R1657" s="182"/>
      <c r="S1657" s="182"/>
    </row>
    <row r="1658" spans="1:19">
      <c r="A1658" s="63"/>
      <c r="B1658" s="63"/>
      <c r="C1658" s="63"/>
      <c r="D1658" s="63"/>
      <c r="E1658" s="63"/>
      <c r="F1658" s="63"/>
      <c r="G1658" s="63"/>
      <c r="I1658" s="302" t="s">
        <v>796</v>
      </c>
      <c r="J1658" s="302"/>
      <c r="K1658" s="184"/>
      <c r="L1658" s="203"/>
      <c r="M1658" s="203"/>
      <c r="N1658" s="203"/>
      <c r="O1658" s="203"/>
      <c r="P1658" s="203"/>
      <c r="Q1658" s="203"/>
      <c r="R1658" s="203"/>
      <c r="S1658" s="203"/>
    </row>
    <row r="1659" spans="1:19">
      <c r="A1659" s="63"/>
      <c r="B1659" s="63"/>
      <c r="C1659" s="63"/>
      <c r="D1659" s="63"/>
      <c r="E1659" s="63"/>
      <c r="F1659" s="63"/>
      <c r="G1659" s="63"/>
      <c r="I1659" s="302" t="s">
        <v>797</v>
      </c>
      <c r="J1659" s="302"/>
      <c r="K1659" s="184"/>
      <c r="L1659" s="203"/>
      <c r="M1659" s="203"/>
      <c r="N1659" s="203"/>
      <c r="O1659" s="203"/>
      <c r="P1659" s="203"/>
      <c r="Q1659" s="203"/>
      <c r="R1659" s="203"/>
      <c r="S1659" s="203"/>
    </row>
    <row r="1660" spans="1:19">
      <c r="A1660" s="63"/>
      <c r="B1660" s="63"/>
      <c r="C1660" s="63"/>
      <c r="D1660" s="63"/>
      <c r="E1660" s="63"/>
      <c r="F1660" s="63"/>
      <c r="G1660" s="63"/>
      <c r="I1660" s="303" t="s">
        <v>798</v>
      </c>
      <c r="J1660" s="303"/>
      <c r="K1660" s="184"/>
      <c r="L1660" s="185"/>
      <c r="M1660" s="185"/>
      <c r="N1660" s="185"/>
      <c r="O1660" s="185"/>
      <c r="P1660" s="204"/>
      <c r="Q1660" s="204"/>
      <c r="R1660" s="204"/>
      <c r="S1660" s="204"/>
    </row>
    <row r="1661" spans="1:19">
      <c r="A1661" s="3" t="s">
        <v>801</v>
      </c>
      <c r="B1661" s="201" t="s">
        <v>802</v>
      </c>
      <c r="C1661" s="201" t="s">
        <v>803</v>
      </c>
      <c r="D1661" s="201" t="s">
        <v>119</v>
      </c>
      <c r="E1661" s="201" t="s">
        <v>148</v>
      </c>
      <c r="F1661" s="201" t="s">
        <v>806</v>
      </c>
      <c r="G1661" s="201" t="s">
        <v>81</v>
      </c>
      <c r="I1661" s="187"/>
      <c r="J1661" s="187"/>
      <c r="K1661" s="187"/>
      <c r="L1661" s="188"/>
      <c r="M1661" s="188"/>
      <c r="N1661" s="188"/>
      <c r="O1661" s="188"/>
      <c r="P1661" s="187"/>
      <c r="Q1661" s="187"/>
      <c r="R1661" s="187"/>
      <c r="S1661" s="187"/>
    </row>
    <row r="1662" spans="1:19">
      <c r="A1662" s="293">
        <v>44122</v>
      </c>
      <c r="B1662" s="161"/>
      <c r="C1662" s="162"/>
      <c r="D1662" s="162"/>
      <c r="E1662" s="162"/>
      <c r="F1662" s="162"/>
      <c r="G1662" s="163"/>
      <c r="I1662" s="191"/>
      <c r="J1662" s="190"/>
      <c r="K1662" s="190"/>
      <c r="L1662" s="190"/>
      <c r="M1662" s="190">
        <v>44122</v>
      </c>
      <c r="N1662" s="189" t="s">
        <v>864</v>
      </c>
      <c r="O1662" s="189"/>
      <c r="P1662" s="189"/>
      <c r="Q1662" s="189"/>
      <c r="R1662" s="189"/>
      <c r="S1662" s="189"/>
    </row>
    <row r="1663" spans="1:19">
      <c r="A1663" s="294"/>
      <c r="B1663" s="164"/>
      <c r="C1663" s="165"/>
      <c r="D1663" s="165"/>
      <c r="E1663" s="165"/>
      <c r="F1663" s="165"/>
      <c r="G1663" s="166"/>
      <c r="I1663" s="304"/>
      <c r="J1663" s="304"/>
      <c r="K1663" s="167"/>
      <c r="L1663" s="168"/>
      <c r="M1663" s="168"/>
      <c r="N1663" s="168"/>
      <c r="O1663" s="169"/>
      <c r="P1663" s="169"/>
      <c r="Q1663" s="169"/>
      <c r="R1663" s="161"/>
      <c r="S1663" s="161"/>
    </row>
    <row r="1664" spans="1:19">
      <c r="A1664" s="294"/>
      <c r="B1664" s="161"/>
      <c r="C1664" s="162"/>
      <c r="D1664" s="162"/>
      <c r="E1664" s="162"/>
      <c r="F1664" s="162"/>
      <c r="G1664" s="163"/>
      <c r="I1664" s="295" t="s">
        <v>782</v>
      </c>
      <c r="J1664" s="296"/>
      <c r="K1664" s="170"/>
      <c r="L1664" s="171"/>
      <c r="M1664" s="50"/>
      <c r="N1664" s="171"/>
      <c r="O1664" s="202"/>
      <c r="P1664" s="202"/>
      <c r="Q1664" s="202"/>
      <c r="R1664" s="162"/>
      <c r="S1664" s="162"/>
    </row>
    <row r="1665" spans="1:19">
      <c r="A1665" s="294"/>
      <c r="B1665" s="164"/>
      <c r="C1665" s="165"/>
      <c r="D1665" s="165"/>
      <c r="E1665" s="165"/>
      <c r="F1665" s="165"/>
      <c r="G1665" s="166"/>
      <c r="I1665" s="295" t="s">
        <v>783</v>
      </c>
      <c r="J1665" s="295"/>
      <c r="K1665" s="170"/>
      <c r="L1665" s="171"/>
      <c r="M1665" s="50"/>
      <c r="N1665" s="171"/>
      <c r="O1665" s="202"/>
      <c r="P1665" s="202"/>
      <c r="Q1665" s="202"/>
      <c r="R1665" s="162"/>
      <c r="S1665" s="162"/>
    </row>
    <row r="1666" spans="1:19">
      <c r="A1666" s="294"/>
      <c r="B1666" s="161"/>
      <c r="C1666" s="162"/>
      <c r="D1666" s="162"/>
      <c r="E1666" s="162"/>
      <c r="F1666" s="162"/>
      <c r="G1666" s="163"/>
      <c r="I1666" s="295" t="s">
        <v>784</v>
      </c>
      <c r="J1666" s="295"/>
      <c r="K1666" s="170"/>
      <c r="L1666" s="171"/>
      <c r="M1666" s="50"/>
      <c r="N1666" s="171"/>
      <c r="O1666" s="202"/>
      <c r="P1666" s="202"/>
      <c r="Q1666" s="202"/>
      <c r="R1666" s="162"/>
      <c r="S1666" s="162"/>
    </row>
    <row r="1667" spans="1:19">
      <c r="A1667" s="294"/>
      <c r="B1667" s="164"/>
      <c r="C1667" s="165"/>
      <c r="D1667" s="165"/>
      <c r="E1667" s="165"/>
      <c r="F1667" s="165"/>
      <c r="G1667" s="166"/>
      <c r="I1667" s="295" t="s">
        <v>785</v>
      </c>
      <c r="J1667" s="295"/>
      <c r="K1667" s="170"/>
      <c r="L1667" s="171"/>
      <c r="M1667" s="50"/>
      <c r="N1667" s="171"/>
      <c r="O1667" s="202"/>
      <c r="P1667" s="202"/>
      <c r="Q1667" s="202"/>
      <c r="R1667" s="162"/>
      <c r="S1667" s="162"/>
    </row>
    <row r="1668" spans="1:19">
      <c r="A1668" s="294"/>
      <c r="B1668" s="161"/>
      <c r="C1668" s="162"/>
      <c r="D1668" s="162"/>
      <c r="E1668" s="162"/>
      <c r="F1668" s="162"/>
      <c r="G1668" s="163"/>
      <c r="I1668" s="295" t="s">
        <v>786</v>
      </c>
      <c r="J1668" s="295"/>
      <c r="K1668" s="170"/>
      <c r="L1668" s="171"/>
      <c r="M1668" s="50"/>
      <c r="N1668" s="171"/>
      <c r="O1668" s="202"/>
      <c r="P1668" s="202"/>
      <c r="Q1668" s="202"/>
      <c r="R1668" s="162"/>
      <c r="S1668" s="162"/>
    </row>
    <row r="1669" spans="1:19">
      <c r="A1669" s="294"/>
      <c r="B1669" s="164"/>
      <c r="C1669" s="165"/>
      <c r="D1669" s="165"/>
      <c r="E1669" s="165"/>
      <c r="F1669" s="165"/>
      <c r="G1669" s="166"/>
      <c r="I1669" s="295" t="s">
        <v>787</v>
      </c>
      <c r="J1669" s="295"/>
      <c r="K1669" s="170"/>
      <c r="L1669" s="171"/>
      <c r="M1669" s="50"/>
      <c r="N1669" s="171"/>
      <c r="O1669" s="202"/>
      <c r="P1669" s="202"/>
      <c r="Q1669" s="202"/>
      <c r="R1669" s="162"/>
      <c r="S1669" s="162"/>
    </row>
    <row r="1670" spans="1:19">
      <c r="A1670" s="294"/>
      <c r="B1670" s="161"/>
      <c r="C1670" s="162"/>
      <c r="D1670" s="162"/>
      <c r="E1670" s="162"/>
      <c r="F1670" s="162"/>
      <c r="G1670" s="163"/>
      <c r="I1670" s="295" t="s">
        <v>788</v>
      </c>
      <c r="J1670" s="295"/>
      <c r="K1670" s="170"/>
      <c r="L1670" s="171"/>
      <c r="M1670" s="50"/>
      <c r="N1670" s="171"/>
      <c r="O1670" s="202"/>
      <c r="P1670" s="202"/>
      <c r="Q1670" s="202"/>
      <c r="R1670" s="162"/>
      <c r="S1670" s="162"/>
    </row>
    <row r="1671" spans="1:19">
      <c r="A1671" s="294"/>
      <c r="B1671" s="164"/>
      <c r="C1671" s="165"/>
      <c r="D1671" s="165"/>
      <c r="E1671" s="165"/>
      <c r="F1671" s="165"/>
      <c r="G1671" s="166"/>
      <c r="I1671" s="295" t="s">
        <v>789</v>
      </c>
      <c r="J1671" s="295"/>
      <c r="K1671" s="170"/>
      <c r="L1671" s="171"/>
      <c r="M1671" s="50"/>
      <c r="N1671" s="171"/>
      <c r="O1671" s="202"/>
      <c r="P1671" s="202"/>
      <c r="Q1671" s="202"/>
      <c r="R1671" s="162"/>
      <c r="S1671" s="162"/>
    </row>
    <row r="1672" spans="1:19">
      <c r="A1672" s="63"/>
      <c r="B1672" s="63"/>
      <c r="C1672" s="63"/>
      <c r="D1672" s="63"/>
      <c r="E1672" s="63"/>
      <c r="F1672" s="63"/>
      <c r="G1672" s="63"/>
      <c r="I1672" s="295" t="s">
        <v>790</v>
      </c>
      <c r="J1672" s="295"/>
      <c r="K1672" s="170"/>
      <c r="L1672" s="171"/>
      <c r="M1672" s="50"/>
      <c r="N1672" s="171"/>
      <c r="O1672" s="202"/>
      <c r="P1672" s="202"/>
      <c r="Q1672" s="202"/>
      <c r="R1672" s="162"/>
      <c r="S1672" s="162"/>
    </row>
    <row r="1673" spans="1:19">
      <c r="A1673" s="63"/>
      <c r="B1673" s="63"/>
      <c r="C1673" s="63"/>
      <c r="D1673" s="63"/>
      <c r="E1673" s="63"/>
      <c r="F1673" s="63"/>
      <c r="G1673" s="63"/>
      <c r="I1673" s="295" t="s">
        <v>791</v>
      </c>
      <c r="J1673" s="295"/>
      <c r="K1673" s="170"/>
      <c r="L1673" s="171"/>
      <c r="M1673" s="50"/>
      <c r="N1673" s="171"/>
      <c r="O1673" s="202"/>
      <c r="P1673" s="202"/>
      <c r="Q1673" s="202"/>
      <c r="R1673" s="162"/>
      <c r="S1673" s="162"/>
    </row>
    <row r="1674" spans="1:19">
      <c r="A1674" s="63"/>
      <c r="B1674" s="63"/>
      <c r="C1674" s="63"/>
      <c r="D1674" s="63"/>
      <c r="E1674" s="63"/>
      <c r="F1674" s="63"/>
      <c r="G1674" s="63"/>
      <c r="I1674" s="296" t="s">
        <v>792</v>
      </c>
      <c r="J1674" s="296"/>
      <c r="K1674" s="170"/>
      <c r="L1674" s="171"/>
      <c r="M1674" s="50"/>
      <c r="N1674" s="171"/>
      <c r="O1674" s="202"/>
      <c r="P1674" s="202"/>
      <c r="Q1674" s="202"/>
      <c r="R1674" s="162"/>
      <c r="S1674" s="162"/>
    </row>
    <row r="1675" spans="1:19" ht="17.25" thickBot="1">
      <c r="A1675" s="63"/>
      <c r="B1675" s="63"/>
      <c r="C1675" s="63"/>
      <c r="D1675" s="63"/>
      <c r="E1675" s="63"/>
      <c r="F1675" s="63"/>
      <c r="G1675" s="63"/>
      <c r="I1675" s="297" t="s">
        <v>793</v>
      </c>
      <c r="J1675" s="297"/>
      <c r="K1675" s="172">
        <f t="shared" ref="K1675:S1675" si="749">SUM(K1664:K1674)</f>
        <v>0</v>
      </c>
      <c r="L1675" s="205">
        <f t="shared" si="749"/>
        <v>0</v>
      </c>
      <c r="M1675" s="205">
        <f t="shared" si="749"/>
        <v>0</v>
      </c>
      <c r="N1675" s="205">
        <f t="shared" si="749"/>
        <v>0</v>
      </c>
      <c r="O1675" s="174">
        <f t="shared" si="749"/>
        <v>0</v>
      </c>
      <c r="P1675" s="174">
        <f t="shared" si="749"/>
        <v>0</v>
      </c>
      <c r="Q1675" s="174">
        <f t="shared" si="749"/>
        <v>0</v>
      </c>
      <c r="R1675" s="175">
        <f t="shared" si="749"/>
        <v>0</v>
      </c>
      <c r="S1675" s="175">
        <f t="shared" si="749"/>
        <v>0</v>
      </c>
    </row>
    <row r="1676" spans="1:19" ht="17.25" thickBot="1">
      <c r="A1676" s="63"/>
      <c r="B1676" s="63"/>
      <c r="C1676" s="63"/>
      <c r="D1676" s="63"/>
      <c r="E1676" s="63"/>
      <c r="F1676" s="63"/>
      <c r="G1676" s="63"/>
      <c r="I1676" s="298" t="s">
        <v>794</v>
      </c>
      <c r="J1676" s="299"/>
      <c r="K1676" s="176">
        <f t="shared" ref="K1676" si="750">S1655-K1675</f>
        <v>0</v>
      </c>
      <c r="L1676" s="177">
        <f t="shared" ref="L1676" si="751">K1675-L1675</f>
        <v>0</v>
      </c>
      <c r="M1676" s="177">
        <f t="shared" ref="M1676" si="752">K1675-M1675</f>
        <v>0</v>
      </c>
      <c r="N1676" s="177">
        <f t="shared" ref="N1676" si="753">K1675-N1675</f>
        <v>0</v>
      </c>
      <c r="O1676" s="178">
        <f t="shared" ref="O1676" si="754">K1675-O1675</f>
        <v>0</v>
      </c>
      <c r="P1676" s="178">
        <f t="shared" ref="P1676" si="755">K1675-P1675</f>
        <v>0</v>
      </c>
      <c r="Q1676" s="178">
        <f t="shared" ref="Q1676" si="756">K1675-Q1675</f>
        <v>0</v>
      </c>
      <c r="R1676" s="179">
        <f t="shared" ref="R1676" si="757">K1675-R1675</f>
        <v>0</v>
      </c>
      <c r="S1676" s="180">
        <f t="shared" ref="S1676" si="758">L1675-S1675</f>
        <v>0</v>
      </c>
    </row>
    <row r="1677" spans="1:19">
      <c r="A1677" s="63"/>
      <c r="B1677" s="63"/>
      <c r="C1677" s="63"/>
      <c r="D1677" s="63"/>
      <c r="E1677" s="63"/>
      <c r="F1677" s="63"/>
      <c r="G1677" s="63"/>
      <c r="I1677" s="300" t="s">
        <v>795</v>
      </c>
      <c r="J1677" s="301"/>
      <c r="K1677" s="181"/>
      <c r="L1677" s="182"/>
      <c r="M1677" s="182"/>
      <c r="N1677" s="182"/>
      <c r="O1677" s="183"/>
      <c r="P1677" s="182"/>
      <c r="Q1677" s="182"/>
      <c r="R1677" s="182"/>
      <c r="S1677" s="182"/>
    </row>
    <row r="1678" spans="1:19">
      <c r="A1678" s="63"/>
      <c r="B1678" s="63"/>
      <c r="C1678" s="63"/>
      <c r="D1678" s="63"/>
      <c r="E1678" s="63"/>
      <c r="F1678" s="63"/>
      <c r="G1678" s="63"/>
      <c r="I1678" s="302" t="s">
        <v>796</v>
      </c>
      <c r="J1678" s="302"/>
      <c r="K1678" s="184"/>
      <c r="L1678" s="203"/>
      <c r="M1678" s="203"/>
      <c r="N1678" s="203"/>
      <c r="O1678" s="203"/>
      <c r="P1678" s="203"/>
      <c r="Q1678" s="203"/>
      <c r="R1678" s="203"/>
      <c r="S1678" s="203"/>
    </row>
    <row r="1679" spans="1:19">
      <c r="A1679" s="63"/>
      <c r="B1679" s="63"/>
      <c r="C1679" s="63"/>
      <c r="D1679" s="63"/>
      <c r="E1679" s="63"/>
      <c r="F1679" s="63"/>
      <c r="G1679" s="63"/>
      <c r="I1679" s="302" t="s">
        <v>797</v>
      </c>
      <c r="J1679" s="302"/>
      <c r="K1679" s="184"/>
      <c r="L1679" s="203"/>
      <c r="M1679" s="203"/>
      <c r="N1679" s="203"/>
      <c r="O1679" s="203"/>
      <c r="P1679" s="203"/>
      <c r="Q1679" s="203"/>
      <c r="R1679" s="203"/>
      <c r="S1679" s="203"/>
    </row>
    <row r="1680" spans="1:19">
      <c r="A1680" s="63"/>
      <c r="B1680" s="63"/>
      <c r="C1680" s="63"/>
      <c r="D1680" s="63"/>
      <c r="E1680" s="63"/>
      <c r="F1680" s="63"/>
      <c r="G1680" s="63"/>
      <c r="I1680" s="303" t="s">
        <v>798</v>
      </c>
      <c r="J1680" s="303"/>
      <c r="K1680" s="184"/>
      <c r="L1680" s="185"/>
      <c r="M1680" s="185"/>
      <c r="N1680" s="185"/>
      <c r="O1680" s="185"/>
      <c r="P1680" s="204"/>
      <c r="Q1680" s="204"/>
      <c r="R1680" s="204"/>
      <c r="S1680" s="204"/>
    </row>
    <row r="1681" spans="1:19">
      <c r="A1681" s="3" t="s">
        <v>801</v>
      </c>
      <c r="B1681" s="201" t="s">
        <v>802</v>
      </c>
      <c r="C1681" s="201" t="s">
        <v>803</v>
      </c>
      <c r="D1681" s="201" t="s">
        <v>119</v>
      </c>
      <c r="E1681" s="201" t="s">
        <v>148</v>
      </c>
      <c r="F1681" s="201" t="s">
        <v>806</v>
      </c>
      <c r="G1681" s="201" t="s">
        <v>81</v>
      </c>
      <c r="I1681" s="187"/>
      <c r="J1681" s="187"/>
      <c r="K1681" s="187"/>
      <c r="L1681" s="188"/>
      <c r="M1681" s="188"/>
      <c r="N1681" s="188"/>
      <c r="O1681" s="188"/>
      <c r="P1681" s="187"/>
      <c r="Q1681" s="187"/>
      <c r="R1681" s="187"/>
      <c r="S1681" s="187"/>
    </row>
    <row r="1682" spans="1:19">
      <c r="A1682" s="293">
        <v>44123</v>
      </c>
      <c r="B1682" s="161"/>
      <c r="C1682" s="162"/>
      <c r="D1682" s="162"/>
      <c r="E1682" s="162"/>
      <c r="F1682" s="162"/>
      <c r="G1682" s="163"/>
      <c r="I1682" s="191"/>
      <c r="J1682" s="190"/>
      <c r="K1682" s="190"/>
      <c r="L1682" s="190"/>
      <c r="M1682" s="190">
        <v>44123</v>
      </c>
      <c r="N1682" s="189" t="s">
        <v>864</v>
      </c>
      <c r="O1682" s="189"/>
      <c r="P1682" s="189"/>
      <c r="Q1682" s="189"/>
      <c r="R1682" s="189"/>
      <c r="S1682" s="189"/>
    </row>
    <row r="1683" spans="1:19">
      <c r="A1683" s="294"/>
      <c r="B1683" s="164"/>
      <c r="C1683" s="165"/>
      <c r="D1683" s="165"/>
      <c r="E1683" s="165"/>
      <c r="F1683" s="165"/>
      <c r="G1683" s="166"/>
      <c r="I1683" s="304"/>
      <c r="J1683" s="304"/>
      <c r="K1683" s="167"/>
      <c r="L1683" s="168"/>
      <c r="M1683" s="168"/>
      <c r="N1683" s="168"/>
      <c r="O1683" s="169"/>
      <c r="P1683" s="169"/>
      <c r="Q1683" s="169"/>
      <c r="R1683" s="161"/>
      <c r="S1683" s="161"/>
    </row>
    <row r="1684" spans="1:19">
      <c r="A1684" s="294"/>
      <c r="B1684" s="161"/>
      <c r="C1684" s="162"/>
      <c r="D1684" s="162"/>
      <c r="E1684" s="162"/>
      <c r="F1684" s="162"/>
      <c r="G1684" s="163"/>
      <c r="I1684" s="295" t="s">
        <v>782</v>
      </c>
      <c r="J1684" s="296"/>
      <c r="K1684" s="170"/>
      <c r="L1684" s="171"/>
      <c r="M1684" s="50"/>
      <c r="N1684" s="171"/>
      <c r="O1684" s="202"/>
      <c r="P1684" s="202"/>
      <c r="Q1684" s="202"/>
      <c r="R1684" s="162"/>
      <c r="S1684" s="162"/>
    </row>
    <row r="1685" spans="1:19">
      <c r="A1685" s="294"/>
      <c r="B1685" s="164"/>
      <c r="C1685" s="165"/>
      <c r="D1685" s="165"/>
      <c r="E1685" s="165"/>
      <c r="F1685" s="165"/>
      <c r="G1685" s="166"/>
      <c r="I1685" s="295" t="s">
        <v>783</v>
      </c>
      <c r="J1685" s="295"/>
      <c r="K1685" s="170"/>
      <c r="L1685" s="171"/>
      <c r="M1685" s="50"/>
      <c r="N1685" s="171"/>
      <c r="O1685" s="202"/>
      <c r="P1685" s="202"/>
      <c r="Q1685" s="202"/>
      <c r="R1685" s="162"/>
      <c r="S1685" s="162"/>
    </row>
    <row r="1686" spans="1:19">
      <c r="A1686" s="294"/>
      <c r="B1686" s="161"/>
      <c r="C1686" s="162"/>
      <c r="D1686" s="162"/>
      <c r="E1686" s="162"/>
      <c r="F1686" s="162"/>
      <c r="G1686" s="163"/>
      <c r="I1686" s="295" t="s">
        <v>784</v>
      </c>
      <c r="J1686" s="295"/>
      <c r="K1686" s="170"/>
      <c r="L1686" s="171"/>
      <c r="M1686" s="50"/>
      <c r="N1686" s="171"/>
      <c r="O1686" s="202"/>
      <c r="P1686" s="202"/>
      <c r="Q1686" s="202"/>
      <c r="R1686" s="162"/>
      <c r="S1686" s="162"/>
    </row>
    <row r="1687" spans="1:19">
      <c r="A1687" s="294"/>
      <c r="B1687" s="164"/>
      <c r="C1687" s="165"/>
      <c r="D1687" s="165"/>
      <c r="E1687" s="165"/>
      <c r="F1687" s="165"/>
      <c r="G1687" s="166"/>
      <c r="I1687" s="295" t="s">
        <v>785</v>
      </c>
      <c r="J1687" s="295"/>
      <c r="K1687" s="170"/>
      <c r="L1687" s="171"/>
      <c r="M1687" s="50"/>
      <c r="N1687" s="171"/>
      <c r="O1687" s="202"/>
      <c r="P1687" s="202"/>
      <c r="Q1687" s="202"/>
      <c r="R1687" s="162"/>
      <c r="S1687" s="162"/>
    </row>
    <row r="1688" spans="1:19">
      <c r="A1688" s="294"/>
      <c r="B1688" s="161"/>
      <c r="C1688" s="162"/>
      <c r="D1688" s="162"/>
      <c r="E1688" s="162"/>
      <c r="F1688" s="162"/>
      <c r="G1688" s="163"/>
      <c r="I1688" s="295" t="s">
        <v>786</v>
      </c>
      <c r="J1688" s="295"/>
      <c r="K1688" s="170"/>
      <c r="L1688" s="171"/>
      <c r="M1688" s="50"/>
      <c r="N1688" s="171"/>
      <c r="O1688" s="202"/>
      <c r="P1688" s="202"/>
      <c r="Q1688" s="202"/>
      <c r="R1688" s="162"/>
      <c r="S1688" s="162"/>
    </row>
    <row r="1689" spans="1:19">
      <c r="A1689" s="294"/>
      <c r="B1689" s="164"/>
      <c r="C1689" s="165"/>
      <c r="D1689" s="165"/>
      <c r="E1689" s="165"/>
      <c r="F1689" s="165"/>
      <c r="G1689" s="166"/>
      <c r="I1689" s="295" t="s">
        <v>787</v>
      </c>
      <c r="J1689" s="295"/>
      <c r="K1689" s="170"/>
      <c r="L1689" s="171"/>
      <c r="M1689" s="50"/>
      <c r="N1689" s="171"/>
      <c r="O1689" s="202"/>
      <c r="P1689" s="202"/>
      <c r="Q1689" s="202"/>
      <c r="R1689" s="162"/>
      <c r="S1689" s="162"/>
    </row>
    <row r="1690" spans="1:19">
      <c r="A1690" s="294"/>
      <c r="B1690" s="161"/>
      <c r="C1690" s="162"/>
      <c r="D1690" s="162"/>
      <c r="E1690" s="162"/>
      <c r="F1690" s="162"/>
      <c r="G1690" s="163"/>
      <c r="I1690" s="295" t="s">
        <v>788</v>
      </c>
      <c r="J1690" s="295"/>
      <c r="K1690" s="170"/>
      <c r="L1690" s="171"/>
      <c r="M1690" s="50"/>
      <c r="N1690" s="171"/>
      <c r="O1690" s="202"/>
      <c r="P1690" s="202"/>
      <c r="Q1690" s="202"/>
      <c r="R1690" s="162"/>
      <c r="S1690" s="162"/>
    </row>
    <row r="1691" spans="1:19">
      <c r="A1691" s="294"/>
      <c r="B1691" s="164"/>
      <c r="C1691" s="165"/>
      <c r="D1691" s="165"/>
      <c r="E1691" s="165"/>
      <c r="F1691" s="165"/>
      <c r="G1691" s="166"/>
      <c r="I1691" s="295" t="s">
        <v>789</v>
      </c>
      <c r="J1691" s="295"/>
      <c r="K1691" s="170"/>
      <c r="L1691" s="171"/>
      <c r="M1691" s="50"/>
      <c r="N1691" s="171"/>
      <c r="O1691" s="202"/>
      <c r="P1691" s="202"/>
      <c r="Q1691" s="202"/>
      <c r="R1691" s="162"/>
      <c r="S1691" s="162"/>
    </row>
    <row r="1692" spans="1:19">
      <c r="A1692" s="63"/>
      <c r="B1692" s="63"/>
      <c r="C1692" s="63"/>
      <c r="D1692" s="63"/>
      <c r="E1692" s="63"/>
      <c r="F1692" s="63"/>
      <c r="G1692" s="63"/>
      <c r="I1692" s="295" t="s">
        <v>790</v>
      </c>
      <c r="J1692" s="295"/>
      <c r="K1692" s="170"/>
      <c r="L1692" s="171"/>
      <c r="M1692" s="50"/>
      <c r="N1692" s="171"/>
      <c r="O1692" s="202"/>
      <c r="P1692" s="202"/>
      <c r="Q1692" s="202"/>
      <c r="R1692" s="162"/>
      <c r="S1692" s="162"/>
    </row>
    <row r="1693" spans="1:19">
      <c r="A1693" s="63"/>
      <c r="B1693" s="63"/>
      <c r="C1693" s="63"/>
      <c r="D1693" s="63"/>
      <c r="E1693" s="63"/>
      <c r="F1693" s="63"/>
      <c r="G1693" s="63"/>
      <c r="I1693" s="295" t="s">
        <v>791</v>
      </c>
      <c r="J1693" s="295"/>
      <c r="K1693" s="170"/>
      <c r="L1693" s="171"/>
      <c r="M1693" s="50"/>
      <c r="N1693" s="171"/>
      <c r="O1693" s="202"/>
      <c r="P1693" s="202"/>
      <c r="Q1693" s="202"/>
      <c r="R1693" s="162"/>
      <c r="S1693" s="162"/>
    </row>
    <row r="1694" spans="1:19">
      <c r="A1694" s="63"/>
      <c r="B1694" s="63"/>
      <c r="C1694" s="63"/>
      <c r="D1694" s="63"/>
      <c r="E1694" s="63"/>
      <c r="F1694" s="63"/>
      <c r="G1694" s="63"/>
      <c r="I1694" s="296" t="s">
        <v>792</v>
      </c>
      <c r="J1694" s="296"/>
      <c r="K1694" s="170"/>
      <c r="L1694" s="171"/>
      <c r="M1694" s="50"/>
      <c r="N1694" s="171"/>
      <c r="O1694" s="202"/>
      <c r="P1694" s="202"/>
      <c r="Q1694" s="202"/>
      <c r="R1694" s="162"/>
      <c r="S1694" s="162"/>
    </row>
    <row r="1695" spans="1:19" ht="17.25" thickBot="1">
      <c r="A1695" s="63"/>
      <c r="B1695" s="63"/>
      <c r="C1695" s="63"/>
      <c r="D1695" s="63"/>
      <c r="E1695" s="63"/>
      <c r="F1695" s="63"/>
      <c r="G1695" s="63"/>
      <c r="I1695" s="297" t="s">
        <v>793</v>
      </c>
      <c r="J1695" s="297"/>
      <c r="K1695" s="172">
        <f t="shared" ref="K1695:S1695" si="759">SUM(K1684:K1694)</f>
        <v>0</v>
      </c>
      <c r="L1695" s="205">
        <f t="shared" si="759"/>
        <v>0</v>
      </c>
      <c r="M1695" s="205">
        <f t="shared" si="759"/>
        <v>0</v>
      </c>
      <c r="N1695" s="205">
        <f t="shared" si="759"/>
        <v>0</v>
      </c>
      <c r="O1695" s="174">
        <f t="shared" si="759"/>
        <v>0</v>
      </c>
      <c r="P1695" s="174">
        <f t="shared" si="759"/>
        <v>0</v>
      </c>
      <c r="Q1695" s="174">
        <f t="shared" si="759"/>
        <v>0</v>
      </c>
      <c r="R1695" s="175">
        <f t="shared" si="759"/>
        <v>0</v>
      </c>
      <c r="S1695" s="175">
        <f t="shared" si="759"/>
        <v>0</v>
      </c>
    </row>
    <row r="1696" spans="1:19" ht="17.25" thickBot="1">
      <c r="A1696" s="63"/>
      <c r="B1696" s="63"/>
      <c r="C1696" s="63"/>
      <c r="D1696" s="63"/>
      <c r="E1696" s="63"/>
      <c r="F1696" s="63"/>
      <c r="G1696" s="63"/>
      <c r="I1696" s="298" t="s">
        <v>794</v>
      </c>
      <c r="J1696" s="299"/>
      <c r="K1696" s="176">
        <f t="shared" ref="K1696" si="760">S1675-K1695</f>
        <v>0</v>
      </c>
      <c r="L1696" s="177">
        <f t="shared" ref="L1696" si="761">K1695-L1695</f>
        <v>0</v>
      </c>
      <c r="M1696" s="177">
        <f t="shared" ref="M1696" si="762">K1695-M1695</f>
        <v>0</v>
      </c>
      <c r="N1696" s="177">
        <f t="shared" ref="N1696" si="763">K1695-N1695</f>
        <v>0</v>
      </c>
      <c r="O1696" s="178">
        <f t="shared" ref="O1696" si="764">K1695-O1695</f>
        <v>0</v>
      </c>
      <c r="P1696" s="178">
        <f t="shared" ref="P1696" si="765">K1695-P1695</f>
        <v>0</v>
      </c>
      <c r="Q1696" s="178">
        <f t="shared" ref="Q1696" si="766">K1695-Q1695</f>
        <v>0</v>
      </c>
      <c r="R1696" s="179">
        <f t="shared" ref="R1696" si="767">K1695-R1695</f>
        <v>0</v>
      </c>
      <c r="S1696" s="180">
        <f t="shared" ref="S1696" si="768">L1695-S1695</f>
        <v>0</v>
      </c>
    </row>
    <row r="1697" spans="1:19">
      <c r="A1697" s="63"/>
      <c r="B1697" s="63"/>
      <c r="C1697" s="63"/>
      <c r="D1697" s="63"/>
      <c r="E1697" s="63"/>
      <c r="F1697" s="63"/>
      <c r="G1697" s="63"/>
      <c r="I1697" s="300" t="s">
        <v>795</v>
      </c>
      <c r="J1697" s="301"/>
      <c r="K1697" s="181"/>
      <c r="L1697" s="182"/>
      <c r="M1697" s="182"/>
      <c r="N1697" s="182"/>
      <c r="O1697" s="183"/>
      <c r="P1697" s="182"/>
      <c r="Q1697" s="182"/>
      <c r="R1697" s="182"/>
      <c r="S1697" s="182"/>
    </row>
    <row r="1698" spans="1:19">
      <c r="A1698" s="63"/>
      <c r="B1698" s="63"/>
      <c r="C1698" s="63"/>
      <c r="D1698" s="63"/>
      <c r="E1698" s="63"/>
      <c r="F1698" s="63"/>
      <c r="G1698" s="63"/>
      <c r="I1698" s="302" t="s">
        <v>796</v>
      </c>
      <c r="J1698" s="302"/>
      <c r="K1698" s="184"/>
      <c r="L1698" s="203"/>
      <c r="M1698" s="203"/>
      <c r="N1698" s="203"/>
      <c r="O1698" s="203"/>
      <c r="P1698" s="203"/>
      <c r="Q1698" s="203"/>
      <c r="R1698" s="203"/>
      <c r="S1698" s="203"/>
    </row>
    <row r="1699" spans="1:19">
      <c r="A1699" s="63"/>
      <c r="B1699" s="63"/>
      <c r="C1699" s="63"/>
      <c r="D1699" s="63"/>
      <c r="E1699" s="63"/>
      <c r="F1699" s="63"/>
      <c r="G1699" s="63"/>
      <c r="I1699" s="302" t="s">
        <v>797</v>
      </c>
      <c r="J1699" s="302"/>
      <c r="K1699" s="184"/>
      <c r="L1699" s="203"/>
      <c r="M1699" s="203"/>
      <c r="N1699" s="203"/>
      <c r="O1699" s="203"/>
      <c r="P1699" s="203"/>
      <c r="Q1699" s="203"/>
      <c r="R1699" s="203"/>
      <c r="S1699" s="203"/>
    </row>
    <row r="1700" spans="1:19">
      <c r="A1700" s="63"/>
      <c r="B1700" s="63"/>
      <c r="C1700" s="63"/>
      <c r="D1700" s="63"/>
      <c r="E1700" s="63"/>
      <c r="F1700" s="63"/>
      <c r="G1700" s="63"/>
      <c r="I1700" s="303" t="s">
        <v>798</v>
      </c>
      <c r="J1700" s="303"/>
      <c r="K1700" s="184"/>
      <c r="L1700" s="185"/>
      <c r="M1700" s="185"/>
      <c r="N1700" s="185"/>
      <c r="O1700" s="185"/>
      <c r="P1700" s="204"/>
      <c r="Q1700" s="204"/>
      <c r="R1700" s="204"/>
      <c r="S1700" s="204"/>
    </row>
    <row r="1701" spans="1:19">
      <c r="A1701" s="3" t="s">
        <v>801</v>
      </c>
      <c r="B1701" s="201" t="s">
        <v>802</v>
      </c>
      <c r="C1701" s="201" t="s">
        <v>803</v>
      </c>
      <c r="D1701" s="201" t="s">
        <v>119</v>
      </c>
      <c r="E1701" s="201" t="s">
        <v>148</v>
      </c>
      <c r="F1701" s="201" t="s">
        <v>806</v>
      </c>
      <c r="G1701" s="201" t="s">
        <v>81</v>
      </c>
      <c r="I1701" s="187"/>
      <c r="J1701" s="187"/>
      <c r="K1701" s="187"/>
      <c r="L1701" s="188"/>
      <c r="M1701" s="188"/>
      <c r="N1701" s="188"/>
      <c r="O1701" s="188"/>
      <c r="P1701" s="187"/>
      <c r="Q1701" s="187"/>
      <c r="R1701" s="187"/>
      <c r="S1701" s="187"/>
    </row>
    <row r="1702" spans="1:19">
      <c r="A1702" s="293">
        <v>44124</v>
      </c>
      <c r="B1702" s="161"/>
      <c r="C1702" s="162"/>
      <c r="D1702" s="162"/>
      <c r="E1702" s="162"/>
      <c r="F1702" s="162"/>
      <c r="G1702" s="163"/>
      <c r="I1702" s="191"/>
      <c r="J1702" s="190"/>
      <c r="K1702" s="190"/>
      <c r="L1702" s="190"/>
      <c r="M1702" s="190">
        <v>44124</v>
      </c>
      <c r="N1702" s="189" t="s">
        <v>864</v>
      </c>
      <c r="O1702" s="189"/>
      <c r="P1702" s="189"/>
      <c r="Q1702" s="189"/>
      <c r="R1702" s="189"/>
      <c r="S1702" s="189"/>
    </row>
    <row r="1703" spans="1:19">
      <c r="A1703" s="294"/>
      <c r="B1703" s="164"/>
      <c r="C1703" s="165"/>
      <c r="D1703" s="165"/>
      <c r="E1703" s="165"/>
      <c r="F1703" s="165"/>
      <c r="G1703" s="166"/>
      <c r="I1703" s="304"/>
      <c r="J1703" s="304"/>
      <c r="K1703" s="167"/>
      <c r="L1703" s="168"/>
      <c r="M1703" s="168"/>
      <c r="N1703" s="168"/>
      <c r="O1703" s="169"/>
      <c r="P1703" s="169"/>
      <c r="Q1703" s="169"/>
      <c r="R1703" s="161"/>
      <c r="S1703" s="161"/>
    </row>
    <row r="1704" spans="1:19">
      <c r="A1704" s="294"/>
      <c r="B1704" s="161"/>
      <c r="C1704" s="162"/>
      <c r="D1704" s="162"/>
      <c r="E1704" s="162"/>
      <c r="F1704" s="162"/>
      <c r="G1704" s="163"/>
      <c r="I1704" s="295" t="s">
        <v>782</v>
      </c>
      <c r="J1704" s="296"/>
      <c r="K1704" s="170"/>
      <c r="L1704" s="171"/>
      <c r="M1704" s="50"/>
      <c r="N1704" s="171"/>
      <c r="O1704" s="202"/>
      <c r="P1704" s="202"/>
      <c r="Q1704" s="202"/>
      <c r="R1704" s="162"/>
      <c r="S1704" s="162"/>
    </row>
    <row r="1705" spans="1:19">
      <c r="A1705" s="294"/>
      <c r="B1705" s="164"/>
      <c r="C1705" s="165"/>
      <c r="D1705" s="165"/>
      <c r="E1705" s="165"/>
      <c r="F1705" s="165"/>
      <c r="G1705" s="166"/>
      <c r="I1705" s="295" t="s">
        <v>783</v>
      </c>
      <c r="J1705" s="295"/>
      <c r="K1705" s="170"/>
      <c r="L1705" s="171"/>
      <c r="M1705" s="50"/>
      <c r="N1705" s="171"/>
      <c r="O1705" s="202"/>
      <c r="P1705" s="202"/>
      <c r="Q1705" s="202"/>
      <c r="R1705" s="162"/>
      <c r="S1705" s="162"/>
    </row>
    <row r="1706" spans="1:19">
      <c r="A1706" s="294"/>
      <c r="B1706" s="161"/>
      <c r="C1706" s="162"/>
      <c r="D1706" s="162"/>
      <c r="E1706" s="162"/>
      <c r="F1706" s="162"/>
      <c r="G1706" s="163"/>
      <c r="I1706" s="295" t="s">
        <v>784</v>
      </c>
      <c r="J1706" s="295"/>
      <c r="K1706" s="170"/>
      <c r="L1706" s="171"/>
      <c r="M1706" s="50"/>
      <c r="N1706" s="171"/>
      <c r="O1706" s="202"/>
      <c r="P1706" s="202"/>
      <c r="Q1706" s="202"/>
      <c r="R1706" s="162"/>
      <c r="S1706" s="162"/>
    </row>
    <row r="1707" spans="1:19">
      <c r="A1707" s="294"/>
      <c r="B1707" s="164"/>
      <c r="C1707" s="165"/>
      <c r="D1707" s="165"/>
      <c r="E1707" s="165"/>
      <c r="F1707" s="165"/>
      <c r="G1707" s="166"/>
      <c r="I1707" s="295" t="s">
        <v>785</v>
      </c>
      <c r="J1707" s="295"/>
      <c r="K1707" s="170"/>
      <c r="L1707" s="171"/>
      <c r="M1707" s="50"/>
      <c r="N1707" s="171"/>
      <c r="O1707" s="202"/>
      <c r="P1707" s="202"/>
      <c r="Q1707" s="202"/>
      <c r="R1707" s="162"/>
      <c r="S1707" s="162"/>
    </row>
    <row r="1708" spans="1:19">
      <c r="A1708" s="294"/>
      <c r="B1708" s="161"/>
      <c r="C1708" s="162"/>
      <c r="D1708" s="162"/>
      <c r="E1708" s="162"/>
      <c r="F1708" s="162"/>
      <c r="G1708" s="163"/>
      <c r="I1708" s="295" t="s">
        <v>786</v>
      </c>
      <c r="J1708" s="295"/>
      <c r="K1708" s="170"/>
      <c r="L1708" s="171"/>
      <c r="M1708" s="50"/>
      <c r="N1708" s="171"/>
      <c r="O1708" s="202"/>
      <c r="P1708" s="202"/>
      <c r="Q1708" s="202"/>
      <c r="R1708" s="162"/>
      <c r="S1708" s="162"/>
    </row>
    <row r="1709" spans="1:19">
      <c r="A1709" s="294"/>
      <c r="B1709" s="164"/>
      <c r="C1709" s="165"/>
      <c r="D1709" s="165"/>
      <c r="E1709" s="165"/>
      <c r="F1709" s="165"/>
      <c r="G1709" s="166"/>
      <c r="I1709" s="295" t="s">
        <v>787</v>
      </c>
      <c r="J1709" s="295"/>
      <c r="K1709" s="170"/>
      <c r="L1709" s="171"/>
      <c r="M1709" s="50"/>
      <c r="N1709" s="171"/>
      <c r="O1709" s="202"/>
      <c r="P1709" s="202"/>
      <c r="Q1709" s="202"/>
      <c r="R1709" s="162"/>
      <c r="S1709" s="162"/>
    </row>
    <row r="1710" spans="1:19">
      <c r="A1710" s="294"/>
      <c r="B1710" s="161"/>
      <c r="C1710" s="162"/>
      <c r="D1710" s="162"/>
      <c r="E1710" s="162"/>
      <c r="F1710" s="162"/>
      <c r="G1710" s="163"/>
      <c r="I1710" s="295" t="s">
        <v>788</v>
      </c>
      <c r="J1710" s="295"/>
      <c r="K1710" s="170"/>
      <c r="L1710" s="171"/>
      <c r="M1710" s="50"/>
      <c r="N1710" s="171"/>
      <c r="O1710" s="202"/>
      <c r="P1710" s="202"/>
      <c r="Q1710" s="202"/>
      <c r="R1710" s="162"/>
      <c r="S1710" s="162"/>
    </row>
    <row r="1711" spans="1:19">
      <c r="A1711" s="294"/>
      <c r="B1711" s="164"/>
      <c r="C1711" s="165"/>
      <c r="D1711" s="165"/>
      <c r="E1711" s="165"/>
      <c r="F1711" s="165"/>
      <c r="G1711" s="166"/>
      <c r="I1711" s="295" t="s">
        <v>789</v>
      </c>
      <c r="J1711" s="295"/>
      <c r="K1711" s="170"/>
      <c r="L1711" s="171"/>
      <c r="M1711" s="50"/>
      <c r="N1711" s="171"/>
      <c r="O1711" s="202"/>
      <c r="P1711" s="202"/>
      <c r="Q1711" s="202"/>
      <c r="R1711" s="162"/>
      <c r="S1711" s="162"/>
    </row>
    <row r="1712" spans="1:19">
      <c r="A1712" s="63"/>
      <c r="B1712" s="63"/>
      <c r="C1712" s="63"/>
      <c r="D1712" s="63"/>
      <c r="E1712" s="63"/>
      <c r="F1712" s="63"/>
      <c r="G1712" s="63"/>
      <c r="I1712" s="295" t="s">
        <v>790</v>
      </c>
      <c r="J1712" s="295"/>
      <c r="K1712" s="170"/>
      <c r="L1712" s="171"/>
      <c r="M1712" s="50"/>
      <c r="N1712" s="171"/>
      <c r="O1712" s="202"/>
      <c r="P1712" s="202"/>
      <c r="Q1712" s="202"/>
      <c r="R1712" s="162"/>
      <c r="S1712" s="162"/>
    </row>
    <row r="1713" spans="1:19">
      <c r="A1713" s="63"/>
      <c r="B1713" s="63"/>
      <c r="C1713" s="63"/>
      <c r="D1713" s="63"/>
      <c r="E1713" s="63"/>
      <c r="F1713" s="63"/>
      <c r="G1713" s="63"/>
      <c r="I1713" s="295" t="s">
        <v>791</v>
      </c>
      <c r="J1713" s="295"/>
      <c r="K1713" s="170"/>
      <c r="L1713" s="171"/>
      <c r="M1713" s="50"/>
      <c r="N1713" s="171"/>
      <c r="O1713" s="202"/>
      <c r="P1713" s="202"/>
      <c r="Q1713" s="202"/>
      <c r="R1713" s="162"/>
      <c r="S1713" s="162"/>
    </row>
    <row r="1714" spans="1:19">
      <c r="A1714" s="63"/>
      <c r="B1714" s="63"/>
      <c r="C1714" s="63"/>
      <c r="D1714" s="63"/>
      <c r="E1714" s="63"/>
      <c r="F1714" s="63"/>
      <c r="G1714" s="63"/>
      <c r="I1714" s="296" t="s">
        <v>792</v>
      </c>
      <c r="J1714" s="296"/>
      <c r="K1714" s="170"/>
      <c r="L1714" s="171"/>
      <c r="M1714" s="50"/>
      <c r="N1714" s="171"/>
      <c r="O1714" s="202"/>
      <c r="P1714" s="202"/>
      <c r="Q1714" s="202"/>
      <c r="R1714" s="162"/>
      <c r="S1714" s="162"/>
    </row>
    <row r="1715" spans="1:19" ht="17.25" thickBot="1">
      <c r="A1715" s="63"/>
      <c r="B1715" s="63"/>
      <c r="C1715" s="63"/>
      <c r="D1715" s="63"/>
      <c r="E1715" s="63"/>
      <c r="F1715" s="63"/>
      <c r="G1715" s="63"/>
      <c r="I1715" s="297" t="s">
        <v>793</v>
      </c>
      <c r="J1715" s="297"/>
      <c r="K1715" s="172">
        <f t="shared" ref="K1715:S1715" si="769">SUM(K1704:K1714)</f>
        <v>0</v>
      </c>
      <c r="L1715" s="205">
        <f t="shared" si="769"/>
        <v>0</v>
      </c>
      <c r="M1715" s="205">
        <f t="shared" si="769"/>
        <v>0</v>
      </c>
      <c r="N1715" s="205">
        <f t="shared" si="769"/>
        <v>0</v>
      </c>
      <c r="O1715" s="174">
        <f t="shared" si="769"/>
        <v>0</v>
      </c>
      <c r="P1715" s="174">
        <f t="shared" si="769"/>
        <v>0</v>
      </c>
      <c r="Q1715" s="174">
        <f t="shared" si="769"/>
        <v>0</v>
      </c>
      <c r="R1715" s="175">
        <f t="shared" si="769"/>
        <v>0</v>
      </c>
      <c r="S1715" s="175">
        <f t="shared" si="769"/>
        <v>0</v>
      </c>
    </row>
    <row r="1716" spans="1:19" ht="17.25" thickBot="1">
      <c r="A1716" s="63"/>
      <c r="B1716" s="63"/>
      <c r="C1716" s="63"/>
      <c r="D1716" s="63"/>
      <c r="E1716" s="63"/>
      <c r="F1716" s="63"/>
      <c r="G1716" s="63"/>
      <c r="I1716" s="298" t="s">
        <v>794</v>
      </c>
      <c r="J1716" s="299"/>
      <c r="K1716" s="176">
        <f t="shared" ref="K1716" si="770">S1695-K1715</f>
        <v>0</v>
      </c>
      <c r="L1716" s="177">
        <f t="shared" ref="L1716" si="771">K1715-L1715</f>
        <v>0</v>
      </c>
      <c r="M1716" s="177">
        <f t="shared" ref="M1716" si="772">K1715-M1715</f>
        <v>0</v>
      </c>
      <c r="N1716" s="177">
        <f t="shared" ref="N1716" si="773">K1715-N1715</f>
        <v>0</v>
      </c>
      <c r="O1716" s="178">
        <f t="shared" ref="O1716" si="774">K1715-O1715</f>
        <v>0</v>
      </c>
      <c r="P1716" s="178">
        <f t="shared" ref="P1716" si="775">K1715-P1715</f>
        <v>0</v>
      </c>
      <c r="Q1716" s="178">
        <f t="shared" ref="Q1716" si="776">K1715-Q1715</f>
        <v>0</v>
      </c>
      <c r="R1716" s="179">
        <f t="shared" ref="R1716" si="777">K1715-R1715</f>
        <v>0</v>
      </c>
      <c r="S1716" s="180">
        <f t="shared" ref="S1716" si="778">L1715-S1715</f>
        <v>0</v>
      </c>
    </row>
    <row r="1717" spans="1:19">
      <c r="A1717" s="63"/>
      <c r="B1717" s="63"/>
      <c r="C1717" s="63"/>
      <c r="D1717" s="63"/>
      <c r="E1717" s="63"/>
      <c r="F1717" s="63"/>
      <c r="G1717" s="63"/>
      <c r="I1717" s="300" t="s">
        <v>795</v>
      </c>
      <c r="J1717" s="301"/>
      <c r="K1717" s="181"/>
      <c r="L1717" s="182"/>
      <c r="M1717" s="182"/>
      <c r="N1717" s="182"/>
      <c r="O1717" s="183"/>
      <c r="P1717" s="182"/>
      <c r="Q1717" s="182"/>
      <c r="R1717" s="182"/>
      <c r="S1717" s="182"/>
    </row>
    <row r="1718" spans="1:19">
      <c r="A1718" s="63"/>
      <c r="B1718" s="63"/>
      <c r="C1718" s="63"/>
      <c r="D1718" s="63"/>
      <c r="E1718" s="63"/>
      <c r="F1718" s="63"/>
      <c r="G1718" s="63"/>
      <c r="I1718" s="302" t="s">
        <v>796</v>
      </c>
      <c r="J1718" s="302"/>
      <c r="K1718" s="184"/>
      <c r="L1718" s="203"/>
      <c r="M1718" s="203"/>
      <c r="N1718" s="203"/>
      <c r="O1718" s="203"/>
      <c r="P1718" s="203"/>
      <c r="Q1718" s="203"/>
      <c r="R1718" s="203"/>
      <c r="S1718" s="203"/>
    </row>
    <row r="1719" spans="1:19">
      <c r="A1719" s="63"/>
      <c r="B1719" s="63"/>
      <c r="C1719" s="63"/>
      <c r="D1719" s="63"/>
      <c r="E1719" s="63"/>
      <c r="F1719" s="63"/>
      <c r="G1719" s="63"/>
      <c r="I1719" s="302" t="s">
        <v>797</v>
      </c>
      <c r="J1719" s="302"/>
      <c r="K1719" s="184"/>
      <c r="L1719" s="203"/>
      <c r="M1719" s="203"/>
      <c r="N1719" s="203"/>
      <c r="O1719" s="203"/>
      <c r="P1719" s="203"/>
      <c r="Q1719" s="203"/>
      <c r="R1719" s="203"/>
      <c r="S1719" s="203"/>
    </row>
    <row r="1720" spans="1:19">
      <c r="A1720" s="63"/>
      <c r="B1720" s="63"/>
      <c r="C1720" s="63"/>
      <c r="D1720" s="63"/>
      <c r="E1720" s="63"/>
      <c r="F1720" s="63"/>
      <c r="G1720" s="63"/>
      <c r="I1720" s="303" t="s">
        <v>798</v>
      </c>
      <c r="J1720" s="303"/>
      <c r="K1720" s="184"/>
      <c r="L1720" s="185"/>
      <c r="M1720" s="185"/>
      <c r="N1720" s="185"/>
      <c r="O1720" s="185"/>
      <c r="P1720" s="204"/>
      <c r="Q1720" s="204"/>
      <c r="R1720" s="204"/>
      <c r="S1720" s="204"/>
    </row>
    <row r="1721" spans="1:19">
      <c r="A1721" s="3" t="s">
        <v>801</v>
      </c>
      <c r="B1721" s="201" t="s">
        <v>802</v>
      </c>
      <c r="C1721" s="201" t="s">
        <v>803</v>
      </c>
      <c r="D1721" s="201" t="s">
        <v>119</v>
      </c>
      <c r="E1721" s="201" t="s">
        <v>148</v>
      </c>
      <c r="F1721" s="201" t="s">
        <v>806</v>
      </c>
      <c r="G1721" s="201" t="s">
        <v>81</v>
      </c>
      <c r="I1721" s="187"/>
      <c r="J1721" s="187"/>
      <c r="K1721" s="187"/>
      <c r="L1721" s="188"/>
      <c r="M1721" s="188"/>
      <c r="N1721" s="188"/>
      <c r="O1721" s="188"/>
      <c r="P1721" s="187"/>
      <c r="Q1721" s="187"/>
      <c r="R1721" s="187"/>
      <c r="S1721" s="187"/>
    </row>
    <row r="1722" spans="1:19">
      <c r="A1722" s="293">
        <v>44125</v>
      </c>
      <c r="B1722" s="161"/>
      <c r="C1722" s="162"/>
      <c r="D1722" s="162"/>
      <c r="E1722" s="162"/>
      <c r="F1722" s="162"/>
      <c r="G1722" s="163"/>
      <c r="I1722" s="191"/>
      <c r="J1722" s="190"/>
      <c r="K1722" s="190"/>
      <c r="L1722" s="190"/>
      <c r="M1722" s="190">
        <v>44125</v>
      </c>
      <c r="N1722" s="189" t="s">
        <v>864</v>
      </c>
      <c r="O1722" s="189"/>
      <c r="P1722" s="189"/>
      <c r="Q1722" s="189"/>
      <c r="R1722" s="189"/>
      <c r="S1722" s="189"/>
    </row>
    <row r="1723" spans="1:19">
      <c r="A1723" s="294"/>
      <c r="B1723" s="164"/>
      <c r="C1723" s="165"/>
      <c r="D1723" s="165"/>
      <c r="E1723" s="165"/>
      <c r="F1723" s="165"/>
      <c r="G1723" s="166"/>
      <c r="I1723" s="304"/>
      <c r="J1723" s="304"/>
      <c r="K1723" s="167"/>
      <c r="L1723" s="168"/>
      <c r="M1723" s="168"/>
      <c r="N1723" s="168"/>
      <c r="O1723" s="169"/>
      <c r="P1723" s="169"/>
      <c r="Q1723" s="169"/>
      <c r="R1723" s="161"/>
      <c r="S1723" s="161"/>
    </row>
    <row r="1724" spans="1:19">
      <c r="A1724" s="294"/>
      <c r="B1724" s="161"/>
      <c r="C1724" s="162"/>
      <c r="D1724" s="162"/>
      <c r="E1724" s="162"/>
      <c r="F1724" s="162"/>
      <c r="G1724" s="163"/>
      <c r="I1724" s="295" t="s">
        <v>782</v>
      </c>
      <c r="J1724" s="296"/>
      <c r="K1724" s="170"/>
      <c r="L1724" s="171"/>
      <c r="M1724" s="50"/>
      <c r="N1724" s="171"/>
      <c r="O1724" s="202"/>
      <c r="P1724" s="202"/>
      <c r="Q1724" s="202"/>
      <c r="R1724" s="162"/>
      <c r="S1724" s="162"/>
    </row>
    <row r="1725" spans="1:19">
      <c r="A1725" s="294"/>
      <c r="B1725" s="164"/>
      <c r="C1725" s="165"/>
      <c r="D1725" s="165"/>
      <c r="E1725" s="165"/>
      <c r="F1725" s="165"/>
      <c r="G1725" s="166"/>
      <c r="I1725" s="295" t="s">
        <v>783</v>
      </c>
      <c r="J1725" s="295"/>
      <c r="K1725" s="170"/>
      <c r="L1725" s="171"/>
      <c r="M1725" s="50"/>
      <c r="N1725" s="171"/>
      <c r="O1725" s="202"/>
      <c r="P1725" s="202"/>
      <c r="Q1725" s="202"/>
      <c r="R1725" s="162"/>
      <c r="S1725" s="162"/>
    </row>
    <row r="1726" spans="1:19">
      <c r="A1726" s="294"/>
      <c r="B1726" s="161"/>
      <c r="C1726" s="162"/>
      <c r="D1726" s="162"/>
      <c r="E1726" s="162"/>
      <c r="F1726" s="162"/>
      <c r="G1726" s="163"/>
      <c r="I1726" s="295" t="s">
        <v>784</v>
      </c>
      <c r="J1726" s="295"/>
      <c r="K1726" s="170"/>
      <c r="L1726" s="171"/>
      <c r="M1726" s="50"/>
      <c r="N1726" s="171"/>
      <c r="O1726" s="202"/>
      <c r="P1726" s="202"/>
      <c r="Q1726" s="202"/>
      <c r="R1726" s="162"/>
      <c r="S1726" s="162"/>
    </row>
    <row r="1727" spans="1:19">
      <c r="A1727" s="294"/>
      <c r="B1727" s="164"/>
      <c r="C1727" s="165"/>
      <c r="D1727" s="165"/>
      <c r="E1727" s="165"/>
      <c r="F1727" s="165"/>
      <c r="G1727" s="166"/>
      <c r="I1727" s="295" t="s">
        <v>785</v>
      </c>
      <c r="J1727" s="295"/>
      <c r="K1727" s="170"/>
      <c r="L1727" s="171"/>
      <c r="M1727" s="50"/>
      <c r="N1727" s="171"/>
      <c r="O1727" s="202"/>
      <c r="P1727" s="202"/>
      <c r="Q1727" s="202"/>
      <c r="R1727" s="162"/>
      <c r="S1727" s="162"/>
    </row>
    <row r="1728" spans="1:19">
      <c r="A1728" s="294"/>
      <c r="B1728" s="161"/>
      <c r="C1728" s="162"/>
      <c r="D1728" s="162"/>
      <c r="E1728" s="162"/>
      <c r="F1728" s="162"/>
      <c r="G1728" s="163"/>
      <c r="I1728" s="295" t="s">
        <v>786</v>
      </c>
      <c r="J1728" s="295"/>
      <c r="K1728" s="170"/>
      <c r="L1728" s="171"/>
      <c r="M1728" s="50"/>
      <c r="N1728" s="171"/>
      <c r="O1728" s="202"/>
      <c r="P1728" s="202"/>
      <c r="Q1728" s="202"/>
      <c r="R1728" s="162"/>
      <c r="S1728" s="162"/>
    </row>
    <row r="1729" spans="1:19">
      <c r="A1729" s="294"/>
      <c r="B1729" s="164"/>
      <c r="C1729" s="165"/>
      <c r="D1729" s="165"/>
      <c r="E1729" s="165"/>
      <c r="F1729" s="165"/>
      <c r="G1729" s="166"/>
      <c r="I1729" s="295" t="s">
        <v>787</v>
      </c>
      <c r="J1729" s="295"/>
      <c r="K1729" s="170"/>
      <c r="L1729" s="171"/>
      <c r="M1729" s="50"/>
      <c r="N1729" s="171"/>
      <c r="O1729" s="202"/>
      <c r="P1729" s="202"/>
      <c r="Q1729" s="202"/>
      <c r="R1729" s="162"/>
      <c r="S1729" s="162"/>
    </row>
    <row r="1730" spans="1:19">
      <c r="A1730" s="294"/>
      <c r="B1730" s="161"/>
      <c r="C1730" s="162"/>
      <c r="D1730" s="162"/>
      <c r="E1730" s="162"/>
      <c r="F1730" s="162"/>
      <c r="G1730" s="163"/>
      <c r="I1730" s="295" t="s">
        <v>788</v>
      </c>
      <c r="J1730" s="295"/>
      <c r="K1730" s="170"/>
      <c r="L1730" s="171"/>
      <c r="M1730" s="50"/>
      <c r="N1730" s="171"/>
      <c r="O1730" s="202"/>
      <c r="P1730" s="202"/>
      <c r="Q1730" s="202"/>
      <c r="R1730" s="162"/>
      <c r="S1730" s="162"/>
    </row>
    <row r="1731" spans="1:19">
      <c r="A1731" s="294"/>
      <c r="B1731" s="164"/>
      <c r="C1731" s="165"/>
      <c r="D1731" s="165"/>
      <c r="E1731" s="165"/>
      <c r="F1731" s="165"/>
      <c r="G1731" s="166"/>
      <c r="I1731" s="295" t="s">
        <v>789</v>
      </c>
      <c r="J1731" s="295"/>
      <c r="K1731" s="170"/>
      <c r="L1731" s="171"/>
      <c r="M1731" s="50"/>
      <c r="N1731" s="171"/>
      <c r="O1731" s="202"/>
      <c r="P1731" s="202"/>
      <c r="Q1731" s="202"/>
      <c r="R1731" s="162"/>
      <c r="S1731" s="162"/>
    </row>
    <row r="1732" spans="1:19">
      <c r="A1732" s="63"/>
      <c r="B1732" s="63"/>
      <c r="C1732" s="63"/>
      <c r="D1732" s="63"/>
      <c r="E1732" s="63"/>
      <c r="F1732" s="63"/>
      <c r="G1732" s="63"/>
      <c r="I1732" s="295" t="s">
        <v>790</v>
      </c>
      <c r="J1732" s="295"/>
      <c r="K1732" s="170"/>
      <c r="L1732" s="171"/>
      <c r="M1732" s="50"/>
      <c r="N1732" s="171"/>
      <c r="O1732" s="202"/>
      <c r="P1732" s="202"/>
      <c r="Q1732" s="202"/>
      <c r="R1732" s="162"/>
      <c r="S1732" s="162"/>
    </row>
    <row r="1733" spans="1:19">
      <c r="A1733" s="63"/>
      <c r="B1733" s="63"/>
      <c r="C1733" s="63"/>
      <c r="D1733" s="63"/>
      <c r="E1733" s="63"/>
      <c r="F1733" s="63"/>
      <c r="G1733" s="63"/>
      <c r="I1733" s="295" t="s">
        <v>791</v>
      </c>
      <c r="J1733" s="295"/>
      <c r="K1733" s="170"/>
      <c r="L1733" s="171"/>
      <c r="M1733" s="50"/>
      <c r="N1733" s="171"/>
      <c r="O1733" s="202"/>
      <c r="P1733" s="202"/>
      <c r="Q1733" s="202"/>
      <c r="R1733" s="162"/>
      <c r="S1733" s="162"/>
    </row>
    <row r="1734" spans="1:19">
      <c r="A1734" s="63"/>
      <c r="B1734" s="63"/>
      <c r="C1734" s="63"/>
      <c r="D1734" s="63"/>
      <c r="E1734" s="63"/>
      <c r="F1734" s="63"/>
      <c r="G1734" s="63"/>
      <c r="I1734" s="296" t="s">
        <v>792</v>
      </c>
      <c r="J1734" s="296"/>
      <c r="K1734" s="170"/>
      <c r="L1734" s="171"/>
      <c r="M1734" s="50"/>
      <c r="N1734" s="171"/>
      <c r="O1734" s="202"/>
      <c r="P1734" s="202"/>
      <c r="Q1734" s="202"/>
      <c r="R1734" s="162"/>
      <c r="S1734" s="162"/>
    </row>
    <row r="1735" spans="1:19" ht="17.25" thickBot="1">
      <c r="A1735" s="63"/>
      <c r="B1735" s="63"/>
      <c r="C1735" s="63"/>
      <c r="D1735" s="63"/>
      <c r="E1735" s="63"/>
      <c r="F1735" s="63"/>
      <c r="G1735" s="63"/>
      <c r="I1735" s="297" t="s">
        <v>793</v>
      </c>
      <c r="J1735" s="297"/>
      <c r="K1735" s="172">
        <f t="shared" ref="K1735:S1735" si="779">SUM(K1724:K1734)</f>
        <v>0</v>
      </c>
      <c r="L1735" s="205">
        <f t="shared" si="779"/>
        <v>0</v>
      </c>
      <c r="M1735" s="205">
        <f t="shared" si="779"/>
        <v>0</v>
      </c>
      <c r="N1735" s="205">
        <f t="shared" si="779"/>
        <v>0</v>
      </c>
      <c r="O1735" s="174">
        <f t="shared" si="779"/>
        <v>0</v>
      </c>
      <c r="P1735" s="174">
        <f t="shared" si="779"/>
        <v>0</v>
      </c>
      <c r="Q1735" s="174">
        <f t="shared" si="779"/>
        <v>0</v>
      </c>
      <c r="R1735" s="175">
        <f t="shared" si="779"/>
        <v>0</v>
      </c>
      <c r="S1735" s="175">
        <f t="shared" si="779"/>
        <v>0</v>
      </c>
    </row>
    <row r="1736" spans="1:19" ht="17.25" thickBot="1">
      <c r="A1736" s="63"/>
      <c r="B1736" s="63"/>
      <c r="C1736" s="63"/>
      <c r="D1736" s="63"/>
      <c r="E1736" s="63"/>
      <c r="F1736" s="63"/>
      <c r="G1736" s="63"/>
      <c r="I1736" s="298" t="s">
        <v>794</v>
      </c>
      <c r="J1736" s="299"/>
      <c r="K1736" s="176">
        <f t="shared" ref="K1736" si="780">S1715-K1735</f>
        <v>0</v>
      </c>
      <c r="L1736" s="177">
        <f t="shared" ref="L1736" si="781">K1735-L1735</f>
        <v>0</v>
      </c>
      <c r="M1736" s="177">
        <f t="shared" ref="M1736" si="782">K1735-M1735</f>
        <v>0</v>
      </c>
      <c r="N1736" s="177">
        <f t="shared" ref="N1736" si="783">K1735-N1735</f>
        <v>0</v>
      </c>
      <c r="O1736" s="178">
        <f t="shared" ref="O1736" si="784">K1735-O1735</f>
        <v>0</v>
      </c>
      <c r="P1736" s="178">
        <f t="shared" ref="P1736" si="785">K1735-P1735</f>
        <v>0</v>
      </c>
      <c r="Q1736" s="178">
        <f t="shared" ref="Q1736" si="786">K1735-Q1735</f>
        <v>0</v>
      </c>
      <c r="R1736" s="179">
        <f t="shared" ref="R1736" si="787">K1735-R1735</f>
        <v>0</v>
      </c>
      <c r="S1736" s="180">
        <f t="shared" ref="S1736" si="788">L1735-S1735</f>
        <v>0</v>
      </c>
    </row>
    <row r="1737" spans="1:19">
      <c r="A1737" s="63"/>
      <c r="B1737" s="63"/>
      <c r="C1737" s="63"/>
      <c r="D1737" s="63"/>
      <c r="E1737" s="63"/>
      <c r="F1737" s="63"/>
      <c r="G1737" s="63"/>
      <c r="I1737" s="300" t="s">
        <v>795</v>
      </c>
      <c r="J1737" s="301"/>
      <c r="K1737" s="181"/>
      <c r="L1737" s="182"/>
      <c r="M1737" s="182"/>
      <c r="N1737" s="182"/>
      <c r="O1737" s="183"/>
      <c r="P1737" s="182"/>
      <c r="Q1737" s="182"/>
      <c r="R1737" s="182"/>
      <c r="S1737" s="182"/>
    </row>
    <row r="1738" spans="1:19">
      <c r="A1738" s="63"/>
      <c r="B1738" s="63"/>
      <c r="C1738" s="63"/>
      <c r="D1738" s="63"/>
      <c r="E1738" s="63"/>
      <c r="F1738" s="63"/>
      <c r="G1738" s="63"/>
      <c r="I1738" s="302" t="s">
        <v>796</v>
      </c>
      <c r="J1738" s="302"/>
      <c r="K1738" s="184"/>
      <c r="L1738" s="203"/>
      <c r="M1738" s="203"/>
      <c r="N1738" s="203"/>
      <c r="O1738" s="203"/>
      <c r="P1738" s="203"/>
      <c r="Q1738" s="203"/>
      <c r="R1738" s="203"/>
      <c r="S1738" s="203"/>
    </row>
    <row r="1739" spans="1:19">
      <c r="A1739" s="63"/>
      <c r="B1739" s="63"/>
      <c r="C1739" s="63"/>
      <c r="D1739" s="63"/>
      <c r="E1739" s="63"/>
      <c r="F1739" s="63"/>
      <c r="G1739" s="63"/>
      <c r="I1739" s="302" t="s">
        <v>797</v>
      </c>
      <c r="J1739" s="302"/>
      <c r="K1739" s="184"/>
      <c r="L1739" s="203"/>
      <c r="M1739" s="203"/>
      <c r="N1739" s="203"/>
      <c r="O1739" s="203"/>
      <c r="P1739" s="203"/>
      <c r="Q1739" s="203"/>
      <c r="R1739" s="203"/>
      <c r="S1739" s="203"/>
    </row>
    <row r="1740" spans="1:19">
      <c r="A1740" s="63"/>
      <c r="B1740" s="63"/>
      <c r="C1740" s="63"/>
      <c r="D1740" s="63"/>
      <c r="E1740" s="63"/>
      <c r="F1740" s="63"/>
      <c r="G1740" s="63"/>
      <c r="I1740" s="303" t="s">
        <v>798</v>
      </c>
      <c r="J1740" s="303"/>
      <c r="K1740" s="184"/>
      <c r="L1740" s="185"/>
      <c r="M1740" s="185"/>
      <c r="N1740" s="185"/>
      <c r="O1740" s="185"/>
      <c r="P1740" s="204"/>
      <c r="Q1740" s="204"/>
      <c r="R1740" s="204"/>
      <c r="S1740" s="204"/>
    </row>
    <row r="1741" spans="1:19">
      <c r="A1741" s="3" t="s">
        <v>801</v>
      </c>
      <c r="B1741" s="201" t="s">
        <v>802</v>
      </c>
      <c r="C1741" s="201" t="s">
        <v>803</v>
      </c>
      <c r="D1741" s="201" t="s">
        <v>119</v>
      </c>
      <c r="E1741" s="201" t="s">
        <v>148</v>
      </c>
      <c r="F1741" s="201" t="s">
        <v>806</v>
      </c>
      <c r="G1741" s="201" t="s">
        <v>81</v>
      </c>
      <c r="I1741" s="187"/>
      <c r="J1741" s="187"/>
      <c r="K1741" s="187"/>
      <c r="L1741" s="188"/>
      <c r="M1741" s="188"/>
      <c r="N1741" s="188"/>
      <c r="O1741" s="188"/>
      <c r="P1741" s="187"/>
      <c r="Q1741" s="187"/>
      <c r="R1741" s="187"/>
      <c r="S1741" s="187"/>
    </row>
    <row r="1742" spans="1:19">
      <c r="A1742" s="293">
        <v>44126</v>
      </c>
      <c r="B1742" s="161"/>
      <c r="C1742" s="162"/>
      <c r="D1742" s="162"/>
      <c r="E1742" s="162"/>
      <c r="F1742" s="162"/>
      <c r="G1742" s="163"/>
      <c r="I1742" s="191"/>
      <c r="J1742" s="190"/>
      <c r="K1742" s="190"/>
      <c r="L1742" s="190"/>
      <c r="M1742" s="190">
        <v>44126</v>
      </c>
      <c r="N1742" s="189" t="s">
        <v>864</v>
      </c>
      <c r="O1742" s="189"/>
      <c r="P1742" s="189"/>
      <c r="Q1742" s="189"/>
      <c r="R1742" s="189"/>
      <c r="S1742" s="189"/>
    </row>
    <row r="1743" spans="1:19">
      <c r="A1743" s="294"/>
      <c r="B1743" s="164"/>
      <c r="C1743" s="165"/>
      <c r="D1743" s="165"/>
      <c r="E1743" s="165"/>
      <c r="F1743" s="165"/>
      <c r="G1743" s="166"/>
      <c r="I1743" s="304"/>
      <c r="J1743" s="304"/>
      <c r="K1743" s="167"/>
      <c r="L1743" s="168"/>
      <c r="M1743" s="168"/>
      <c r="N1743" s="168"/>
      <c r="O1743" s="169"/>
      <c r="P1743" s="169"/>
      <c r="Q1743" s="169"/>
      <c r="R1743" s="161"/>
      <c r="S1743" s="161"/>
    </row>
    <row r="1744" spans="1:19">
      <c r="A1744" s="294"/>
      <c r="B1744" s="161"/>
      <c r="C1744" s="162"/>
      <c r="D1744" s="162"/>
      <c r="E1744" s="162"/>
      <c r="F1744" s="162"/>
      <c r="G1744" s="163"/>
      <c r="I1744" s="295" t="s">
        <v>782</v>
      </c>
      <c r="J1744" s="296"/>
      <c r="K1744" s="170"/>
      <c r="L1744" s="171"/>
      <c r="M1744" s="50"/>
      <c r="N1744" s="171"/>
      <c r="O1744" s="202"/>
      <c r="P1744" s="202"/>
      <c r="Q1744" s="202"/>
      <c r="R1744" s="162"/>
      <c r="S1744" s="162"/>
    </row>
    <row r="1745" spans="1:19">
      <c r="A1745" s="294"/>
      <c r="B1745" s="164"/>
      <c r="C1745" s="165"/>
      <c r="D1745" s="165"/>
      <c r="E1745" s="165"/>
      <c r="F1745" s="165"/>
      <c r="G1745" s="166"/>
      <c r="I1745" s="295" t="s">
        <v>783</v>
      </c>
      <c r="J1745" s="295"/>
      <c r="K1745" s="170"/>
      <c r="L1745" s="171"/>
      <c r="M1745" s="50"/>
      <c r="N1745" s="171"/>
      <c r="O1745" s="202"/>
      <c r="P1745" s="202"/>
      <c r="Q1745" s="202"/>
      <c r="R1745" s="162"/>
      <c r="S1745" s="162"/>
    </row>
    <row r="1746" spans="1:19">
      <c r="A1746" s="294"/>
      <c r="B1746" s="161"/>
      <c r="C1746" s="162"/>
      <c r="D1746" s="162"/>
      <c r="E1746" s="162"/>
      <c r="F1746" s="162"/>
      <c r="G1746" s="163"/>
      <c r="I1746" s="295" t="s">
        <v>784</v>
      </c>
      <c r="J1746" s="295"/>
      <c r="K1746" s="170"/>
      <c r="L1746" s="171"/>
      <c r="M1746" s="50"/>
      <c r="N1746" s="171"/>
      <c r="O1746" s="202"/>
      <c r="P1746" s="202"/>
      <c r="Q1746" s="202"/>
      <c r="R1746" s="162"/>
      <c r="S1746" s="162"/>
    </row>
    <row r="1747" spans="1:19">
      <c r="A1747" s="294"/>
      <c r="B1747" s="164"/>
      <c r="C1747" s="165"/>
      <c r="D1747" s="165"/>
      <c r="E1747" s="165"/>
      <c r="F1747" s="165"/>
      <c r="G1747" s="166"/>
      <c r="I1747" s="295" t="s">
        <v>785</v>
      </c>
      <c r="J1747" s="295"/>
      <c r="K1747" s="170"/>
      <c r="L1747" s="171"/>
      <c r="M1747" s="50"/>
      <c r="N1747" s="171"/>
      <c r="O1747" s="202"/>
      <c r="P1747" s="202"/>
      <c r="Q1747" s="202"/>
      <c r="R1747" s="162"/>
      <c r="S1747" s="162"/>
    </row>
    <row r="1748" spans="1:19">
      <c r="A1748" s="294"/>
      <c r="B1748" s="161"/>
      <c r="C1748" s="162"/>
      <c r="D1748" s="162"/>
      <c r="E1748" s="162"/>
      <c r="F1748" s="162"/>
      <c r="G1748" s="163"/>
      <c r="I1748" s="295" t="s">
        <v>786</v>
      </c>
      <c r="J1748" s="295"/>
      <c r="K1748" s="170"/>
      <c r="L1748" s="171"/>
      <c r="M1748" s="50"/>
      <c r="N1748" s="171"/>
      <c r="O1748" s="202"/>
      <c r="P1748" s="202"/>
      <c r="Q1748" s="202"/>
      <c r="R1748" s="162"/>
      <c r="S1748" s="162"/>
    </row>
    <row r="1749" spans="1:19">
      <c r="A1749" s="294"/>
      <c r="B1749" s="164"/>
      <c r="C1749" s="165"/>
      <c r="D1749" s="165"/>
      <c r="E1749" s="165"/>
      <c r="F1749" s="165"/>
      <c r="G1749" s="166"/>
      <c r="I1749" s="295" t="s">
        <v>787</v>
      </c>
      <c r="J1749" s="295"/>
      <c r="K1749" s="170"/>
      <c r="L1749" s="171"/>
      <c r="M1749" s="50"/>
      <c r="N1749" s="171"/>
      <c r="O1749" s="202"/>
      <c r="P1749" s="202"/>
      <c r="Q1749" s="202"/>
      <c r="R1749" s="162"/>
      <c r="S1749" s="162"/>
    </row>
    <row r="1750" spans="1:19">
      <c r="A1750" s="294"/>
      <c r="B1750" s="161"/>
      <c r="C1750" s="162"/>
      <c r="D1750" s="162"/>
      <c r="E1750" s="162"/>
      <c r="F1750" s="162"/>
      <c r="G1750" s="163"/>
      <c r="I1750" s="295" t="s">
        <v>788</v>
      </c>
      <c r="J1750" s="295"/>
      <c r="K1750" s="170"/>
      <c r="L1750" s="171"/>
      <c r="M1750" s="50"/>
      <c r="N1750" s="171"/>
      <c r="O1750" s="202"/>
      <c r="P1750" s="202"/>
      <c r="Q1750" s="202"/>
      <c r="R1750" s="162"/>
      <c r="S1750" s="162"/>
    </row>
    <row r="1751" spans="1:19">
      <c r="A1751" s="294"/>
      <c r="B1751" s="164"/>
      <c r="C1751" s="165"/>
      <c r="D1751" s="165"/>
      <c r="E1751" s="165"/>
      <c r="F1751" s="165"/>
      <c r="G1751" s="166"/>
      <c r="I1751" s="295" t="s">
        <v>789</v>
      </c>
      <c r="J1751" s="295"/>
      <c r="K1751" s="170"/>
      <c r="L1751" s="171"/>
      <c r="M1751" s="50"/>
      <c r="N1751" s="171"/>
      <c r="O1751" s="202"/>
      <c r="P1751" s="202"/>
      <c r="Q1751" s="202"/>
      <c r="R1751" s="162"/>
      <c r="S1751" s="162"/>
    </row>
    <row r="1752" spans="1:19">
      <c r="A1752" s="63"/>
      <c r="B1752" s="63"/>
      <c r="C1752" s="63"/>
      <c r="D1752" s="63"/>
      <c r="E1752" s="63"/>
      <c r="F1752" s="63"/>
      <c r="G1752" s="63"/>
      <c r="I1752" s="295" t="s">
        <v>790</v>
      </c>
      <c r="J1752" s="295"/>
      <c r="K1752" s="170"/>
      <c r="L1752" s="171"/>
      <c r="M1752" s="50"/>
      <c r="N1752" s="171"/>
      <c r="O1752" s="202"/>
      <c r="P1752" s="202"/>
      <c r="Q1752" s="202"/>
      <c r="R1752" s="162"/>
      <c r="S1752" s="162"/>
    </row>
    <row r="1753" spans="1:19">
      <c r="A1753" s="63"/>
      <c r="B1753" s="63"/>
      <c r="C1753" s="63"/>
      <c r="D1753" s="63"/>
      <c r="E1753" s="63"/>
      <c r="F1753" s="63"/>
      <c r="G1753" s="63"/>
      <c r="I1753" s="295" t="s">
        <v>791</v>
      </c>
      <c r="J1753" s="295"/>
      <c r="K1753" s="170"/>
      <c r="L1753" s="171"/>
      <c r="M1753" s="50"/>
      <c r="N1753" s="171"/>
      <c r="O1753" s="202"/>
      <c r="P1753" s="202"/>
      <c r="Q1753" s="202"/>
      <c r="R1753" s="162"/>
      <c r="S1753" s="162"/>
    </row>
    <row r="1754" spans="1:19">
      <c r="A1754" s="63"/>
      <c r="B1754" s="63"/>
      <c r="C1754" s="63"/>
      <c r="D1754" s="63"/>
      <c r="E1754" s="63"/>
      <c r="F1754" s="63"/>
      <c r="G1754" s="63"/>
      <c r="I1754" s="296" t="s">
        <v>792</v>
      </c>
      <c r="J1754" s="296"/>
      <c r="K1754" s="170"/>
      <c r="L1754" s="171"/>
      <c r="M1754" s="50"/>
      <c r="N1754" s="171"/>
      <c r="O1754" s="202"/>
      <c r="P1754" s="202"/>
      <c r="Q1754" s="202"/>
      <c r="R1754" s="162"/>
      <c r="S1754" s="162"/>
    </row>
    <row r="1755" spans="1:19" ht="17.25" thickBot="1">
      <c r="A1755" s="63"/>
      <c r="B1755" s="63"/>
      <c r="C1755" s="63"/>
      <c r="D1755" s="63"/>
      <c r="E1755" s="63"/>
      <c r="F1755" s="63"/>
      <c r="G1755" s="63"/>
      <c r="I1755" s="297" t="s">
        <v>793</v>
      </c>
      <c r="J1755" s="297"/>
      <c r="K1755" s="172">
        <f t="shared" ref="K1755:S1755" si="789">SUM(K1744:K1754)</f>
        <v>0</v>
      </c>
      <c r="L1755" s="205">
        <f t="shared" si="789"/>
        <v>0</v>
      </c>
      <c r="M1755" s="205">
        <f t="shared" si="789"/>
        <v>0</v>
      </c>
      <c r="N1755" s="205">
        <f t="shared" si="789"/>
        <v>0</v>
      </c>
      <c r="O1755" s="174">
        <f t="shared" si="789"/>
        <v>0</v>
      </c>
      <c r="P1755" s="174">
        <f t="shared" si="789"/>
        <v>0</v>
      </c>
      <c r="Q1755" s="174">
        <f t="shared" si="789"/>
        <v>0</v>
      </c>
      <c r="R1755" s="175">
        <f t="shared" si="789"/>
        <v>0</v>
      </c>
      <c r="S1755" s="175">
        <f t="shared" si="789"/>
        <v>0</v>
      </c>
    </row>
    <row r="1756" spans="1:19" ht="17.25" thickBot="1">
      <c r="A1756" s="63"/>
      <c r="B1756" s="63"/>
      <c r="C1756" s="63"/>
      <c r="D1756" s="63"/>
      <c r="E1756" s="63"/>
      <c r="F1756" s="63"/>
      <c r="G1756" s="63"/>
      <c r="I1756" s="298" t="s">
        <v>794</v>
      </c>
      <c r="J1756" s="299"/>
      <c r="K1756" s="176">
        <f t="shared" ref="K1756" si="790">S1735-K1755</f>
        <v>0</v>
      </c>
      <c r="L1756" s="177">
        <f t="shared" ref="L1756" si="791">K1755-L1755</f>
        <v>0</v>
      </c>
      <c r="M1756" s="177">
        <f t="shared" ref="M1756" si="792">K1755-M1755</f>
        <v>0</v>
      </c>
      <c r="N1756" s="177">
        <f t="shared" ref="N1756" si="793">K1755-N1755</f>
        <v>0</v>
      </c>
      <c r="O1756" s="178">
        <f t="shared" ref="O1756" si="794">K1755-O1755</f>
        <v>0</v>
      </c>
      <c r="P1756" s="178">
        <f t="shared" ref="P1756" si="795">K1755-P1755</f>
        <v>0</v>
      </c>
      <c r="Q1756" s="178">
        <f t="shared" ref="Q1756" si="796">K1755-Q1755</f>
        <v>0</v>
      </c>
      <c r="R1756" s="179">
        <f t="shared" ref="R1756" si="797">K1755-R1755</f>
        <v>0</v>
      </c>
      <c r="S1756" s="180">
        <f t="shared" ref="S1756" si="798">L1755-S1755</f>
        <v>0</v>
      </c>
    </row>
    <row r="1757" spans="1:19">
      <c r="A1757" s="63"/>
      <c r="B1757" s="63"/>
      <c r="C1757" s="63"/>
      <c r="D1757" s="63"/>
      <c r="E1757" s="63"/>
      <c r="F1757" s="63"/>
      <c r="G1757" s="63"/>
      <c r="I1757" s="300" t="s">
        <v>795</v>
      </c>
      <c r="J1757" s="301"/>
      <c r="K1757" s="181"/>
      <c r="L1757" s="182"/>
      <c r="M1757" s="182"/>
      <c r="N1757" s="182"/>
      <c r="O1757" s="183"/>
      <c r="P1757" s="182"/>
      <c r="Q1757" s="182"/>
      <c r="R1757" s="182"/>
      <c r="S1757" s="182"/>
    </row>
    <row r="1758" spans="1:19">
      <c r="A1758" s="63"/>
      <c r="B1758" s="63"/>
      <c r="C1758" s="63"/>
      <c r="D1758" s="63"/>
      <c r="E1758" s="63"/>
      <c r="F1758" s="63"/>
      <c r="G1758" s="63"/>
      <c r="I1758" s="302" t="s">
        <v>796</v>
      </c>
      <c r="J1758" s="302"/>
      <c r="K1758" s="184"/>
      <c r="L1758" s="203"/>
      <c r="M1758" s="203"/>
      <c r="N1758" s="203"/>
      <c r="O1758" s="203"/>
      <c r="P1758" s="203"/>
      <c r="Q1758" s="203"/>
      <c r="R1758" s="203"/>
      <c r="S1758" s="203"/>
    </row>
    <row r="1759" spans="1:19">
      <c r="A1759" s="63"/>
      <c r="B1759" s="63"/>
      <c r="C1759" s="63"/>
      <c r="D1759" s="63"/>
      <c r="E1759" s="63"/>
      <c r="F1759" s="63"/>
      <c r="G1759" s="63"/>
      <c r="I1759" s="302" t="s">
        <v>797</v>
      </c>
      <c r="J1759" s="302"/>
      <c r="K1759" s="184"/>
      <c r="L1759" s="203"/>
      <c r="M1759" s="203"/>
      <c r="N1759" s="203"/>
      <c r="O1759" s="203"/>
      <c r="P1759" s="203"/>
      <c r="Q1759" s="203"/>
      <c r="R1759" s="203"/>
      <c r="S1759" s="203"/>
    </row>
    <row r="1760" spans="1:19">
      <c r="A1760" s="63"/>
      <c r="B1760" s="63"/>
      <c r="C1760" s="63"/>
      <c r="D1760" s="63"/>
      <c r="E1760" s="63"/>
      <c r="F1760" s="63"/>
      <c r="G1760" s="63"/>
      <c r="I1760" s="303" t="s">
        <v>798</v>
      </c>
      <c r="J1760" s="303"/>
      <c r="K1760" s="184"/>
      <c r="L1760" s="185"/>
      <c r="M1760" s="185"/>
      <c r="N1760" s="185"/>
      <c r="O1760" s="185"/>
      <c r="P1760" s="204"/>
      <c r="Q1760" s="204"/>
      <c r="R1760" s="204"/>
      <c r="S1760" s="204"/>
    </row>
    <row r="1761" spans="1:19">
      <c r="A1761" s="3" t="s">
        <v>801</v>
      </c>
      <c r="B1761" s="201" t="s">
        <v>802</v>
      </c>
      <c r="C1761" s="201" t="s">
        <v>803</v>
      </c>
      <c r="D1761" s="201" t="s">
        <v>119</v>
      </c>
      <c r="E1761" s="201" t="s">
        <v>148</v>
      </c>
      <c r="F1761" s="201" t="s">
        <v>806</v>
      </c>
      <c r="G1761" s="201" t="s">
        <v>81</v>
      </c>
      <c r="I1761" s="187"/>
      <c r="J1761" s="187"/>
      <c r="K1761" s="187"/>
      <c r="L1761" s="188"/>
      <c r="M1761" s="188"/>
      <c r="N1761" s="188"/>
      <c r="O1761" s="188"/>
      <c r="P1761" s="187"/>
      <c r="Q1761" s="187"/>
      <c r="R1761" s="187"/>
      <c r="S1761" s="187"/>
    </row>
    <row r="1762" spans="1:19">
      <c r="A1762" s="293">
        <v>44127</v>
      </c>
      <c r="B1762" s="161"/>
      <c r="C1762" s="162"/>
      <c r="D1762" s="162"/>
      <c r="E1762" s="162"/>
      <c r="F1762" s="162"/>
      <c r="G1762" s="163"/>
      <c r="I1762" s="191"/>
      <c r="J1762" s="190"/>
      <c r="K1762" s="190"/>
      <c r="L1762" s="190"/>
      <c r="M1762" s="190">
        <v>44127</v>
      </c>
      <c r="N1762" s="189" t="s">
        <v>864</v>
      </c>
      <c r="O1762" s="189"/>
      <c r="P1762" s="189"/>
      <c r="Q1762" s="189"/>
      <c r="R1762" s="189"/>
      <c r="S1762" s="189"/>
    </row>
    <row r="1763" spans="1:19">
      <c r="A1763" s="294"/>
      <c r="B1763" s="164"/>
      <c r="C1763" s="165"/>
      <c r="D1763" s="165"/>
      <c r="E1763" s="165"/>
      <c r="F1763" s="165"/>
      <c r="G1763" s="166"/>
      <c r="I1763" s="304"/>
      <c r="J1763" s="304"/>
      <c r="K1763" s="167"/>
      <c r="L1763" s="168"/>
      <c r="M1763" s="168"/>
      <c r="N1763" s="168"/>
      <c r="O1763" s="169"/>
      <c r="P1763" s="169"/>
      <c r="Q1763" s="169"/>
      <c r="R1763" s="161"/>
      <c r="S1763" s="161"/>
    </row>
    <row r="1764" spans="1:19">
      <c r="A1764" s="294"/>
      <c r="B1764" s="161"/>
      <c r="C1764" s="162"/>
      <c r="D1764" s="162"/>
      <c r="E1764" s="162"/>
      <c r="F1764" s="162"/>
      <c r="G1764" s="163"/>
      <c r="I1764" s="295" t="s">
        <v>782</v>
      </c>
      <c r="J1764" s="296"/>
      <c r="K1764" s="170"/>
      <c r="L1764" s="171"/>
      <c r="M1764" s="50"/>
      <c r="N1764" s="171"/>
      <c r="O1764" s="202"/>
      <c r="P1764" s="202"/>
      <c r="Q1764" s="202"/>
      <c r="R1764" s="162"/>
      <c r="S1764" s="162"/>
    </row>
    <row r="1765" spans="1:19">
      <c r="A1765" s="294"/>
      <c r="B1765" s="164"/>
      <c r="C1765" s="165"/>
      <c r="D1765" s="165"/>
      <c r="E1765" s="165"/>
      <c r="F1765" s="165"/>
      <c r="G1765" s="166"/>
      <c r="I1765" s="295" t="s">
        <v>783</v>
      </c>
      <c r="J1765" s="295"/>
      <c r="K1765" s="170"/>
      <c r="L1765" s="171"/>
      <c r="M1765" s="50"/>
      <c r="N1765" s="171"/>
      <c r="O1765" s="202"/>
      <c r="P1765" s="202"/>
      <c r="Q1765" s="202"/>
      <c r="R1765" s="162"/>
      <c r="S1765" s="162"/>
    </row>
    <row r="1766" spans="1:19">
      <c r="A1766" s="294"/>
      <c r="B1766" s="161"/>
      <c r="C1766" s="162"/>
      <c r="D1766" s="162"/>
      <c r="E1766" s="162"/>
      <c r="F1766" s="162"/>
      <c r="G1766" s="163"/>
      <c r="I1766" s="295" t="s">
        <v>784</v>
      </c>
      <c r="J1766" s="295"/>
      <c r="K1766" s="170"/>
      <c r="L1766" s="171"/>
      <c r="M1766" s="50"/>
      <c r="N1766" s="171"/>
      <c r="O1766" s="202"/>
      <c r="P1766" s="202"/>
      <c r="Q1766" s="202"/>
      <c r="R1766" s="162"/>
      <c r="S1766" s="162"/>
    </row>
    <row r="1767" spans="1:19">
      <c r="A1767" s="294"/>
      <c r="B1767" s="164"/>
      <c r="C1767" s="165"/>
      <c r="D1767" s="165"/>
      <c r="E1767" s="165"/>
      <c r="F1767" s="165"/>
      <c r="G1767" s="166"/>
      <c r="I1767" s="295" t="s">
        <v>785</v>
      </c>
      <c r="J1767" s="295"/>
      <c r="K1767" s="170"/>
      <c r="L1767" s="171"/>
      <c r="M1767" s="50"/>
      <c r="N1767" s="171"/>
      <c r="O1767" s="202"/>
      <c r="P1767" s="202"/>
      <c r="Q1767" s="202"/>
      <c r="R1767" s="162"/>
      <c r="S1767" s="162"/>
    </row>
    <row r="1768" spans="1:19">
      <c r="A1768" s="294"/>
      <c r="B1768" s="161"/>
      <c r="C1768" s="162"/>
      <c r="D1768" s="162"/>
      <c r="E1768" s="162"/>
      <c r="F1768" s="162"/>
      <c r="G1768" s="163"/>
      <c r="I1768" s="295" t="s">
        <v>786</v>
      </c>
      <c r="J1768" s="295"/>
      <c r="K1768" s="170"/>
      <c r="L1768" s="171"/>
      <c r="M1768" s="50"/>
      <c r="N1768" s="171"/>
      <c r="O1768" s="202"/>
      <c r="P1768" s="202"/>
      <c r="Q1768" s="202"/>
      <c r="R1768" s="162"/>
      <c r="S1768" s="162"/>
    </row>
    <row r="1769" spans="1:19">
      <c r="A1769" s="294"/>
      <c r="B1769" s="164"/>
      <c r="C1769" s="165"/>
      <c r="D1769" s="165"/>
      <c r="E1769" s="165"/>
      <c r="F1769" s="165"/>
      <c r="G1769" s="166"/>
      <c r="I1769" s="295" t="s">
        <v>787</v>
      </c>
      <c r="J1769" s="295"/>
      <c r="K1769" s="170"/>
      <c r="L1769" s="171"/>
      <c r="M1769" s="50"/>
      <c r="N1769" s="171"/>
      <c r="O1769" s="202"/>
      <c r="P1769" s="202"/>
      <c r="Q1769" s="202"/>
      <c r="R1769" s="162"/>
      <c r="S1769" s="162"/>
    </row>
    <row r="1770" spans="1:19">
      <c r="A1770" s="294"/>
      <c r="B1770" s="161"/>
      <c r="C1770" s="162"/>
      <c r="D1770" s="162"/>
      <c r="E1770" s="162"/>
      <c r="F1770" s="162"/>
      <c r="G1770" s="163"/>
      <c r="I1770" s="295" t="s">
        <v>788</v>
      </c>
      <c r="J1770" s="295"/>
      <c r="K1770" s="170"/>
      <c r="L1770" s="171"/>
      <c r="M1770" s="50"/>
      <c r="N1770" s="171"/>
      <c r="O1770" s="202"/>
      <c r="P1770" s="202"/>
      <c r="Q1770" s="202"/>
      <c r="R1770" s="162"/>
      <c r="S1770" s="162"/>
    </row>
    <row r="1771" spans="1:19">
      <c r="A1771" s="294"/>
      <c r="B1771" s="164"/>
      <c r="C1771" s="165"/>
      <c r="D1771" s="165"/>
      <c r="E1771" s="165"/>
      <c r="F1771" s="165"/>
      <c r="G1771" s="166"/>
      <c r="I1771" s="295" t="s">
        <v>789</v>
      </c>
      <c r="J1771" s="295"/>
      <c r="K1771" s="170"/>
      <c r="L1771" s="171"/>
      <c r="M1771" s="50"/>
      <c r="N1771" s="171"/>
      <c r="O1771" s="202"/>
      <c r="P1771" s="202"/>
      <c r="Q1771" s="202"/>
      <c r="R1771" s="162"/>
      <c r="S1771" s="162"/>
    </row>
    <row r="1772" spans="1:19">
      <c r="A1772" s="63"/>
      <c r="B1772" s="63"/>
      <c r="C1772" s="63"/>
      <c r="D1772" s="63"/>
      <c r="E1772" s="63"/>
      <c r="F1772" s="63"/>
      <c r="G1772" s="63"/>
      <c r="I1772" s="295" t="s">
        <v>790</v>
      </c>
      <c r="J1772" s="295"/>
      <c r="K1772" s="170"/>
      <c r="L1772" s="171"/>
      <c r="M1772" s="50"/>
      <c r="N1772" s="171"/>
      <c r="O1772" s="202"/>
      <c r="P1772" s="202"/>
      <c r="Q1772" s="202"/>
      <c r="R1772" s="162"/>
      <c r="S1772" s="162"/>
    </row>
    <row r="1773" spans="1:19">
      <c r="A1773" s="63"/>
      <c r="B1773" s="63"/>
      <c r="C1773" s="63"/>
      <c r="D1773" s="63"/>
      <c r="E1773" s="63"/>
      <c r="F1773" s="63"/>
      <c r="G1773" s="63"/>
      <c r="I1773" s="295" t="s">
        <v>791</v>
      </c>
      <c r="J1773" s="295"/>
      <c r="K1773" s="170"/>
      <c r="L1773" s="171"/>
      <c r="M1773" s="50"/>
      <c r="N1773" s="171"/>
      <c r="O1773" s="202"/>
      <c r="P1773" s="202"/>
      <c r="Q1773" s="202"/>
      <c r="R1773" s="162"/>
      <c r="S1773" s="162"/>
    </row>
    <row r="1774" spans="1:19">
      <c r="A1774" s="63"/>
      <c r="B1774" s="63"/>
      <c r="C1774" s="63"/>
      <c r="D1774" s="63"/>
      <c r="E1774" s="63"/>
      <c r="F1774" s="63"/>
      <c r="G1774" s="63"/>
      <c r="I1774" s="296" t="s">
        <v>792</v>
      </c>
      <c r="J1774" s="296"/>
      <c r="K1774" s="170"/>
      <c r="L1774" s="171"/>
      <c r="M1774" s="50"/>
      <c r="N1774" s="171"/>
      <c r="O1774" s="202"/>
      <c r="P1774" s="202"/>
      <c r="Q1774" s="202"/>
      <c r="R1774" s="162"/>
      <c r="S1774" s="162"/>
    </row>
    <row r="1775" spans="1:19" ht="17.25" thickBot="1">
      <c r="A1775" s="63"/>
      <c r="B1775" s="63"/>
      <c r="C1775" s="63"/>
      <c r="D1775" s="63"/>
      <c r="E1775" s="63"/>
      <c r="F1775" s="63"/>
      <c r="G1775" s="63"/>
      <c r="I1775" s="297" t="s">
        <v>793</v>
      </c>
      <c r="J1775" s="297"/>
      <c r="K1775" s="172">
        <f t="shared" ref="K1775:S1775" si="799">SUM(K1764:K1774)</f>
        <v>0</v>
      </c>
      <c r="L1775" s="205">
        <f t="shared" si="799"/>
        <v>0</v>
      </c>
      <c r="M1775" s="205">
        <f t="shared" si="799"/>
        <v>0</v>
      </c>
      <c r="N1775" s="205">
        <f t="shared" si="799"/>
        <v>0</v>
      </c>
      <c r="O1775" s="174">
        <f t="shared" si="799"/>
        <v>0</v>
      </c>
      <c r="P1775" s="174">
        <f t="shared" si="799"/>
        <v>0</v>
      </c>
      <c r="Q1775" s="174">
        <f t="shared" si="799"/>
        <v>0</v>
      </c>
      <c r="R1775" s="175">
        <f t="shared" si="799"/>
        <v>0</v>
      </c>
      <c r="S1775" s="175">
        <f t="shared" si="799"/>
        <v>0</v>
      </c>
    </row>
    <row r="1776" spans="1:19" ht="17.25" thickBot="1">
      <c r="A1776" s="63"/>
      <c r="B1776" s="63"/>
      <c r="C1776" s="63"/>
      <c r="D1776" s="63"/>
      <c r="E1776" s="63"/>
      <c r="F1776" s="63"/>
      <c r="G1776" s="63"/>
      <c r="I1776" s="298" t="s">
        <v>794</v>
      </c>
      <c r="J1776" s="299"/>
      <c r="K1776" s="176">
        <f t="shared" ref="K1776" si="800">S1755-K1775</f>
        <v>0</v>
      </c>
      <c r="L1776" s="177">
        <f t="shared" ref="L1776" si="801">K1775-L1775</f>
        <v>0</v>
      </c>
      <c r="M1776" s="177">
        <f t="shared" ref="M1776" si="802">K1775-M1775</f>
        <v>0</v>
      </c>
      <c r="N1776" s="177">
        <f t="shared" ref="N1776" si="803">K1775-N1775</f>
        <v>0</v>
      </c>
      <c r="O1776" s="178">
        <f t="shared" ref="O1776" si="804">K1775-O1775</f>
        <v>0</v>
      </c>
      <c r="P1776" s="178">
        <f t="shared" ref="P1776" si="805">K1775-P1775</f>
        <v>0</v>
      </c>
      <c r="Q1776" s="178">
        <f t="shared" ref="Q1776" si="806">K1775-Q1775</f>
        <v>0</v>
      </c>
      <c r="R1776" s="179">
        <f t="shared" ref="R1776" si="807">K1775-R1775</f>
        <v>0</v>
      </c>
      <c r="S1776" s="180">
        <f t="shared" ref="S1776" si="808">L1775-S1775</f>
        <v>0</v>
      </c>
    </row>
    <row r="1777" spans="1:19">
      <c r="A1777" s="63"/>
      <c r="B1777" s="63"/>
      <c r="C1777" s="63"/>
      <c r="D1777" s="63"/>
      <c r="E1777" s="63"/>
      <c r="F1777" s="63"/>
      <c r="G1777" s="63"/>
      <c r="I1777" s="300" t="s">
        <v>795</v>
      </c>
      <c r="J1777" s="301"/>
      <c r="K1777" s="181"/>
      <c r="L1777" s="182"/>
      <c r="M1777" s="182"/>
      <c r="N1777" s="182"/>
      <c r="O1777" s="183"/>
      <c r="P1777" s="182"/>
      <c r="Q1777" s="182"/>
      <c r="R1777" s="182"/>
      <c r="S1777" s="182"/>
    </row>
    <row r="1778" spans="1:19">
      <c r="A1778" s="63"/>
      <c r="B1778" s="63"/>
      <c r="C1778" s="63"/>
      <c r="D1778" s="63"/>
      <c r="E1778" s="63"/>
      <c r="F1778" s="63"/>
      <c r="G1778" s="63"/>
      <c r="I1778" s="302" t="s">
        <v>796</v>
      </c>
      <c r="J1778" s="302"/>
      <c r="K1778" s="184"/>
      <c r="L1778" s="203"/>
      <c r="M1778" s="203"/>
      <c r="N1778" s="203"/>
      <c r="O1778" s="203"/>
      <c r="P1778" s="203"/>
      <c r="Q1778" s="203"/>
      <c r="R1778" s="203"/>
      <c r="S1778" s="203"/>
    </row>
    <row r="1779" spans="1:19">
      <c r="A1779" s="63"/>
      <c r="B1779" s="63"/>
      <c r="C1779" s="63"/>
      <c r="D1779" s="63"/>
      <c r="E1779" s="63"/>
      <c r="F1779" s="63"/>
      <c r="G1779" s="63"/>
      <c r="I1779" s="302" t="s">
        <v>797</v>
      </c>
      <c r="J1779" s="302"/>
      <c r="K1779" s="184"/>
      <c r="L1779" s="203"/>
      <c r="M1779" s="203"/>
      <c r="N1779" s="203"/>
      <c r="O1779" s="203"/>
      <c r="P1779" s="203"/>
      <c r="Q1779" s="203"/>
      <c r="R1779" s="203"/>
      <c r="S1779" s="203"/>
    </row>
    <row r="1780" spans="1:19">
      <c r="A1780" s="63"/>
      <c r="B1780" s="63"/>
      <c r="C1780" s="63"/>
      <c r="D1780" s="63"/>
      <c r="E1780" s="63"/>
      <c r="F1780" s="63"/>
      <c r="G1780" s="63"/>
      <c r="I1780" s="303" t="s">
        <v>798</v>
      </c>
      <c r="J1780" s="303"/>
      <c r="K1780" s="184"/>
      <c r="L1780" s="185"/>
      <c r="M1780" s="185"/>
      <c r="N1780" s="185"/>
      <c r="O1780" s="185"/>
      <c r="P1780" s="204"/>
      <c r="Q1780" s="204"/>
      <c r="R1780" s="204"/>
      <c r="S1780" s="204"/>
    </row>
    <row r="1781" spans="1:19">
      <c r="A1781" s="3" t="s">
        <v>801</v>
      </c>
      <c r="B1781" s="201" t="s">
        <v>802</v>
      </c>
      <c r="C1781" s="201" t="s">
        <v>803</v>
      </c>
      <c r="D1781" s="201" t="s">
        <v>119</v>
      </c>
      <c r="E1781" s="201" t="s">
        <v>148</v>
      </c>
      <c r="F1781" s="201" t="s">
        <v>806</v>
      </c>
      <c r="G1781" s="201" t="s">
        <v>81</v>
      </c>
      <c r="I1781" s="187"/>
      <c r="J1781" s="187"/>
      <c r="K1781" s="187"/>
      <c r="L1781" s="188"/>
      <c r="M1781" s="188"/>
      <c r="N1781" s="188"/>
      <c r="O1781" s="188"/>
      <c r="P1781" s="187"/>
      <c r="Q1781" s="187"/>
      <c r="R1781" s="187"/>
      <c r="S1781" s="187"/>
    </row>
    <row r="1782" spans="1:19">
      <c r="A1782" s="293">
        <v>44128</v>
      </c>
      <c r="B1782" s="161"/>
      <c r="C1782" s="162"/>
      <c r="D1782" s="162"/>
      <c r="E1782" s="162"/>
      <c r="F1782" s="162"/>
      <c r="G1782" s="163"/>
      <c r="I1782" s="191"/>
      <c r="J1782" s="190"/>
      <c r="K1782" s="190"/>
      <c r="L1782" s="190"/>
      <c r="M1782" s="190">
        <v>44128</v>
      </c>
      <c r="N1782" s="189" t="s">
        <v>864</v>
      </c>
      <c r="O1782" s="189"/>
      <c r="P1782" s="189"/>
      <c r="Q1782" s="189"/>
      <c r="R1782" s="189"/>
      <c r="S1782" s="189"/>
    </row>
    <row r="1783" spans="1:19">
      <c r="A1783" s="294"/>
      <c r="B1783" s="164"/>
      <c r="C1783" s="165"/>
      <c r="D1783" s="165"/>
      <c r="E1783" s="165"/>
      <c r="F1783" s="165"/>
      <c r="G1783" s="166"/>
      <c r="I1783" s="304"/>
      <c r="J1783" s="304"/>
      <c r="K1783" s="167"/>
      <c r="L1783" s="168"/>
      <c r="M1783" s="168"/>
      <c r="N1783" s="168"/>
      <c r="O1783" s="169"/>
      <c r="P1783" s="169"/>
      <c r="Q1783" s="169"/>
      <c r="R1783" s="161"/>
      <c r="S1783" s="161"/>
    </row>
    <row r="1784" spans="1:19">
      <c r="A1784" s="294"/>
      <c r="B1784" s="161"/>
      <c r="C1784" s="162"/>
      <c r="D1784" s="162"/>
      <c r="E1784" s="162"/>
      <c r="F1784" s="162"/>
      <c r="G1784" s="163"/>
      <c r="I1784" s="295" t="s">
        <v>782</v>
      </c>
      <c r="J1784" s="296"/>
      <c r="K1784" s="170"/>
      <c r="L1784" s="171"/>
      <c r="M1784" s="50"/>
      <c r="N1784" s="171"/>
      <c r="O1784" s="202"/>
      <c r="P1784" s="202"/>
      <c r="Q1784" s="202"/>
      <c r="R1784" s="162"/>
      <c r="S1784" s="162"/>
    </row>
    <row r="1785" spans="1:19">
      <c r="A1785" s="294"/>
      <c r="B1785" s="164"/>
      <c r="C1785" s="165"/>
      <c r="D1785" s="165"/>
      <c r="E1785" s="165"/>
      <c r="F1785" s="165"/>
      <c r="G1785" s="166"/>
      <c r="I1785" s="295" t="s">
        <v>783</v>
      </c>
      <c r="J1785" s="295"/>
      <c r="K1785" s="170"/>
      <c r="L1785" s="171"/>
      <c r="M1785" s="50"/>
      <c r="N1785" s="171"/>
      <c r="O1785" s="202"/>
      <c r="P1785" s="202"/>
      <c r="Q1785" s="202"/>
      <c r="R1785" s="162"/>
      <c r="S1785" s="162"/>
    </row>
    <row r="1786" spans="1:19">
      <c r="A1786" s="294"/>
      <c r="B1786" s="161"/>
      <c r="C1786" s="162"/>
      <c r="D1786" s="162"/>
      <c r="E1786" s="162"/>
      <c r="F1786" s="162"/>
      <c r="G1786" s="163"/>
      <c r="I1786" s="295" t="s">
        <v>784</v>
      </c>
      <c r="J1786" s="295"/>
      <c r="K1786" s="170"/>
      <c r="L1786" s="171"/>
      <c r="M1786" s="50"/>
      <c r="N1786" s="171"/>
      <c r="O1786" s="202"/>
      <c r="P1786" s="202"/>
      <c r="Q1786" s="202"/>
      <c r="R1786" s="162"/>
      <c r="S1786" s="162"/>
    </row>
    <row r="1787" spans="1:19">
      <c r="A1787" s="294"/>
      <c r="B1787" s="164"/>
      <c r="C1787" s="165"/>
      <c r="D1787" s="165"/>
      <c r="E1787" s="165"/>
      <c r="F1787" s="165"/>
      <c r="G1787" s="166"/>
      <c r="I1787" s="295" t="s">
        <v>785</v>
      </c>
      <c r="J1787" s="295"/>
      <c r="K1787" s="170"/>
      <c r="L1787" s="171"/>
      <c r="M1787" s="50"/>
      <c r="N1787" s="171"/>
      <c r="O1787" s="202"/>
      <c r="P1787" s="202"/>
      <c r="Q1787" s="202"/>
      <c r="R1787" s="162"/>
      <c r="S1787" s="162"/>
    </row>
    <row r="1788" spans="1:19">
      <c r="A1788" s="294"/>
      <c r="B1788" s="161"/>
      <c r="C1788" s="162"/>
      <c r="D1788" s="162"/>
      <c r="E1788" s="162"/>
      <c r="F1788" s="162"/>
      <c r="G1788" s="163"/>
      <c r="I1788" s="295" t="s">
        <v>786</v>
      </c>
      <c r="J1788" s="295"/>
      <c r="K1788" s="170"/>
      <c r="L1788" s="171"/>
      <c r="M1788" s="50"/>
      <c r="N1788" s="171"/>
      <c r="O1788" s="202"/>
      <c r="P1788" s="202"/>
      <c r="Q1788" s="202"/>
      <c r="R1788" s="162"/>
      <c r="S1788" s="162"/>
    </row>
    <row r="1789" spans="1:19">
      <c r="A1789" s="294"/>
      <c r="B1789" s="164"/>
      <c r="C1789" s="165"/>
      <c r="D1789" s="165"/>
      <c r="E1789" s="165"/>
      <c r="F1789" s="165"/>
      <c r="G1789" s="166"/>
      <c r="I1789" s="295" t="s">
        <v>787</v>
      </c>
      <c r="J1789" s="295"/>
      <c r="K1789" s="170"/>
      <c r="L1789" s="171"/>
      <c r="M1789" s="50"/>
      <c r="N1789" s="171"/>
      <c r="O1789" s="202"/>
      <c r="P1789" s="202"/>
      <c r="Q1789" s="202"/>
      <c r="R1789" s="162"/>
      <c r="S1789" s="162"/>
    </row>
    <row r="1790" spans="1:19">
      <c r="A1790" s="294"/>
      <c r="B1790" s="161"/>
      <c r="C1790" s="162"/>
      <c r="D1790" s="162"/>
      <c r="E1790" s="162"/>
      <c r="F1790" s="162"/>
      <c r="G1790" s="163"/>
      <c r="I1790" s="295" t="s">
        <v>788</v>
      </c>
      <c r="J1790" s="295"/>
      <c r="K1790" s="170"/>
      <c r="L1790" s="171"/>
      <c r="M1790" s="50"/>
      <c r="N1790" s="171"/>
      <c r="O1790" s="202"/>
      <c r="P1790" s="202"/>
      <c r="Q1790" s="202"/>
      <c r="R1790" s="162"/>
      <c r="S1790" s="162"/>
    </row>
    <row r="1791" spans="1:19">
      <c r="A1791" s="294"/>
      <c r="B1791" s="164"/>
      <c r="C1791" s="165"/>
      <c r="D1791" s="165"/>
      <c r="E1791" s="165"/>
      <c r="F1791" s="165"/>
      <c r="G1791" s="166"/>
      <c r="I1791" s="295" t="s">
        <v>789</v>
      </c>
      <c r="J1791" s="295"/>
      <c r="K1791" s="170"/>
      <c r="L1791" s="171"/>
      <c r="M1791" s="50"/>
      <c r="N1791" s="171"/>
      <c r="O1791" s="202"/>
      <c r="P1791" s="202"/>
      <c r="Q1791" s="202"/>
      <c r="R1791" s="162"/>
      <c r="S1791" s="162"/>
    </row>
    <row r="1792" spans="1:19">
      <c r="A1792" s="63"/>
      <c r="B1792" s="63"/>
      <c r="C1792" s="63"/>
      <c r="D1792" s="63"/>
      <c r="E1792" s="63"/>
      <c r="F1792" s="63"/>
      <c r="G1792" s="63"/>
      <c r="I1792" s="295" t="s">
        <v>790</v>
      </c>
      <c r="J1792" s="295"/>
      <c r="K1792" s="170"/>
      <c r="L1792" s="171"/>
      <c r="M1792" s="50"/>
      <c r="N1792" s="171"/>
      <c r="O1792" s="202"/>
      <c r="P1792" s="202"/>
      <c r="Q1792" s="202"/>
      <c r="R1792" s="162"/>
      <c r="S1792" s="162"/>
    </row>
    <row r="1793" spans="1:19">
      <c r="A1793" s="63"/>
      <c r="B1793" s="63"/>
      <c r="C1793" s="63"/>
      <c r="D1793" s="63"/>
      <c r="E1793" s="63"/>
      <c r="F1793" s="63"/>
      <c r="G1793" s="63"/>
      <c r="I1793" s="295" t="s">
        <v>791</v>
      </c>
      <c r="J1793" s="295"/>
      <c r="K1793" s="170"/>
      <c r="L1793" s="171"/>
      <c r="M1793" s="50"/>
      <c r="N1793" s="171"/>
      <c r="O1793" s="202"/>
      <c r="P1793" s="202"/>
      <c r="Q1793" s="202"/>
      <c r="R1793" s="162"/>
      <c r="S1793" s="162"/>
    </row>
    <row r="1794" spans="1:19">
      <c r="A1794" s="63"/>
      <c r="B1794" s="63"/>
      <c r="C1794" s="63"/>
      <c r="D1794" s="63"/>
      <c r="E1794" s="63"/>
      <c r="F1794" s="63"/>
      <c r="G1794" s="63"/>
      <c r="I1794" s="296" t="s">
        <v>792</v>
      </c>
      <c r="J1794" s="296"/>
      <c r="K1794" s="170"/>
      <c r="L1794" s="171"/>
      <c r="M1794" s="50"/>
      <c r="N1794" s="171"/>
      <c r="O1794" s="202"/>
      <c r="P1794" s="202"/>
      <c r="Q1794" s="202"/>
      <c r="R1794" s="162"/>
      <c r="S1794" s="162"/>
    </row>
    <row r="1795" spans="1:19" ht="17.25" thickBot="1">
      <c r="A1795" s="63"/>
      <c r="B1795" s="63"/>
      <c r="C1795" s="63"/>
      <c r="D1795" s="63"/>
      <c r="E1795" s="63"/>
      <c r="F1795" s="63"/>
      <c r="G1795" s="63"/>
      <c r="I1795" s="297" t="s">
        <v>793</v>
      </c>
      <c r="J1795" s="297"/>
      <c r="K1795" s="172">
        <f t="shared" ref="K1795:S1795" si="809">SUM(K1784:K1794)</f>
        <v>0</v>
      </c>
      <c r="L1795" s="205">
        <f t="shared" si="809"/>
        <v>0</v>
      </c>
      <c r="M1795" s="205">
        <f t="shared" si="809"/>
        <v>0</v>
      </c>
      <c r="N1795" s="205">
        <f t="shared" si="809"/>
        <v>0</v>
      </c>
      <c r="O1795" s="174">
        <f t="shared" si="809"/>
        <v>0</v>
      </c>
      <c r="P1795" s="174">
        <f t="shared" si="809"/>
        <v>0</v>
      </c>
      <c r="Q1795" s="174">
        <f t="shared" si="809"/>
        <v>0</v>
      </c>
      <c r="R1795" s="175">
        <f t="shared" si="809"/>
        <v>0</v>
      </c>
      <c r="S1795" s="175">
        <f t="shared" si="809"/>
        <v>0</v>
      </c>
    </row>
    <row r="1796" spans="1:19" ht="17.25" thickBot="1">
      <c r="A1796" s="63"/>
      <c r="B1796" s="63"/>
      <c r="C1796" s="63"/>
      <c r="D1796" s="63"/>
      <c r="E1796" s="63"/>
      <c r="F1796" s="63"/>
      <c r="G1796" s="63"/>
      <c r="I1796" s="298" t="s">
        <v>794</v>
      </c>
      <c r="J1796" s="299"/>
      <c r="K1796" s="176">
        <f t="shared" ref="K1796" si="810">S1775-K1795</f>
        <v>0</v>
      </c>
      <c r="L1796" s="177">
        <f t="shared" ref="L1796" si="811">K1795-L1795</f>
        <v>0</v>
      </c>
      <c r="M1796" s="177">
        <f t="shared" ref="M1796" si="812">K1795-M1795</f>
        <v>0</v>
      </c>
      <c r="N1796" s="177">
        <f t="shared" ref="N1796" si="813">K1795-N1795</f>
        <v>0</v>
      </c>
      <c r="O1796" s="178">
        <f t="shared" ref="O1796" si="814">K1795-O1795</f>
        <v>0</v>
      </c>
      <c r="P1796" s="178">
        <f t="shared" ref="P1796" si="815">K1795-P1795</f>
        <v>0</v>
      </c>
      <c r="Q1796" s="178">
        <f t="shared" ref="Q1796" si="816">K1795-Q1795</f>
        <v>0</v>
      </c>
      <c r="R1796" s="179">
        <f t="shared" ref="R1796" si="817">K1795-R1795</f>
        <v>0</v>
      </c>
      <c r="S1796" s="180">
        <f t="shared" ref="S1796" si="818">L1795-S1795</f>
        <v>0</v>
      </c>
    </row>
    <row r="1797" spans="1:19">
      <c r="A1797" s="63"/>
      <c r="B1797" s="63"/>
      <c r="C1797" s="63"/>
      <c r="D1797" s="63"/>
      <c r="E1797" s="63"/>
      <c r="F1797" s="63"/>
      <c r="G1797" s="63"/>
      <c r="I1797" s="300" t="s">
        <v>795</v>
      </c>
      <c r="J1797" s="301"/>
      <c r="K1797" s="181"/>
      <c r="L1797" s="182"/>
      <c r="M1797" s="182"/>
      <c r="N1797" s="182"/>
      <c r="O1797" s="183"/>
      <c r="P1797" s="182"/>
      <c r="Q1797" s="182"/>
      <c r="R1797" s="182"/>
      <c r="S1797" s="182"/>
    </row>
    <row r="1798" spans="1:19">
      <c r="A1798" s="63"/>
      <c r="B1798" s="63"/>
      <c r="C1798" s="63"/>
      <c r="D1798" s="63"/>
      <c r="E1798" s="63"/>
      <c r="F1798" s="63"/>
      <c r="G1798" s="63"/>
      <c r="I1798" s="302" t="s">
        <v>796</v>
      </c>
      <c r="J1798" s="302"/>
      <c r="K1798" s="184"/>
      <c r="L1798" s="203"/>
      <c r="M1798" s="203"/>
      <c r="N1798" s="203"/>
      <c r="O1798" s="203"/>
      <c r="P1798" s="203"/>
      <c r="Q1798" s="203"/>
      <c r="R1798" s="203"/>
      <c r="S1798" s="203"/>
    </row>
    <row r="1799" spans="1:19">
      <c r="A1799" s="63"/>
      <c r="B1799" s="63"/>
      <c r="C1799" s="63"/>
      <c r="D1799" s="63"/>
      <c r="E1799" s="63"/>
      <c r="F1799" s="63"/>
      <c r="G1799" s="63"/>
      <c r="I1799" s="302" t="s">
        <v>797</v>
      </c>
      <c r="J1799" s="302"/>
      <c r="K1799" s="184"/>
      <c r="L1799" s="203"/>
      <c r="M1799" s="203"/>
      <c r="N1799" s="203"/>
      <c r="O1799" s="203"/>
      <c r="P1799" s="203"/>
      <c r="Q1799" s="203"/>
      <c r="R1799" s="203"/>
      <c r="S1799" s="203"/>
    </row>
    <row r="1800" spans="1:19">
      <c r="A1800" s="63"/>
      <c r="B1800" s="63"/>
      <c r="C1800" s="63"/>
      <c r="D1800" s="63"/>
      <c r="E1800" s="63"/>
      <c r="F1800" s="63"/>
      <c r="G1800" s="63"/>
      <c r="I1800" s="303" t="s">
        <v>798</v>
      </c>
      <c r="J1800" s="303"/>
      <c r="K1800" s="184"/>
      <c r="L1800" s="185"/>
      <c r="M1800" s="185"/>
      <c r="N1800" s="185"/>
      <c r="O1800" s="185"/>
      <c r="P1800" s="204"/>
      <c r="Q1800" s="204"/>
      <c r="R1800" s="204"/>
      <c r="S1800" s="204"/>
    </row>
    <row r="1801" spans="1:19">
      <c r="A1801" s="3" t="s">
        <v>801</v>
      </c>
      <c r="B1801" s="201" t="s">
        <v>802</v>
      </c>
      <c r="C1801" s="201" t="s">
        <v>803</v>
      </c>
      <c r="D1801" s="201" t="s">
        <v>119</v>
      </c>
      <c r="E1801" s="201" t="s">
        <v>148</v>
      </c>
      <c r="F1801" s="201" t="s">
        <v>806</v>
      </c>
      <c r="G1801" s="201" t="s">
        <v>81</v>
      </c>
      <c r="I1801" s="187"/>
      <c r="J1801" s="187"/>
      <c r="K1801" s="187"/>
      <c r="L1801" s="188"/>
      <c r="M1801" s="188"/>
      <c r="N1801" s="188"/>
      <c r="O1801" s="188"/>
      <c r="P1801" s="187"/>
      <c r="Q1801" s="187"/>
      <c r="R1801" s="187"/>
      <c r="S1801" s="187"/>
    </row>
    <row r="1802" spans="1:19">
      <c r="A1802" s="293">
        <v>44129</v>
      </c>
      <c r="B1802" s="161"/>
      <c r="C1802" s="162"/>
      <c r="D1802" s="162"/>
      <c r="E1802" s="162"/>
      <c r="F1802" s="162"/>
      <c r="G1802" s="163"/>
      <c r="I1802" s="191"/>
      <c r="J1802" s="190"/>
      <c r="K1802" s="190"/>
      <c r="L1802" s="190"/>
      <c r="M1802" s="190">
        <v>44129</v>
      </c>
      <c r="N1802" s="189" t="s">
        <v>864</v>
      </c>
      <c r="O1802" s="189"/>
      <c r="P1802" s="189"/>
      <c r="Q1802" s="189"/>
      <c r="R1802" s="189"/>
      <c r="S1802" s="189"/>
    </row>
    <row r="1803" spans="1:19">
      <c r="A1803" s="294"/>
      <c r="B1803" s="164"/>
      <c r="C1803" s="165"/>
      <c r="D1803" s="165"/>
      <c r="E1803" s="165"/>
      <c r="F1803" s="165"/>
      <c r="G1803" s="166"/>
      <c r="I1803" s="304"/>
      <c r="J1803" s="304"/>
      <c r="K1803" s="167"/>
      <c r="L1803" s="168"/>
      <c r="M1803" s="168"/>
      <c r="N1803" s="168"/>
      <c r="O1803" s="169"/>
      <c r="P1803" s="169"/>
      <c r="Q1803" s="169"/>
      <c r="R1803" s="161"/>
      <c r="S1803" s="161"/>
    </row>
    <row r="1804" spans="1:19">
      <c r="A1804" s="294"/>
      <c r="B1804" s="161"/>
      <c r="C1804" s="162"/>
      <c r="D1804" s="162"/>
      <c r="E1804" s="162"/>
      <c r="F1804" s="162"/>
      <c r="G1804" s="163"/>
      <c r="I1804" s="295" t="s">
        <v>782</v>
      </c>
      <c r="J1804" s="296"/>
      <c r="K1804" s="170"/>
      <c r="L1804" s="171"/>
      <c r="M1804" s="50"/>
      <c r="N1804" s="171"/>
      <c r="O1804" s="202"/>
      <c r="P1804" s="202"/>
      <c r="Q1804" s="202"/>
      <c r="R1804" s="162"/>
      <c r="S1804" s="162"/>
    </row>
    <row r="1805" spans="1:19">
      <c r="A1805" s="294"/>
      <c r="B1805" s="164"/>
      <c r="C1805" s="165"/>
      <c r="D1805" s="165"/>
      <c r="E1805" s="165"/>
      <c r="F1805" s="165"/>
      <c r="G1805" s="166"/>
      <c r="I1805" s="295" t="s">
        <v>783</v>
      </c>
      <c r="J1805" s="295"/>
      <c r="K1805" s="170"/>
      <c r="L1805" s="171"/>
      <c r="M1805" s="50"/>
      <c r="N1805" s="171"/>
      <c r="O1805" s="202"/>
      <c r="P1805" s="202"/>
      <c r="Q1805" s="202"/>
      <c r="R1805" s="162"/>
      <c r="S1805" s="162"/>
    </row>
    <row r="1806" spans="1:19">
      <c r="A1806" s="294"/>
      <c r="B1806" s="161"/>
      <c r="C1806" s="162"/>
      <c r="D1806" s="162"/>
      <c r="E1806" s="162"/>
      <c r="F1806" s="162"/>
      <c r="G1806" s="163"/>
      <c r="I1806" s="295" t="s">
        <v>784</v>
      </c>
      <c r="J1806" s="295"/>
      <c r="K1806" s="170"/>
      <c r="L1806" s="171"/>
      <c r="M1806" s="50"/>
      <c r="N1806" s="171"/>
      <c r="O1806" s="202"/>
      <c r="P1806" s="202"/>
      <c r="Q1806" s="202"/>
      <c r="R1806" s="162"/>
      <c r="S1806" s="162"/>
    </row>
    <row r="1807" spans="1:19">
      <c r="A1807" s="294"/>
      <c r="B1807" s="164"/>
      <c r="C1807" s="165"/>
      <c r="D1807" s="165"/>
      <c r="E1807" s="165"/>
      <c r="F1807" s="165"/>
      <c r="G1807" s="166"/>
      <c r="I1807" s="295" t="s">
        <v>785</v>
      </c>
      <c r="J1807" s="295"/>
      <c r="K1807" s="170"/>
      <c r="L1807" s="171"/>
      <c r="M1807" s="50"/>
      <c r="N1807" s="171"/>
      <c r="O1807" s="202"/>
      <c r="P1807" s="202"/>
      <c r="Q1807" s="202"/>
      <c r="R1807" s="162"/>
      <c r="S1807" s="162"/>
    </row>
    <row r="1808" spans="1:19">
      <c r="A1808" s="294"/>
      <c r="B1808" s="161"/>
      <c r="C1808" s="162"/>
      <c r="D1808" s="162"/>
      <c r="E1808" s="162"/>
      <c r="F1808" s="162"/>
      <c r="G1808" s="163"/>
      <c r="I1808" s="295" t="s">
        <v>786</v>
      </c>
      <c r="J1808" s="295"/>
      <c r="K1808" s="170"/>
      <c r="L1808" s="171"/>
      <c r="M1808" s="50"/>
      <c r="N1808" s="171"/>
      <c r="O1808" s="202"/>
      <c r="P1808" s="202"/>
      <c r="Q1808" s="202"/>
      <c r="R1808" s="162"/>
      <c r="S1808" s="162"/>
    </row>
    <row r="1809" spans="1:19">
      <c r="A1809" s="294"/>
      <c r="B1809" s="164"/>
      <c r="C1809" s="165"/>
      <c r="D1809" s="165"/>
      <c r="E1809" s="165"/>
      <c r="F1809" s="165"/>
      <c r="G1809" s="166"/>
      <c r="I1809" s="295" t="s">
        <v>787</v>
      </c>
      <c r="J1809" s="295"/>
      <c r="K1809" s="170"/>
      <c r="L1809" s="171"/>
      <c r="M1809" s="50"/>
      <c r="N1809" s="171"/>
      <c r="O1809" s="202"/>
      <c r="P1809" s="202"/>
      <c r="Q1809" s="202"/>
      <c r="R1809" s="162"/>
      <c r="S1809" s="162"/>
    </row>
    <row r="1810" spans="1:19">
      <c r="A1810" s="294"/>
      <c r="B1810" s="161"/>
      <c r="C1810" s="162"/>
      <c r="D1810" s="162"/>
      <c r="E1810" s="162"/>
      <c r="F1810" s="162"/>
      <c r="G1810" s="163"/>
      <c r="I1810" s="295" t="s">
        <v>788</v>
      </c>
      <c r="J1810" s="295"/>
      <c r="K1810" s="170"/>
      <c r="L1810" s="171"/>
      <c r="M1810" s="50"/>
      <c r="N1810" s="171"/>
      <c r="O1810" s="202"/>
      <c r="P1810" s="202"/>
      <c r="Q1810" s="202"/>
      <c r="R1810" s="162"/>
      <c r="S1810" s="162"/>
    </row>
    <row r="1811" spans="1:19">
      <c r="A1811" s="294"/>
      <c r="B1811" s="164"/>
      <c r="C1811" s="165"/>
      <c r="D1811" s="165"/>
      <c r="E1811" s="165"/>
      <c r="F1811" s="165"/>
      <c r="G1811" s="166"/>
      <c r="I1811" s="295" t="s">
        <v>789</v>
      </c>
      <c r="J1811" s="295"/>
      <c r="K1811" s="170"/>
      <c r="L1811" s="171"/>
      <c r="M1811" s="50"/>
      <c r="N1811" s="171"/>
      <c r="O1811" s="202"/>
      <c r="P1811" s="202"/>
      <c r="Q1811" s="202"/>
      <c r="R1811" s="162"/>
      <c r="S1811" s="162"/>
    </row>
    <row r="1812" spans="1:19">
      <c r="A1812" s="63"/>
      <c r="B1812" s="63"/>
      <c r="C1812" s="63"/>
      <c r="D1812" s="63"/>
      <c r="E1812" s="63"/>
      <c r="F1812" s="63"/>
      <c r="G1812" s="63"/>
      <c r="I1812" s="295" t="s">
        <v>790</v>
      </c>
      <c r="J1812" s="295"/>
      <c r="K1812" s="170"/>
      <c r="L1812" s="171"/>
      <c r="M1812" s="50"/>
      <c r="N1812" s="171"/>
      <c r="O1812" s="202"/>
      <c r="P1812" s="202"/>
      <c r="Q1812" s="202"/>
      <c r="R1812" s="162"/>
      <c r="S1812" s="162"/>
    </row>
    <row r="1813" spans="1:19">
      <c r="A1813" s="63"/>
      <c r="B1813" s="63"/>
      <c r="C1813" s="63"/>
      <c r="D1813" s="63"/>
      <c r="E1813" s="63"/>
      <c r="F1813" s="63"/>
      <c r="G1813" s="63"/>
      <c r="I1813" s="295" t="s">
        <v>791</v>
      </c>
      <c r="J1813" s="295"/>
      <c r="K1813" s="170"/>
      <c r="L1813" s="171"/>
      <c r="M1813" s="50"/>
      <c r="N1813" s="171"/>
      <c r="O1813" s="202"/>
      <c r="P1813" s="202"/>
      <c r="Q1813" s="202"/>
      <c r="R1813" s="162"/>
      <c r="S1813" s="162"/>
    </row>
    <row r="1814" spans="1:19">
      <c r="A1814" s="63"/>
      <c r="B1814" s="63"/>
      <c r="C1814" s="63"/>
      <c r="D1814" s="63"/>
      <c r="E1814" s="63"/>
      <c r="F1814" s="63"/>
      <c r="G1814" s="63"/>
      <c r="I1814" s="296" t="s">
        <v>792</v>
      </c>
      <c r="J1814" s="296"/>
      <c r="K1814" s="170"/>
      <c r="L1814" s="171"/>
      <c r="M1814" s="50"/>
      <c r="N1814" s="171"/>
      <c r="O1814" s="202"/>
      <c r="P1814" s="202"/>
      <c r="Q1814" s="202"/>
      <c r="R1814" s="162"/>
      <c r="S1814" s="162"/>
    </row>
    <row r="1815" spans="1:19" ht="17.25" thickBot="1">
      <c r="A1815" s="63"/>
      <c r="B1815" s="63"/>
      <c r="C1815" s="63"/>
      <c r="D1815" s="63"/>
      <c r="E1815" s="63"/>
      <c r="F1815" s="63"/>
      <c r="G1815" s="63"/>
      <c r="I1815" s="297" t="s">
        <v>793</v>
      </c>
      <c r="J1815" s="297"/>
      <c r="K1815" s="172">
        <f t="shared" ref="K1815:S1815" si="819">SUM(K1804:K1814)</f>
        <v>0</v>
      </c>
      <c r="L1815" s="205">
        <f t="shared" si="819"/>
        <v>0</v>
      </c>
      <c r="M1815" s="205">
        <f t="shared" si="819"/>
        <v>0</v>
      </c>
      <c r="N1815" s="205">
        <f t="shared" si="819"/>
        <v>0</v>
      </c>
      <c r="O1815" s="174">
        <f t="shared" si="819"/>
        <v>0</v>
      </c>
      <c r="P1815" s="174">
        <f t="shared" si="819"/>
        <v>0</v>
      </c>
      <c r="Q1815" s="174">
        <f t="shared" si="819"/>
        <v>0</v>
      </c>
      <c r="R1815" s="175">
        <f t="shared" si="819"/>
        <v>0</v>
      </c>
      <c r="S1815" s="175">
        <f t="shared" si="819"/>
        <v>0</v>
      </c>
    </row>
    <row r="1816" spans="1:19" ht="17.25" thickBot="1">
      <c r="A1816" s="63"/>
      <c r="B1816" s="63"/>
      <c r="C1816" s="63"/>
      <c r="D1816" s="63"/>
      <c r="E1816" s="63"/>
      <c r="F1816" s="63"/>
      <c r="G1816" s="63"/>
      <c r="I1816" s="298" t="s">
        <v>794</v>
      </c>
      <c r="J1816" s="299"/>
      <c r="K1816" s="176">
        <f t="shared" ref="K1816" si="820">S1795-K1815</f>
        <v>0</v>
      </c>
      <c r="L1816" s="177">
        <f t="shared" ref="L1816" si="821">K1815-L1815</f>
        <v>0</v>
      </c>
      <c r="M1816" s="177">
        <f t="shared" ref="M1816" si="822">K1815-M1815</f>
        <v>0</v>
      </c>
      <c r="N1816" s="177">
        <f t="shared" ref="N1816" si="823">K1815-N1815</f>
        <v>0</v>
      </c>
      <c r="O1816" s="178">
        <f t="shared" ref="O1816" si="824">K1815-O1815</f>
        <v>0</v>
      </c>
      <c r="P1816" s="178">
        <f t="shared" ref="P1816" si="825">K1815-P1815</f>
        <v>0</v>
      </c>
      <c r="Q1816" s="178">
        <f t="shared" ref="Q1816" si="826">K1815-Q1815</f>
        <v>0</v>
      </c>
      <c r="R1816" s="179">
        <f t="shared" ref="R1816" si="827">K1815-R1815</f>
        <v>0</v>
      </c>
      <c r="S1816" s="180">
        <f t="shared" ref="S1816" si="828">L1815-S1815</f>
        <v>0</v>
      </c>
    </row>
    <row r="1817" spans="1:19">
      <c r="A1817" s="63"/>
      <c r="B1817" s="63"/>
      <c r="C1817" s="63"/>
      <c r="D1817" s="63"/>
      <c r="E1817" s="63"/>
      <c r="F1817" s="63"/>
      <c r="G1817" s="63"/>
      <c r="I1817" s="300" t="s">
        <v>795</v>
      </c>
      <c r="J1817" s="301"/>
      <c r="K1817" s="181"/>
      <c r="L1817" s="182"/>
      <c r="M1817" s="182"/>
      <c r="N1817" s="182"/>
      <c r="O1817" s="183"/>
      <c r="P1817" s="182"/>
      <c r="Q1817" s="182"/>
      <c r="R1817" s="182"/>
      <c r="S1817" s="182"/>
    </row>
    <row r="1818" spans="1:19">
      <c r="A1818" s="63"/>
      <c r="B1818" s="63"/>
      <c r="C1818" s="63"/>
      <c r="D1818" s="63"/>
      <c r="E1818" s="63"/>
      <c r="F1818" s="63"/>
      <c r="G1818" s="63"/>
      <c r="I1818" s="302" t="s">
        <v>796</v>
      </c>
      <c r="J1818" s="302"/>
      <c r="K1818" s="184"/>
      <c r="L1818" s="203"/>
      <c r="M1818" s="203"/>
      <c r="N1818" s="203"/>
      <c r="O1818" s="203"/>
      <c r="P1818" s="203"/>
      <c r="Q1818" s="203"/>
      <c r="R1818" s="203"/>
      <c r="S1818" s="203"/>
    </row>
    <row r="1819" spans="1:19">
      <c r="A1819" s="63"/>
      <c r="B1819" s="63"/>
      <c r="C1819" s="63"/>
      <c r="D1819" s="63"/>
      <c r="E1819" s="63"/>
      <c r="F1819" s="63"/>
      <c r="G1819" s="63"/>
      <c r="I1819" s="302" t="s">
        <v>797</v>
      </c>
      <c r="J1819" s="302"/>
      <c r="K1819" s="184"/>
      <c r="L1819" s="203"/>
      <c r="M1819" s="203"/>
      <c r="N1819" s="203"/>
      <c r="O1819" s="203"/>
      <c r="P1819" s="203"/>
      <c r="Q1819" s="203"/>
      <c r="R1819" s="203"/>
      <c r="S1819" s="203"/>
    </row>
    <row r="1820" spans="1:19">
      <c r="A1820" s="63"/>
      <c r="B1820" s="63"/>
      <c r="C1820" s="63"/>
      <c r="D1820" s="63"/>
      <c r="E1820" s="63"/>
      <c r="F1820" s="63"/>
      <c r="G1820" s="63"/>
      <c r="I1820" s="303" t="s">
        <v>798</v>
      </c>
      <c r="J1820" s="303"/>
      <c r="K1820" s="184"/>
      <c r="L1820" s="185"/>
      <c r="M1820" s="185"/>
      <c r="N1820" s="185"/>
      <c r="O1820" s="185"/>
      <c r="P1820" s="204"/>
      <c r="Q1820" s="204"/>
      <c r="R1820" s="204"/>
      <c r="S1820" s="204"/>
    </row>
    <row r="1821" spans="1:19">
      <c r="A1821" s="3" t="s">
        <v>801</v>
      </c>
      <c r="B1821" s="201" t="s">
        <v>802</v>
      </c>
      <c r="C1821" s="201" t="s">
        <v>803</v>
      </c>
      <c r="D1821" s="201" t="s">
        <v>119</v>
      </c>
      <c r="E1821" s="201" t="s">
        <v>148</v>
      </c>
      <c r="F1821" s="201" t="s">
        <v>806</v>
      </c>
      <c r="G1821" s="201" t="s">
        <v>81</v>
      </c>
      <c r="I1821" s="187"/>
      <c r="J1821" s="187"/>
      <c r="K1821" s="187"/>
      <c r="L1821" s="188"/>
      <c r="M1821" s="188"/>
      <c r="N1821" s="188"/>
      <c r="O1821" s="188"/>
      <c r="P1821" s="187"/>
      <c r="Q1821" s="187"/>
      <c r="R1821" s="187"/>
      <c r="S1821" s="187"/>
    </row>
    <row r="1822" spans="1:19">
      <c r="A1822" s="293">
        <v>44130</v>
      </c>
      <c r="B1822" s="161"/>
      <c r="C1822" s="162"/>
      <c r="D1822" s="162"/>
      <c r="E1822" s="162"/>
      <c r="F1822" s="162"/>
      <c r="G1822" s="163"/>
      <c r="I1822" s="191"/>
      <c r="J1822" s="190"/>
      <c r="K1822" s="190"/>
      <c r="L1822" s="190"/>
      <c r="M1822" s="190">
        <v>44130</v>
      </c>
      <c r="N1822" s="189" t="s">
        <v>864</v>
      </c>
      <c r="O1822" s="189"/>
      <c r="P1822" s="189"/>
      <c r="Q1822" s="189"/>
      <c r="R1822" s="189"/>
      <c r="S1822" s="189"/>
    </row>
    <row r="1823" spans="1:19">
      <c r="A1823" s="294"/>
      <c r="B1823" s="164"/>
      <c r="C1823" s="165"/>
      <c r="D1823" s="165"/>
      <c r="E1823" s="165"/>
      <c r="F1823" s="165"/>
      <c r="G1823" s="166"/>
      <c r="I1823" s="304"/>
      <c r="J1823" s="304"/>
      <c r="K1823" s="167"/>
      <c r="L1823" s="168"/>
      <c r="M1823" s="168"/>
      <c r="N1823" s="168"/>
      <c r="O1823" s="169"/>
      <c r="P1823" s="169"/>
      <c r="Q1823" s="169"/>
      <c r="R1823" s="161"/>
      <c r="S1823" s="161"/>
    </row>
    <row r="1824" spans="1:19">
      <c r="A1824" s="294"/>
      <c r="B1824" s="161"/>
      <c r="C1824" s="162"/>
      <c r="D1824" s="162"/>
      <c r="E1824" s="162"/>
      <c r="F1824" s="162"/>
      <c r="G1824" s="163"/>
      <c r="I1824" s="295" t="s">
        <v>782</v>
      </c>
      <c r="J1824" s="296"/>
      <c r="K1824" s="170"/>
      <c r="L1824" s="171"/>
      <c r="M1824" s="50"/>
      <c r="N1824" s="171"/>
      <c r="O1824" s="202"/>
      <c r="P1824" s="202"/>
      <c r="Q1824" s="202"/>
      <c r="R1824" s="162"/>
      <c r="S1824" s="162"/>
    </row>
    <row r="1825" spans="1:19">
      <c r="A1825" s="294"/>
      <c r="B1825" s="164"/>
      <c r="C1825" s="165"/>
      <c r="D1825" s="165"/>
      <c r="E1825" s="165"/>
      <c r="F1825" s="165"/>
      <c r="G1825" s="166"/>
      <c r="I1825" s="295" t="s">
        <v>783</v>
      </c>
      <c r="J1825" s="295"/>
      <c r="K1825" s="170"/>
      <c r="L1825" s="171"/>
      <c r="M1825" s="50"/>
      <c r="N1825" s="171"/>
      <c r="O1825" s="202"/>
      <c r="P1825" s="202"/>
      <c r="Q1825" s="202"/>
      <c r="R1825" s="162"/>
      <c r="S1825" s="162"/>
    </row>
    <row r="1826" spans="1:19">
      <c r="A1826" s="294"/>
      <c r="B1826" s="161"/>
      <c r="C1826" s="162"/>
      <c r="D1826" s="162"/>
      <c r="E1826" s="162"/>
      <c r="F1826" s="162"/>
      <c r="G1826" s="163"/>
      <c r="I1826" s="295" t="s">
        <v>784</v>
      </c>
      <c r="J1826" s="295"/>
      <c r="K1826" s="170"/>
      <c r="L1826" s="171"/>
      <c r="M1826" s="50"/>
      <c r="N1826" s="171"/>
      <c r="O1826" s="202"/>
      <c r="P1826" s="202"/>
      <c r="Q1826" s="202"/>
      <c r="R1826" s="162"/>
      <c r="S1826" s="162"/>
    </row>
    <row r="1827" spans="1:19">
      <c r="A1827" s="294"/>
      <c r="B1827" s="164"/>
      <c r="C1827" s="165"/>
      <c r="D1827" s="165"/>
      <c r="E1827" s="165"/>
      <c r="F1827" s="165"/>
      <c r="G1827" s="166"/>
      <c r="I1827" s="295" t="s">
        <v>785</v>
      </c>
      <c r="J1827" s="295"/>
      <c r="K1827" s="170"/>
      <c r="L1827" s="171"/>
      <c r="M1827" s="50"/>
      <c r="N1827" s="171"/>
      <c r="O1827" s="202"/>
      <c r="P1827" s="202"/>
      <c r="Q1827" s="202"/>
      <c r="R1827" s="162"/>
      <c r="S1827" s="162"/>
    </row>
    <row r="1828" spans="1:19">
      <c r="A1828" s="294"/>
      <c r="B1828" s="161"/>
      <c r="C1828" s="162"/>
      <c r="D1828" s="162"/>
      <c r="E1828" s="162"/>
      <c r="F1828" s="162"/>
      <c r="G1828" s="163"/>
      <c r="I1828" s="295" t="s">
        <v>786</v>
      </c>
      <c r="J1828" s="295"/>
      <c r="K1828" s="170"/>
      <c r="L1828" s="171"/>
      <c r="M1828" s="50"/>
      <c r="N1828" s="171"/>
      <c r="O1828" s="202"/>
      <c r="P1828" s="202"/>
      <c r="Q1828" s="202"/>
      <c r="R1828" s="162"/>
      <c r="S1828" s="162"/>
    </row>
    <row r="1829" spans="1:19">
      <c r="A1829" s="294"/>
      <c r="B1829" s="164"/>
      <c r="C1829" s="165"/>
      <c r="D1829" s="165"/>
      <c r="E1829" s="165"/>
      <c r="F1829" s="165"/>
      <c r="G1829" s="166"/>
      <c r="I1829" s="295" t="s">
        <v>787</v>
      </c>
      <c r="J1829" s="295"/>
      <c r="K1829" s="170"/>
      <c r="L1829" s="171"/>
      <c r="M1829" s="50"/>
      <c r="N1829" s="171"/>
      <c r="O1829" s="202"/>
      <c r="P1829" s="202"/>
      <c r="Q1829" s="202"/>
      <c r="R1829" s="162"/>
      <c r="S1829" s="162"/>
    </row>
    <row r="1830" spans="1:19">
      <c r="A1830" s="294"/>
      <c r="B1830" s="161"/>
      <c r="C1830" s="162"/>
      <c r="D1830" s="162"/>
      <c r="E1830" s="162"/>
      <c r="F1830" s="162"/>
      <c r="G1830" s="163"/>
      <c r="I1830" s="295" t="s">
        <v>788</v>
      </c>
      <c r="J1830" s="295"/>
      <c r="K1830" s="170"/>
      <c r="L1830" s="171"/>
      <c r="M1830" s="50"/>
      <c r="N1830" s="171"/>
      <c r="O1830" s="202"/>
      <c r="P1830" s="202"/>
      <c r="Q1830" s="202"/>
      <c r="R1830" s="162"/>
      <c r="S1830" s="162"/>
    </row>
    <row r="1831" spans="1:19">
      <c r="A1831" s="294"/>
      <c r="B1831" s="164"/>
      <c r="C1831" s="165"/>
      <c r="D1831" s="165"/>
      <c r="E1831" s="165"/>
      <c r="F1831" s="165"/>
      <c r="G1831" s="166"/>
      <c r="I1831" s="295" t="s">
        <v>789</v>
      </c>
      <c r="J1831" s="295"/>
      <c r="K1831" s="170"/>
      <c r="L1831" s="171"/>
      <c r="M1831" s="50"/>
      <c r="N1831" s="171"/>
      <c r="O1831" s="202"/>
      <c r="P1831" s="202"/>
      <c r="Q1831" s="202"/>
      <c r="R1831" s="162"/>
      <c r="S1831" s="162"/>
    </row>
    <row r="1832" spans="1:19">
      <c r="A1832" s="63"/>
      <c r="B1832" s="63"/>
      <c r="C1832" s="63"/>
      <c r="D1832" s="63"/>
      <c r="E1832" s="63"/>
      <c r="F1832" s="63"/>
      <c r="G1832" s="63"/>
      <c r="I1832" s="295" t="s">
        <v>790</v>
      </c>
      <c r="J1832" s="295"/>
      <c r="K1832" s="170"/>
      <c r="L1832" s="171"/>
      <c r="M1832" s="50"/>
      <c r="N1832" s="171"/>
      <c r="O1832" s="202"/>
      <c r="P1832" s="202"/>
      <c r="Q1832" s="202"/>
      <c r="R1832" s="162"/>
      <c r="S1832" s="162"/>
    </row>
    <row r="1833" spans="1:19">
      <c r="A1833" s="63"/>
      <c r="B1833" s="63"/>
      <c r="C1833" s="63"/>
      <c r="D1833" s="63"/>
      <c r="E1833" s="63"/>
      <c r="F1833" s="63"/>
      <c r="G1833" s="63"/>
      <c r="I1833" s="295" t="s">
        <v>791</v>
      </c>
      <c r="J1833" s="295"/>
      <c r="K1833" s="170"/>
      <c r="L1833" s="171"/>
      <c r="M1833" s="50"/>
      <c r="N1833" s="171"/>
      <c r="O1833" s="202"/>
      <c r="P1833" s="202"/>
      <c r="Q1833" s="202"/>
      <c r="R1833" s="162"/>
      <c r="S1833" s="162"/>
    </row>
    <row r="1834" spans="1:19">
      <c r="A1834" s="63"/>
      <c r="B1834" s="63"/>
      <c r="C1834" s="63"/>
      <c r="D1834" s="63"/>
      <c r="E1834" s="63"/>
      <c r="F1834" s="63"/>
      <c r="G1834" s="63"/>
      <c r="I1834" s="296" t="s">
        <v>792</v>
      </c>
      <c r="J1834" s="296"/>
      <c r="K1834" s="170"/>
      <c r="L1834" s="171"/>
      <c r="M1834" s="50"/>
      <c r="N1834" s="171"/>
      <c r="O1834" s="202"/>
      <c r="P1834" s="202"/>
      <c r="Q1834" s="202"/>
      <c r="R1834" s="162"/>
      <c r="S1834" s="162"/>
    </row>
    <row r="1835" spans="1:19" ht="17.25" thickBot="1">
      <c r="A1835" s="63"/>
      <c r="B1835" s="63"/>
      <c r="C1835" s="63"/>
      <c r="D1835" s="63"/>
      <c r="E1835" s="63"/>
      <c r="F1835" s="63"/>
      <c r="G1835" s="63"/>
      <c r="I1835" s="297" t="s">
        <v>793</v>
      </c>
      <c r="J1835" s="297"/>
      <c r="K1835" s="172">
        <f t="shared" ref="K1835:S1835" si="829">SUM(K1824:K1834)</f>
        <v>0</v>
      </c>
      <c r="L1835" s="205">
        <f t="shared" si="829"/>
        <v>0</v>
      </c>
      <c r="M1835" s="205">
        <f t="shared" si="829"/>
        <v>0</v>
      </c>
      <c r="N1835" s="205">
        <f t="shared" si="829"/>
        <v>0</v>
      </c>
      <c r="O1835" s="174">
        <f t="shared" si="829"/>
        <v>0</v>
      </c>
      <c r="P1835" s="174">
        <f t="shared" si="829"/>
        <v>0</v>
      </c>
      <c r="Q1835" s="174">
        <f t="shared" si="829"/>
        <v>0</v>
      </c>
      <c r="R1835" s="175">
        <f t="shared" si="829"/>
        <v>0</v>
      </c>
      <c r="S1835" s="175">
        <f t="shared" si="829"/>
        <v>0</v>
      </c>
    </row>
    <row r="1836" spans="1:19" ht="17.25" thickBot="1">
      <c r="A1836" s="63"/>
      <c r="B1836" s="63"/>
      <c r="C1836" s="63"/>
      <c r="D1836" s="63"/>
      <c r="E1836" s="63"/>
      <c r="F1836" s="63"/>
      <c r="G1836" s="63"/>
      <c r="I1836" s="298" t="s">
        <v>794</v>
      </c>
      <c r="J1836" s="299"/>
      <c r="K1836" s="176">
        <f t="shared" ref="K1836" si="830">S1815-K1835</f>
        <v>0</v>
      </c>
      <c r="L1836" s="177">
        <f t="shared" ref="L1836" si="831">K1835-L1835</f>
        <v>0</v>
      </c>
      <c r="M1836" s="177">
        <f t="shared" ref="M1836" si="832">K1835-M1835</f>
        <v>0</v>
      </c>
      <c r="N1836" s="177">
        <f t="shared" ref="N1836" si="833">K1835-N1835</f>
        <v>0</v>
      </c>
      <c r="O1836" s="178">
        <f t="shared" ref="O1836" si="834">K1835-O1835</f>
        <v>0</v>
      </c>
      <c r="P1836" s="178">
        <f t="shared" ref="P1836" si="835">K1835-P1835</f>
        <v>0</v>
      </c>
      <c r="Q1836" s="178">
        <f t="shared" ref="Q1836" si="836">K1835-Q1835</f>
        <v>0</v>
      </c>
      <c r="R1836" s="179">
        <f t="shared" ref="R1836" si="837">K1835-R1835</f>
        <v>0</v>
      </c>
      <c r="S1836" s="180">
        <f t="shared" ref="S1836" si="838">L1835-S1835</f>
        <v>0</v>
      </c>
    </row>
    <row r="1837" spans="1:19">
      <c r="A1837" s="63"/>
      <c r="B1837" s="63"/>
      <c r="C1837" s="63"/>
      <c r="D1837" s="63"/>
      <c r="E1837" s="63"/>
      <c r="F1837" s="63"/>
      <c r="G1837" s="63"/>
      <c r="I1837" s="300" t="s">
        <v>795</v>
      </c>
      <c r="J1837" s="301"/>
      <c r="K1837" s="181"/>
      <c r="L1837" s="182"/>
      <c r="M1837" s="182"/>
      <c r="N1837" s="182"/>
      <c r="O1837" s="183"/>
      <c r="P1837" s="182"/>
      <c r="Q1837" s="182"/>
      <c r="R1837" s="182"/>
      <c r="S1837" s="182"/>
    </row>
    <row r="1838" spans="1:19">
      <c r="A1838" s="63"/>
      <c r="B1838" s="63"/>
      <c r="C1838" s="63"/>
      <c r="D1838" s="63"/>
      <c r="E1838" s="63"/>
      <c r="F1838" s="63"/>
      <c r="G1838" s="63"/>
      <c r="I1838" s="302" t="s">
        <v>796</v>
      </c>
      <c r="J1838" s="302"/>
      <c r="K1838" s="184"/>
      <c r="L1838" s="203"/>
      <c r="M1838" s="203"/>
      <c r="N1838" s="203"/>
      <c r="O1838" s="203"/>
      <c r="P1838" s="203"/>
      <c r="Q1838" s="203"/>
      <c r="R1838" s="203"/>
      <c r="S1838" s="203"/>
    </row>
    <row r="1839" spans="1:19">
      <c r="A1839" s="63"/>
      <c r="B1839" s="63"/>
      <c r="C1839" s="63"/>
      <c r="D1839" s="63"/>
      <c r="E1839" s="63"/>
      <c r="F1839" s="63"/>
      <c r="G1839" s="63"/>
      <c r="I1839" s="302" t="s">
        <v>797</v>
      </c>
      <c r="J1839" s="302"/>
      <c r="K1839" s="184"/>
      <c r="L1839" s="203"/>
      <c r="M1839" s="203"/>
      <c r="N1839" s="203"/>
      <c r="O1839" s="203"/>
      <c r="P1839" s="203"/>
      <c r="Q1839" s="203"/>
      <c r="R1839" s="203"/>
      <c r="S1839" s="203"/>
    </row>
    <row r="1840" spans="1:19">
      <c r="A1840" s="63"/>
      <c r="B1840" s="63"/>
      <c r="C1840" s="63"/>
      <c r="D1840" s="63"/>
      <c r="E1840" s="63"/>
      <c r="F1840" s="63"/>
      <c r="G1840" s="63"/>
      <c r="I1840" s="303" t="s">
        <v>798</v>
      </c>
      <c r="J1840" s="303"/>
      <c r="K1840" s="184"/>
      <c r="L1840" s="185"/>
      <c r="M1840" s="185"/>
      <c r="N1840" s="185"/>
      <c r="O1840" s="185"/>
      <c r="P1840" s="204"/>
      <c r="Q1840" s="204"/>
      <c r="R1840" s="204"/>
      <c r="S1840" s="204"/>
    </row>
    <row r="1841" spans="1:19">
      <c r="A1841" s="3" t="s">
        <v>801</v>
      </c>
      <c r="B1841" s="201" t="s">
        <v>802</v>
      </c>
      <c r="C1841" s="201" t="s">
        <v>803</v>
      </c>
      <c r="D1841" s="201" t="s">
        <v>119</v>
      </c>
      <c r="E1841" s="201" t="s">
        <v>148</v>
      </c>
      <c r="F1841" s="201" t="s">
        <v>806</v>
      </c>
      <c r="G1841" s="201" t="s">
        <v>81</v>
      </c>
      <c r="I1841" s="187"/>
      <c r="J1841" s="187"/>
      <c r="K1841" s="187"/>
      <c r="L1841" s="188"/>
      <c r="M1841" s="188"/>
      <c r="N1841" s="188"/>
      <c r="O1841" s="188"/>
      <c r="P1841" s="187"/>
      <c r="Q1841" s="187"/>
      <c r="R1841" s="187"/>
      <c r="S1841" s="187"/>
    </row>
    <row r="1842" spans="1:19">
      <c r="A1842" s="293">
        <v>44131</v>
      </c>
      <c r="B1842" s="161"/>
      <c r="C1842" s="162"/>
      <c r="D1842" s="162"/>
      <c r="E1842" s="162"/>
      <c r="F1842" s="162"/>
      <c r="G1842" s="163"/>
      <c r="I1842" s="191"/>
      <c r="J1842" s="190"/>
      <c r="K1842" s="190"/>
      <c r="L1842" s="190"/>
      <c r="M1842" s="190">
        <v>44131</v>
      </c>
      <c r="N1842" s="189" t="s">
        <v>864</v>
      </c>
      <c r="O1842" s="189"/>
      <c r="P1842" s="189"/>
      <c r="Q1842" s="189"/>
      <c r="R1842" s="189"/>
      <c r="S1842" s="189"/>
    </row>
    <row r="1843" spans="1:19">
      <c r="A1843" s="294"/>
      <c r="B1843" s="164"/>
      <c r="C1843" s="165"/>
      <c r="D1843" s="165"/>
      <c r="E1843" s="165"/>
      <c r="F1843" s="165"/>
      <c r="G1843" s="166"/>
      <c r="I1843" s="304"/>
      <c r="J1843" s="304"/>
      <c r="K1843" s="167"/>
      <c r="L1843" s="168"/>
      <c r="M1843" s="168"/>
      <c r="N1843" s="168"/>
      <c r="O1843" s="169"/>
      <c r="P1843" s="169"/>
      <c r="Q1843" s="169"/>
      <c r="R1843" s="161"/>
      <c r="S1843" s="161"/>
    </row>
    <row r="1844" spans="1:19">
      <c r="A1844" s="294"/>
      <c r="B1844" s="161"/>
      <c r="C1844" s="162"/>
      <c r="D1844" s="162"/>
      <c r="E1844" s="162"/>
      <c r="F1844" s="162"/>
      <c r="G1844" s="163"/>
      <c r="I1844" s="295" t="s">
        <v>782</v>
      </c>
      <c r="J1844" s="296"/>
      <c r="K1844" s="170"/>
      <c r="L1844" s="171"/>
      <c r="M1844" s="50"/>
      <c r="N1844" s="171"/>
      <c r="O1844" s="202"/>
      <c r="P1844" s="202"/>
      <c r="Q1844" s="202"/>
      <c r="R1844" s="162"/>
      <c r="S1844" s="162"/>
    </row>
    <row r="1845" spans="1:19">
      <c r="A1845" s="294"/>
      <c r="B1845" s="164"/>
      <c r="C1845" s="165"/>
      <c r="D1845" s="165"/>
      <c r="E1845" s="165"/>
      <c r="F1845" s="165"/>
      <c r="G1845" s="166"/>
      <c r="I1845" s="295" t="s">
        <v>783</v>
      </c>
      <c r="J1845" s="295"/>
      <c r="K1845" s="170"/>
      <c r="L1845" s="171"/>
      <c r="M1845" s="50"/>
      <c r="N1845" s="171"/>
      <c r="O1845" s="202"/>
      <c r="P1845" s="202"/>
      <c r="Q1845" s="202"/>
      <c r="R1845" s="162"/>
      <c r="S1845" s="162"/>
    </row>
    <row r="1846" spans="1:19">
      <c r="A1846" s="294"/>
      <c r="B1846" s="161"/>
      <c r="C1846" s="162"/>
      <c r="D1846" s="162"/>
      <c r="E1846" s="162"/>
      <c r="F1846" s="162"/>
      <c r="G1846" s="163"/>
      <c r="I1846" s="295" t="s">
        <v>784</v>
      </c>
      <c r="J1846" s="295"/>
      <c r="K1846" s="170"/>
      <c r="L1846" s="171"/>
      <c r="M1846" s="50"/>
      <c r="N1846" s="171"/>
      <c r="O1846" s="202"/>
      <c r="P1846" s="202"/>
      <c r="Q1846" s="202"/>
      <c r="R1846" s="162"/>
      <c r="S1846" s="162"/>
    </row>
    <row r="1847" spans="1:19">
      <c r="A1847" s="294"/>
      <c r="B1847" s="164"/>
      <c r="C1847" s="165"/>
      <c r="D1847" s="165"/>
      <c r="E1847" s="165"/>
      <c r="F1847" s="165"/>
      <c r="G1847" s="166"/>
      <c r="I1847" s="295" t="s">
        <v>785</v>
      </c>
      <c r="J1847" s="295"/>
      <c r="K1847" s="170"/>
      <c r="L1847" s="171"/>
      <c r="M1847" s="50"/>
      <c r="N1847" s="171"/>
      <c r="O1847" s="202"/>
      <c r="P1847" s="202"/>
      <c r="Q1847" s="202"/>
      <c r="R1847" s="162"/>
      <c r="S1847" s="162"/>
    </row>
    <row r="1848" spans="1:19">
      <c r="A1848" s="294"/>
      <c r="B1848" s="161"/>
      <c r="C1848" s="162"/>
      <c r="D1848" s="162"/>
      <c r="E1848" s="162"/>
      <c r="F1848" s="162"/>
      <c r="G1848" s="163"/>
      <c r="I1848" s="295" t="s">
        <v>786</v>
      </c>
      <c r="J1848" s="295"/>
      <c r="K1848" s="170"/>
      <c r="L1848" s="171"/>
      <c r="M1848" s="50"/>
      <c r="N1848" s="171"/>
      <c r="O1848" s="202"/>
      <c r="P1848" s="202"/>
      <c r="Q1848" s="202"/>
      <c r="R1848" s="162"/>
      <c r="S1848" s="162"/>
    </row>
    <row r="1849" spans="1:19">
      <c r="A1849" s="294"/>
      <c r="B1849" s="164"/>
      <c r="C1849" s="165"/>
      <c r="D1849" s="165"/>
      <c r="E1849" s="165"/>
      <c r="F1849" s="165"/>
      <c r="G1849" s="166"/>
      <c r="I1849" s="295" t="s">
        <v>787</v>
      </c>
      <c r="J1849" s="295"/>
      <c r="K1849" s="170"/>
      <c r="L1849" s="171"/>
      <c r="M1849" s="50"/>
      <c r="N1849" s="171"/>
      <c r="O1849" s="202"/>
      <c r="P1849" s="202"/>
      <c r="Q1849" s="202"/>
      <c r="R1849" s="162"/>
      <c r="S1849" s="162"/>
    </row>
    <row r="1850" spans="1:19">
      <c r="A1850" s="294"/>
      <c r="B1850" s="161"/>
      <c r="C1850" s="162"/>
      <c r="D1850" s="162"/>
      <c r="E1850" s="162"/>
      <c r="F1850" s="162"/>
      <c r="G1850" s="163"/>
      <c r="I1850" s="295" t="s">
        <v>788</v>
      </c>
      <c r="J1850" s="295"/>
      <c r="K1850" s="170"/>
      <c r="L1850" s="171"/>
      <c r="M1850" s="50"/>
      <c r="N1850" s="171"/>
      <c r="O1850" s="202"/>
      <c r="P1850" s="202"/>
      <c r="Q1850" s="202"/>
      <c r="R1850" s="162"/>
      <c r="S1850" s="162"/>
    </row>
    <row r="1851" spans="1:19">
      <c r="A1851" s="294"/>
      <c r="B1851" s="164"/>
      <c r="C1851" s="165"/>
      <c r="D1851" s="165"/>
      <c r="E1851" s="165"/>
      <c r="F1851" s="165"/>
      <c r="G1851" s="166"/>
      <c r="I1851" s="295" t="s">
        <v>789</v>
      </c>
      <c r="J1851" s="295"/>
      <c r="K1851" s="170"/>
      <c r="L1851" s="171"/>
      <c r="M1851" s="50"/>
      <c r="N1851" s="171"/>
      <c r="O1851" s="202"/>
      <c r="P1851" s="202"/>
      <c r="Q1851" s="202"/>
      <c r="R1851" s="162"/>
      <c r="S1851" s="162"/>
    </row>
    <row r="1852" spans="1:19">
      <c r="A1852" s="63"/>
      <c r="B1852" s="63"/>
      <c r="C1852" s="63"/>
      <c r="D1852" s="63"/>
      <c r="E1852" s="63"/>
      <c r="F1852" s="63"/>
      <c r="G1852" s="63"/>
      <c r="I1852" s="295" t="s">
        <v>790</v>
      </c>
      <c r="J1852" s="295"/>
      <c r="K1852" s="170"/>
      <c r="L1852" s="171"/>
      <c r="M1852" s="50"/>
      <c r="N1852" s="171"/>
      <c r="O1852" s="202"/>
      <c r="P1852" s="202"/>
      <c r="Q1852" s="202"/>
      <c r="R1852" s="162"/>
      <c r="S1852" s="162"/>
    </row>
    <row r="1853" spans="1:19">
      <c r="A1853" s="63"/>
      <c r="B1853" s="63"/>
      <c r="C1853" s="63"/>
      <c r="D1853" s="63"/>
      <c r="E1853" s="63"/>
      <c r="F1853" s="63"/>
      <c r="G1853" s="63"/>
      <c r="I1853" s="295" t="s">
        <v>791</v>
      </c>
      <c r="J1853" s="295"/>
      <c r="K1853" s="170"/>
      <c r="L1853" s="171"/>
      <c r="M1853" s="50"/>
      <c r="N1853" s="171"/>
      <c r="O1853" s="202"/>
      <c r="P1853" s="202"/>
      <c r="Q1853" s="202"/>
      <c r="R1853" s="162"/>
      <c r="S1853" s="162"/>
    </row>
    <row r="1854" spans="1:19">
      <c r="A1854" s="63"/>
      <c r="B1854" s="63"/>
      <c r="C1854" s="63"/>
      <c r="D1854" s="63"/>
      <c r="E1854" s="63"/>
      <c r="F1854" s="63"/>
      <c r="G1854" s="63"/>
      <c r="I1854" s="296" t="s">
        <v>792</v>
      </c>
      <c r="J1854" s="296"/>
      <c r="K1854" s="170"/>
      <c r="L1854" s="171"/>
      <c r="M1854" s="50"/>
      <c r="N1854" s="171"/>
      <c r="O1854" s="202"/>
      <c r="P1854" s="202"/>
      <c r="Q1854" s="202"/>
      <c r="R1854" s="162"/>
      <c r="S1854" s="162"/>
    </row>
    <row r="1855" spans="1:19" ht="17.25" thickBot="1">
      <c r="A1855" s="63"/>
      <c r="B1855" s="63"/>
      <c r="C1855" s="63"/>
      <c r="D1855" s="63"/>
      <c r="E1855" s="63"/>
      <c r="F1855" s="63"/>
      <c r="G1855" s="63"/>
      <c r="I1855" s="297" t="s">
        <v>793</v>
      </c>
      <c r="J1855" s="297"/>
      <c r="K1855" s="172">
        <f t="shared" ref="K1855:S1855" si="839">SUM(K1844:K1854)</f>
        <v>0</v>
      </c>
      <c r="L1855" s="205">
        <f t="shared" si="839"/>
        <v>0</v>
      </c>
      <c r="M1855" s="205">
        <f t="shared" si="839"/>
        <v>0</v>
      </c>
      <c r="N1855" s="205">
        <f t="shared" si="839"/>
        <v>0</v>
      </c>
      <c r="O1855" s="174">
        <f t="shared" si="839"/>
        <v>0</v>
      </c>
      <c r="P1855" s="174">
        <f t="shared" si="839"/>
        <v>0</v>
      </c>
      <c r="Q1855" s="174">
        <f t="shared" si="839"/>
        <v>0</v>
      </c>
      <c r="R1855" s="175">
        <f t="shared" si="839"/>
        <v>0</v>
      </c>
      <c r="S1855" s="175">
        <f t="shared" si="839"/>
        <v>0</v>
      </c>
    </row>
    <row r="1856" spans="1:19" ht="17.25" thickBot="1">
      <c r="A1856" s="63"/>
      <c r="B1856" s="63"/>
      <c r="C1856" s="63"/>
      <c r="D1856" s="63"/>
      <c r="E1856" s="63"/>
      <c r="F1856" s="63"/>
      <c r="G1856" s="63"/>
      <c r="I1856" s="298" t="s">
        <v>794</v>
      </c>
      <c r="J1856" s="299"/>
      <c r="K1856" s="176">
        <f t="shared" ref="K1856" si="840">S1835-K1855</f>
        <v>0</v>
      </c>
      <c r="L1856" s="177">
        <f t="shared" ref="L1856" si="841">K1855-L1855</f>
        <v>0</v>
      </c>
      <c r="M1856" s="177">
        <f t="shared" ref="M1856" si="842">K1855-M1855</f>
        <v>0</v>
      </c>
      <c r="N1856" s="177">
        <f t="shared" ref="N1856" si="843">K1855-N1855</f>
        <v>0</v>
      </c>
      <c r="O1856" s="178">
        <f t="shared" ref="O1856" si="844">K1855-O1855</f>
        <v>0</v>
      </c>
      <c r="P1856" s="178">
        <f t="shared" ref="P1856" si="845">K1855-P1855</f>
        <v>0</v>
      </c>
      <c r="Q1856" s="178">
        <f t="shared" ref="Q1856" si="846">K1855-Q1855</f>
        <v>0</v>
      </c>
      <c r="R1856" s="179">
        <f t="shared" ref="R1856" si="847">K1855-R1855</f>
        <v>0</v>
      </c>
      <c r="S1856" s="180">
        <f t="shared" ref="S1856" si="848">L1855-S1855</f>
        <v>0</v>
      </c>
    </row>
    <row r="1857" spans="1:19">
      <c r="A1857" s="63"/>
      <c r="B1857" s="63"/>
      <c r="C1857" s="63"/>
      <c r="D1857" s="63"/>
      <c r="E1857" s="63"/>
      <c r="F1857" s="63"/>
      <c r="G1857" s="63"/>
      <c r="I1857" s="300" t="s">
        <v>795</v>
      </c>
      <c r="J1857" s="301"/>
      <c r="K1857" s="181"/>
      <c r="L1857" s="182"/>
      <c r="M1857" s="182"/>
      <c r="N1857" s="182"/>
      <c r="O1857" s="183"/>
      <c r="P1857" s="182"/>
      <c r="Q1857" s="182"/>
      <c r="R1857" s="182"/>
      <c r="S1857" s="182"/>
    </row>
    <row r="1858" spans="1:19">
      <c r="A1858" s="63"/>
      <c r="B1858" s="63"/>
      <c r="C1858" s="63"/>
      <c r="D1858" s="63"/>
      <c r="E1858" s="63"/>
      <c r="F1858" s="63"/>
      <c r="G1858" s="63"/>
      <c r="I1858" s="302" t="s">
        <v>796</v>
      </c>
      <c r="J1858" s="302"/>
      <c r="K1858" s="184"/>
      <c r="L1858" s="203"/>
      <c r="M1858" s="203"/>
      <c r="N1858" s="203"/>
      <c r="O1858" s="203"/>
      <c r="P1858" s="203"/>
      <c r="Q1858" s="203"/>
      <c r="R1858" s="203"/>
      <c r="S1858" s="203"/>
    </row>
    <row r="1859" spans="1:19">
      <c r="A1859" s="63"/>
      <c r="B1859" s="63"/>
      <c r="C1859" s="63"/>
      <c r="D1859" s="63"/>
      <c r="E1859" s="63"/>
      <c r="F1859" s="63"/>
      <c r="G1859" s="63"/>
      <c r="I1859" s="302" t="s">
        <v>797</v>
      </c>
      <c r="J1859" s="302"/>
      <c r="K1859" s="184"/>
      <c r="L1859" s="203"/>
      <c r="M1859" s="203"/>
      <c r="N1859" s="203"/>
      <c r="O1859" s="203"/>
      <c r="P1859" s="203"/>
      <c r="Q1859" s="203"/>
      <c r="R1859" s="203"/>
      <c r="S1859" s="203"/>
    </row>
    <row r="1860" spans="1:19">
      <c r="A1860" s="63"/>
      <c r="B1860" s="63"/>
      <c r="C1860" s="63"/>
      <c r="D1860" s="63"/>
      <c r="E1860" s="63"/>
      <c r="F1860" s="63"/>
      <c r="G1860" s="63"/>
      <c r="I1860" s="303" t="s">
        <v>798</v>
      </c>
      <c r="J1860" s="303"/>
      <c r="K1860" s="184"/>
      <c r="L1860" s="185"/>
      <c r="M1860" s="185"/>
      <c r="N1860" s="185"/>
      <c r="O1860" s="185"/>
      <c r="P1860" s="204"/>
      <c r="Q1860" s="204"/>
      <c r="R1860" s="204"/>
      <c r="S1860" s="204"/>
    </row>
    <row r="1861" spans="1:19">
      <c r="A1861" s="3" t="s">
        <v>801</v>
      </c>
      <c r="B1861" s="201" t="s">
        <v>802</v>
      </c>
      <c r="C1861" s="201" t="s">
        <v>803</v>
      </c>
      <c r="D1861" s="201" t="s">
        <v>119</v>
      </c>
      <c r="E1861" s="201" t="s">
        <v>148</v>
      </c>
      <c r="F1861" s="201" t="s">
        <v>806</v>
      </c>
      <c r="G1861" s="201" t="s">
        <v>81</v>
      </c>
      <c r="I1861" s="187"/>
      <c r="J1861" s="187"/>
      <c r="K1861" s="187"/>
      <c r="L1861" s="188"/>
      <c r="M1861" s="188"/>
      <c r="N1861" s="188"/>
      <c r="O1861" s="188"/>
      <c r="P1861" s="187"/>
      <c r="Q1861" s="187"/>
      <c r="R1861" s="187"/>
      <c r="S1861" s="187"/>
    </row>
    <row r="1862" spans="1:19">
      <c r="A1862" s="293">
        <v>44132</v>
      </c>
      <c r="B1862" s="161"/>
      <c r="C1862" s="162"/>
      <c r="D1862" s="162"/>
      <c r="E1862" s="162"/>
      <c r="F1862" s="162"/>
      <c r="G1862" s="163"/>
      <c r="I1862" s="191"/>
      <c r="J1862" s="190"/>
      <c r="K1862" s="190"/>
      <c r="L1862" s="190"/>
      <c r="M1862" s="190">
        <v>44132</v>
      </c>
      <c r="N1862" s="189" t="s">
        <v>864</v>
      </c>
      <c r="O1862" s="189"/>
      <c r="P1862" s="189"/>
      <c r="Q1862" s="189"/>
      <c r="R1862" s="189"/>
      <c r="S1862" s="189"/>
    </row>
    <row r="1863" spans="1:19">
      <c r="A1863" s="294"/>
      <c r="B1863" s="164"/>
      <c r="C1863" s="165"/>
      <c r="D1863" s="165"/>
      <c r="E1863" s="165"/>
      <c r="F1863" s="165"/>
      <c r="G1863" s="166"/>
      <c r="I1863" s="304"/>
      <c r="J1863" s="304"/>
      <c r="K1863" s="167"/>
      <c r="L1863" s="168"/>
      <c r="M1863" s="168"/>
      <c r="N1863" s="168"/>
      <c r="O1863" s="169"/>
      <c r="P1863" s="169"/>
      <c r="Q1863" s="169"/>
      <c r="R1863" s="161"/>
      <c r="S1863" s="161"/>
    </row>
    <row r="1864" spans="1:19">
      <c r="A1864" s="294"/>
      <c r="B1864" s="161"/>
      <c r="C1864" s="162"/>
      <c r="D1864" s="162"/>
      <c r="E1864" s="162"/>
      <c r="F1864" s="162"/>
      <c r="G1864" s="163"/>
      <c r="I1864" s="295" t="s">
        <v>782</v>
      </c>
      <c r="J1864" s="296"/>
      <c r="K1864" s="170"/>
      <c r="L1864" s="171"/>
      <c r="M1864" s="50"/>
      <c r="N1864" s="171"/>
      <c r="O1864" s="202"/>
      <c r="P1864" s="202"/>
      <c r="Q1864" s="202"/>
      <c r="R1864" s="162"/>
      <c r="S1864" s="162"/>
    </row>
    <row r="1865" spans="1:19">
      <c r="A1865" s="294"/>
      <c r="B1865" s="164"/>
      <c r="C1865" s="165"/>
      <c r="D1865" s="165"/>
      <c r="E1865" s="165"/>
      <c r="F1865" s="165"/>
      <c r="G1865" s="166"/>
      <c r="I1865" s="295" t="s">
        <v>783</v>
      </c>
      <c r="J1865" s="295"/>
      <c r="K1865" s="170"/>
      <c r="L1865" s="171"/>
      <c r="M1865" s="50"/>
      <c r="N1865" s="171"/>
      <c r="O1865" s="202"/>
      <c r="P1865" s="202"/>
      <c r="Q1865" s="202"/>
      <c r="R1865" s="162"/>
      <c r="S1865" s="162"/>
    </row>
    <row r="1866" spans="1:19">
      <c r="A1866" s="294"/>
      <c r="B1866" s="161"/>
      <c r="C1866" s="162"/>
      <c r="D1866" s="162"/>
      <c r="E1866" s="162"/>
      <c r="F1866" s="162"/>
      <c r="G1866" s="163"/>
      <c r="I1866" s="295" t="s">
        <v>784</v>
      </c>
      <c r="J1866" s="295"/>
      <c r="K1866" s="170"/>
      <c r="L1866" s="171"/>
      <c r="M1866" s="50"/>
      <c r="N1866" s="171"/>
      <c r="O1866" s="202"/>
      <c r="P1866" s="202"/>
      <c r="Q1866" s="202"/>
      <c r="R1866" s="162"/>
      <c r="S1866" s="162"/>
    </row>
    <row r="1867" spans="1:19">
      <c r="A1867" s="294"/>
      <c r="B1867" s="164"/>
      <c r="C1867" s="165"/>
      <c r="D1867" s="165"/>
      <c r="E1867" s="165"/>
      <c r="F1867" s="165"/>
      <c r="G1867" s="166"/>
      <c r="I1867" s="295" t="s">
        <v>785</v>
      </c>
      <c r="J1867" s="295"/>
      <c r="K1867" s="170"/>
      <c r="L1867" s="171"/>
      <c r="M1867" s="50"/>
      <c r="N1867" s="171"/>
      <c r="O1867" s="202"/>
      <c r="P1867" s="202"/>
      <c r="Q1867" s="202"/>
      <c r="R1867" s="162"/>
      <c r="S1867" s="162"/>
    </row>
    <row r="1868" spans="1:19">
      <c r="A1868" s="294"/>
      <c r="B1868" s="161"/>
      <c r="C1868" s="162"/>
      <c r="D1868" s="162"/>
      <c r="E1868" s="162"/>
      <c r="F1868" s="162"/>
      <c r="G1868" s="163"/>
      <c r="I1868" s="295" t="s">
        <v>786</v>
      </c>
      <c r="J1868" s="295"/>
      <c r="K1868" s="170"/>
      <c r="L1868" s="171"/>
      <c r="M1868" s="50"/>
      <c r="N1868" s="171"/>
      <c r="O1868" s="202"/>
      <c r="P1868" s="202"/>
      <c r="Q1868" s="202"/>
      <c r="R1868" s="162"/>
      <c r="S1868" s="162"/>
    </row>
    <row r="1869" spans="1:19">
      <c r="A1869" s="294"/>
      <c r="B1869" s="164"/>
      <c r="C1869" s="165"/>
      <c r="D1869" s="165"/>
      <c r="E1869" s="165"/>
      <c r="F1869" s="165"/>
      <c r="G1869" s="166"/>
      <c r="I1869" s="295" t="s">
        <v>787</v>
      </c>
      <c r="J1869" s="295"/>
      <c r="K1869" s="170"/>
      <c r="L1869" s="171"/>
      <c r="M1869" s="50"/>
      <c r="N1869" s="171"/>
      <c r="O1869" s="202"/>
      <c r="P1869" s="202"/>
      <c r="Q1869" s="202"/>
      <c r="R1869" s="162"/>
      <c r="S1869" s="162"/>
    </row>
    <row r="1870" spans="1:19">
      <c r="A1870" s="294"/>
      <c r="B1870" s="161"/>
      <c r="C1870" s="162"/>
      <c r="D1870" s="162"/>
      <c r="E1870" s="162"/>
      <c r="F1870" s="162"/>
      <c r="G1870" s="163"/>
      <c r="I1870" s="295" t="s">
        <v>788</v>
      </c>
      <c r="J1870" s="295"/>
      <c r="K1870" s="170"/>
      <c r="L1870" s="171"/>
      <c r="M1870" s="50"/>
      <c r="N1870" s="171"/>
      <c r="O1870" s="202"/>
      <c r="P1870" s="202"/>
      <c r="Q1870" s="202"/>
      <c r="R1870" s="162"/>
      <c r="S1870" s="162"/>
    </row>
    <row r="1871" spans="1:19">
      <c r="A1871" s="294"/>
      <c r="B1871" s="164"/>
      <c r="C1871" s="165"/>
      <c r="D1871" s="165"/>
      <c r="E1871" s="165"/>
      <c r="F1871" s="165"/>
      <c r="G1871" s="166"/>
      <c r="I1871" s="295" t="s">
        <v>789</v>
      </c>
      <c r="J1871" s="295"/>
      <c r="K1871" s="170"/>
      <c r="L1871" s="171"/>
      <c r="M1871" s="50"/>
      <c r="N1871" s="171"/>
      <c r="O1871" s="202"/>
      <c r="P1871" s="202"/>
      <c r="Q1871" s="202"/>
      <c r="R1871" s="162"/>
      <c r="S1871" s="162"/>
    </row>
    <row r="1872" spans="1:19">
      <c r="A1872" s="63"/>
      <c r="B1872" s="63"/>
      <c r="C1872" s="63"/>
      <c r="D1872" s="63"/>
      <c r="E1872" s="63"/>
      <c r="F1872" s="63"/>
      <c r="G1872" s="63"/>
      <c r="I1872" s="295" t="s">
        <v>790</v>
      </c>
      <c r="J1872" s="295"/>
      <c r="K1872" s="170"/>
      <c r="L1872" s="171"/>
      <c r="M1872" s="50"/>
      <c r="N1872" s="171"/>
      <c r="O1872" s="202"/>
      <c r="P1872" s="202"/>
      <c r="Q1872" s="202"/>
      <c r="R1872" s="162"/>
      <c r="S1872" s="162"/>
    </row>
    <row r="1873" spans="1:19">
      <c r="A1873" s="63"/>
      <c r="B1873" s="63"/>
      <c r="C1873" s="63"/>
      <c r="D1873" s="63"/>
      <c r="E1873" s="63"/>
      <c r="F1873" s="63"/>
      <c r="G1873" s="63"/>
      <c r="I1873" s="295" t="s">
        <v>791</v>
      </c>
      <c r="J1873" s="295"/>
      <c r="K1873" s="170"/>
      <c r="L1873" s="171"/>
      <c r="M1873" s="50"/>
      <c r="N1873" s="171"/>
      <c r="O1873" s="202"/>
      <c r="P1873" s="202"/>
      <c r="Q1873" s="202"/>
      <c r="R1873" s="162"/>
      <c r="S1873" s="162"/>
    </row>
    <row r="1874" spans="1:19">
      <c r="A1874" s="63"/>
      <c r="B1874" s="63"/>
      <c r="C1874" s="63"/>
      <c r="D1874" s="63"/>
      <c r="E1874" s="63"/>
      <c r="F1874" s="63"/>
      <c r="G1874" s="63"/>
      <c r="I1874" s="296" t="s">
        <v>792</v>
      </c>
      <c r="J1874" s="296"/>
      <c r="K1874" s="170"/>
      <c r="L1874" s="171"/>
      <c r="M1874" s="50"/>
      <c r="N1874" s="171"/>
      <c r="O1874" s="202"/>
      <c r="P1874" s="202"/>
      <c r="Q1874" s="202"/>
      <c r="R1874" s="162"/>
      <c r="S1874" s="162"/>
    </row>
    <row r="1875" spans="1:19" ht="17.25" thickBot="1">
      <c r="A1875" s="63"/>
      <c r="B1875" s="63"/>
      <c r="C1875" s="63"/>
      <c r="D1875" s="63"/>
      <c r="E1875" s="63"/>
      <c r="F1875" s="63"/>
      <c r="G1875" s="63"/>
      <c r="I1875" s="297" t="s">
        <v>793</v>
      </c>
      <c r="J1875" s="297"/>
      <c r="K1875" s="172">
        <f t="shared" ref="K1875:S1875" si="849">SUM(K1864:K1874)</f>
        <v>0</v>
      </c>
      <c r="L1875" s="205">
        <f t="shared" si="849"/>
        <v>0</v>
      </c>
      <c r="M1875" s="205">
        <f t="shared" si="849"/>
        <v>0</v>
      </c>
      <c r="N1875" s="205">
        <f t="shared" si="849"/>
        <v>0</v>
      </c>
      <c r="O1875" s="174">
        <f t="shared" si="849"/>
        <v>0</v>
      </c>
      <c r="P1875" s="174">
        <f t="shared" si="849"/>
        <v>0</v>
      </c>
      <c r="Q1875" s="174">
        <f t="shared" si="849"/>
        <v>0</v>
      </c>
      <c r="R1875" s="175">
        <f t="shared" si="849"/>
        <v>0</v>
      </c>
      <c r="S1875" s="175">
        <f t="shared" si="849"/>
        <v>0</v>
      </c>
    </row>
    <row r="1876" spans="1:19" ht="17.25" thickBot="1">
      <c r="A1876" s="63"/>
      <c r="B1876" s="63"/>
      <c r="C1876" s="63"/>
      <c r="D1876" s="63"/>
      <c r="E1876" s="63"/>
      <c r="F1876" s="63"/>
      <c r="G1876" s="63"/>
      <c r="I1876" s="298" t="s">
        <v>794</v>
      </c>
      <c r="J1876" s="299"/>
      <c r="K1876" s="176">
        <f t="shared" ref="K1876" si="850">S1855-K1875</f>
        <v>0</v>
      </c>
      <c r="L1876" s="177">
        <f t="shared" ref="L1876" si="851">K1875-L1875</f>
        <v>0</v>
      </c>
      <c r="M1876" s="177">
        <f t="shared" ref="M1876" si="852">K1875-M1875</f>
        <v>0</v>
      </c>
      <c r="N1876" s="177">
        <f t="shared" ref="N1876" si="853">K1875-N1875</f>
        <v>0</v>
      </c>
      <c r="O1876" s="178">
        <f t="shared" ref="O1876" si="854">K1875-O1875</f>
        <v>0</v>
      </c>
      <c r="P1876" s="178">
        <f t="shared" ref="P1876" si="855">K1875-P1875</f>
        <v>0</v>
      </c>
      <c r="Q1876" s="178">
        <f t="shared" ref="Q1876" si="856">K1875-Q1875</f>
        <v>0</v>
      </c>
      <c r="R1876" s="179">
        <f t="shared" ref="R1876" si="857">K1875-R1875</f>
        <v>0</v>
      </c>
      <c r="S1876" s="180">
        <f t="shared" ref="S1876" si="858">L1875-S1875</f>
        <v>0</v>
      </c>
    </row>
    <row r="1877" spans="1:19">
      <c r="A1877" s="63"/>
      <c r="B1877" s="63"/>
      <c r="C1877" s="63"/>
      <c r="D1877" s="63"/>
      <c r="E1877" s="63"/>
      <c r="F1877" s="63"/>
      <c r="G1877" s="63"/>
      <c r="I1877" s="300" t="s">
        <v>795</v>
      </c>
      <c r="J1877" s="301"/>
      <c r="K1877" s="181"/>
      <c r="L1877" s="182"/>
      <c r="M1877" s="182"/>
      <c r="N1877" s="182"/>
      <c r="O1877" s="183"/>
      <c r="P1877" s="182"/>
      <c r="Q1877" s="182"/>
      <c r="R1877" s="182"/>
      <c r="S1877" s="182"/>
    </row>
    <row r="1878" spans="1:19">
      <c r="A1878" s="63"/>
      <c r="B1878" s="63"/>
      <c r="C1878" s="63"/>
      <c r="D1878" s="63"/>
      <c r="E1878" s="63"/>
      <c r="F1878" s="63"/>
      <c r="G1878" s="63"/>
      <c r="I1878" s="302" t="s">
        <v>796</v>
      </c>
      <c r="J1878" s="302"/>
      <c r="K1878" s="184"/>
      <c r="L1878" s="203"/>
      <c r="M1878" s="203"/>
      <c r="N1878" s="203"/>
      <c r="O1878" s="203"/>
      <c r="P1878" s="203"/>
      <c r="Q1878" s="203"/>
      <c r="R1878" s="203"/>
      <c r="S1878" s="203"/>
    </row>
    <row r="1879" spans="1:19">
      <c r="A1879" s="63"/>
      <c r="B1879" s="63"/>
      <c r="C1879" s="63"/>
      <c r="D1879" s="63"/>
      <c r="E1879" s="63"/>
      <c r="F1879" s="63"/>
      <c r="G1879" s="63"/>
      <c r="I1879" s="302" t="s">
        <v>797</v>
      </c>
      <c r="J1879" s="302"/>
      <c r="K1879" s="184"/>
      <c r="L1879" s="203"/>
      <c r="M1879" s="203"/>
      <c r="N1879" s="203"/>
      <c r="O1879" s="203"/>
      <c r="P1879" s="203"/>
      <c r="Q1879" s="203"/>
      <c r="R1879" s="203"/>
      <c r="S1879" s="203"/>
    </row>
    <row r="1880" spans="1:19">
      <c r="A1880" s="63"/>
      <c r="B1880" s="63"/>
      <c r="C1880" s="63"/>
      <c r="D1880" s="63"/>
      <c r="E1880" s="63"/>
      <c r="F1880" s="63"/>
      <c r="G1880" s="63"/>
      <c r="I1880" s="303" t="s">
        <v>798</v>
      </c>
      <c r="J1880" s="303"/>
      <c r="K1880" s="184"/>
      <c r="L1880" s="185"/>
      <c r="M1880" s="185"/>
      <c r="N1880" s="185"/>
      <c r="O1880" s="185"/>
      <c r="P1880" s="204"/>
      <c r="Q1880" s="204"/>
      <c r="R1880" s="204"/>
      <c r="S1880" s="204"/>
    </row>
    <row r="1881" spans="1:19">
      <c r="A1881" s="3" t="s">
        <v>801</v>
      </c>
      <c r="B1881" s="201" t="s">
        <v>802</v>
      </c>
      <c r="C1881" s="201" t="s">
        <v>803</v>
      </c>
      <c r="D1881" s="201" t="s">
        <v>119</v>
      </c>
      <c r="E1881" s="201" t="s">
        <v>148</v>
      </c>
      <c r="F1881" s="201" t="s">
        <v>806</v>
      </c>
      <c r="G1881" s="201" t="s">
        <v>81</v>
      </c>
      <c r="I1881" s="187"/>
      <c r="J1881" s="187"/>
      <c r="K1881" s="187"/>
      <c r="L1881" s="188"/>
      <c r="M1881" s="188"/>
      <c r="N1881" s="188"/>
      <c r="O1881" s="188"/>
      <c r="P1881" s="187"/>
      <c r="Q1881" s="187"/>
      <c r="R1881" s="187"/>
      <c r="S1881" s="187"/>
    </row>
    <row r="1882" spans="1:19">
      <c r="A1882" s="293">
        <v>44133</v>
      </c>
      <c r="B1882" s="161"/>
      <c r="C1882" s="162"/>
      <c r="D1882" s="162"/>
      <c r="E1882" s="162"/>
      <c r="F1882" s="162"/>
      <c r="G1882" s="163"/>
      <c r="I1882" s="191"/>
      <c r="J1882" s="190"/>
      <c r="K1882" s="190"/>
      <c r="L1882" s="190"/>
      <c r="M1882" s="190">
        <v>44133</v>
      </c>
      <c r="N1882" s="189" t="s">
        <v>864</v>
      </c>
      <c r="O1882" s="189"/>
      <c r="P1882" s="189"/>
      <c r="Q1882" s="189"/>
      <c r="R1882" s="189"/>
      <c r="S1882" s="189"/>
    </row>
    <row r="1883" spans="1:19">
      <c r="A1883" s="294"/>
      <c r="B1883" s="164"/>
      <c r="C1883" s="165"/>
      <c r="D1883" s="165"/>
      <c r="E1883" s="165"/>
      <c r="F1883" s="165"/>
      <c r="G1883" s="166"/>
      <c r="I1883" s="304"/>
      <c r="J1883" s="304"/>
      <c r="K1883" s="167"/>
      <c r="L1883" s="168"/>
      <c r="M1883" s="168"/>
      <c r="N1883" s="168"/>
      <c r="O1883" s="169"/>
      <c r="P1883" s="169"/>
      <c r="Q1883" s="169"/>
      <c r="R1883" s="161"/>
      <c r="S1883" s="161"/>
    </row>
    <row r="1884" spans="1:19">
      <c r="A1884" s="294"/>
      <c r="B1884" s="161"/>
      <c r="C1884" s="162"/>
      <c r="D1884" s="162"/>
      <c r="E1884" s="162"/>
      <c r="F1884" s="162"/>
      <c r="G1884" s="163"/>
      <c r="I1884" s="295" t="s">
        <v>782</v>
      </c>
      <c r="J1884" s="296"/>
      <c r="K1884" s="170"/>
      <c r="L1884" s="171"/>
      <c r="M1884" s="50"/>
      <c r="N1884" s="171"/>
      <c r="O1884" s="202"/>
      <c r="P1884" s="202"/>
      <c r="Q1884" s="202"/>
      <c r="R1884" s="162"/>
      <c r="S1884" s="162"/>
    </row>
    <row r="1885" spans="1:19">
      <c r="A1885" s="294"/>
      <c r="B1885" s="164"/>
      <c r="C1885" s="165"/>
      <c r="D1885" s="165"/>
      <c r="E1885" s="165"/>
      <c r="F1885" s="165"/>
      <c r="G1885" s="166"/>
      <c r="I1885" s="295" t="s">
        <v>783</v>
      </c>
      <c r="J1885" s="295"/>
      <c r="K1885" s="170"/>
      <c r="L1885" s="171"/>
      <c r="M1885" s="50"/>
      <c r="N1885" s="171"/>
      <c r="O1885" s="202"/>
      <c r="P1885" s="202"/>
      <c r="Q1885" s="202"/>
      <c r="R1885" s="162"/>
      <c r="S1885" s="162"/>
    </row>
    <row r="1886" spans="1:19">
      <c r="A1886" s="294"/>
      <c r="B1886" s="161"/>
      <c r="C1886" s="162"/>
      <c r="D1886" s="162"/>
      <c r="E1886" s="162"/>
      <c r="F1886" s="162"/>
      <c r="G1886" s="163"/>
      <c r="I1886" s="295" t="s">
        <v>784</v>
      </c>
      <c r="J1886" s="295"/>
      <c r="K1886" s="170"/>
      <c r="L1886" s="171"/>
      <c r="M1886" s="50"/>
      <c r="N1886" s="171"/>
      <c r="O1886" s="202"/>
      <c r="P1886" s="202"/>
      <c r="Q1886" s="202"/>
      <c r="R1886" s="162"/>
      <c r="S1886" s="162"/>
    </row>
    <row r="1887" spans="1:19">
      <c r="A1887" s="294"/>
      <c r="B1887" s="164"/>
      <c r="C1887" s="165"/>
      <c r="D1887" s="165"/>
      <c r="E1887" s="165"/>
      <c r="F1887" s="165"/>
      <c r="G1887" s="166"/>
      <c r="I1887" s="295" t="s">
        <v>785</v>
      </c>
      <c r="J1887" s="295"/>
      <c r="K1887" s="170"/>
      <c r="L1887" s="171"/>
      <c r="M1887" s="50"/>
      <c r="N1887" s="171"/>
      <c r="O1887" s="202"/>
      <c r="P1887" s="202"/>
      <c r="Q1887" s="202"/>
      <c r="R1887" s="162"/>
      <c r="S1887" s="162"/>
    </row>
    <row r="1888" spans="1:19">
      <c r="A1888" s="294"/>
      <c r="B1888" s="161"/>
      <c r="C1888" s="162"/>
      <c r="D1888" s="162"/>
      <c r="E1888" s="162"/>
      <c r="F1888" s="162"/>
      <c r="G1888" s="163"/>
      <c r="I1888" s="295" t="s">
        <v>786</v>
      </c>
      <c r="J1888" s="295"/>
      <c r="K1888" s="170"/>
      <c r="L1888" s="171"/>
      <c r="M1888" s="50"/>
      <c r="N1888" s="171"/>
      <c r="O1888" s="202"/>
      <c r="P1888" s="202"/>
      <c r="Q1888" s="202"/>
      <c r="R1888" s="162"/>
      <c r="S1888" s="162"/>
    </row>
    <row r="1889" spans="1:19">
      <c r="A1889" s="294"/>
      <c r="B1889" s="164"/>
      <c r="C1889" s="165"/>
      <c r="D1889" s="165"/>
      <c r="E1889" s="165"/>
      <c r="F1889" s="165"/>
      <c r="G1889" s="166"/>
      <c r="I1889" s="295" t="s">
        <v>787</v>
      </c>
      <c r="J1889" s="295"/>
      <c r="K1889" s="170"/>
      <c r="L1889" s="171"/>
      <c r="M1889" s="50"/>
      <c r="N1889" s="171"/>
      <c r="O1889" s="202"/>
      <c r="P1889" s="202"/>
      <c r="Q1889" s="202"/>
      <c r="R1889" s="162"/>
      <c r="S1889" s="162"/>
    </row>
    <row r="1890" spans="1:19">
      <c r="A1890" s="294"/>
      <c r="B1890" s="161"/>
      <c r="C1890" s="162"/>
      <c r="D1890" s="162"/>
      <c r="E1890" s="162"/>
      <c r="F1890" s="162"/>
      <c r="G1890" s="163"/>
      <c r="I1890" s="295" t="s">
        <v>788</v>
      </c>
      <c r="J1890" s="295"/>
      <c r="K1890" s="170"/>
      <c r="L1890" s="171"/>
      <c r="M1890" s="50"/>
      <c r="N1890" s="171"/>
      <c r="O1890" s="202"/>
      <c r="P1890" s="202"/>
      <c r="Q1890" s="202"/>
      <c r="R1890" s="162"/>
      <c r="S1890" s="162"/>
    </row>
    <row r="1891" spans="1:19">
      <c r="A1891" s="294"/>
      <c r="B1891" s="164"/>
      <c r="C1891" s="165"/>
      <c r="D1891" s="165"/>
      <c r="E1891" s="165"/>
      <c r="F1891" s="165"/>
      <c r="G1891" s="166"/>
      <c r="I1891" s="295" t="s">
        <v>789</v>
      </c>
      <c r="J1891" s="295"/>
      <c r="K1891" s="170"/>
      <c r="L1891" s="171"/>
      <c r="M1891" s="50"/>
      <c r="N1891" s="171"/>
      <c r="O1891" s="202"/>
      <c r="P1891" s="202"/>
      <c r="Q1891" s="202"/>
      <c r="R1891" s="162"/>
      <c r="S1891" s="162"/>
    </row>
    <row r="1892" spans="1:19">
      <c r="A1892" s="63"/>
      <c r="B1892" s="63"/>
      <c r="C1892" s="63"/>
      <c r="D1892" s="63"/>
      <c r="E1892" s="63"/>
      <c r="F1892" s="63"/>
      <c r="G1892" s="63"/>
      <c r="I1892" s="295" t="s">
        <v>790</v>
      </c>
      <c r="J1892" s="295"/>
      <c r="K1892" s="170"/>
      <c r="L1892" s="171"/>
      <c r="M1892" s="50"/>
      <c r="N1892" s="171"/>
      <c r="O1892" s="202"/>
      <c r="P1892" s="202"/>
      <c r="Q1892" s="202"/>
      <c r="R1892" s="162"/>
      <c r="S1892" s="162"/>
    </row>
    <row r="1893" spans="1:19">
      <c r="A1893" s="63"/>
      <c r="B1893" s="63"/>
      <c r="C1893" s="63"/>
      <c r="D1893" s="63"/>
      <c r="E1893" s="63"/>
      <c r="F1893" s="63"/>
      <c r="G1893" s="63"/>
      <c r="I1893" s="295" t="s">
        <v>791</v>
      </c>
      <c r="J1893" s="295"/>
      <c r="K1893" s="170"/>
      <c r="L1893" s="171"/>
      <c r="M1893" s="50"/>
      <c r="N1893" s="171"/>
      <c r="O1893" s="202"/>
      <c r="P1893" s="202"/>
      <c r="Q1893" s="202"/>
      <c r="R1893" s="162"/>
      <c r="S1893" s="162"/>
    </row>
    <row r="1894" spans="1:19">
      <c r="A1894" s="63"/>
      <c r="B1894" s="63"/>
      <c r="C1894" s="63"/>
      <c r="D1894" s="63"/>
      <c r="E1894" s="63"/>
      <c r="F1894" s="63"/>
      <c r="G1894" s="63"/>
      <c r="I1894" s="296" t="s">
        <v>792</v>
      </c>
      <c r="J1894" s="296"/>
      <c r="K1894" s="170"/>
      <c r="L1894" s="171"/>
      <c r="M1894" s="50"/>
      <c r="N1894" s="171"/>
      <c r="O1894" s="202"/>
      <c r="P1894" s="202"/>
      <c r="Q1894" s="202"/>
      <c r="R1894" s="162"/>
      <c r="S1894" s="162"/>
    </row>
    <row r="1895" spans="1:19" ht="17.25" thickBot="1">
      <c r="A1895" s="63"/>
      <c r="B1895" s="63"/>
      <c r="C1895" s="63"/>
      <c r="D1895" s="63"/>
      <c r="E1895" s="63"/>
      <c r="F1895" s="63"/>
      <c r="G1895" s="63"/>
      <c r="I1895" s="297" t="s">
        <v>793</v>
      </c>
      <c r="J1895" s="297"/>
      <c r="K1895" s="172">
        <f t="shared" ref="K1895:S1895" si="859">SUM(K1884:K1894)</f>
        <v>0</v>
      </c>
      <c r="L1895" s="205">
        <f t="shared" si="859"/>
        <v>0</v>
      </c>
      <c r="M1895" s="205">
        <f t="shared" si="859"/>
        <v>0</v>
      </c>
      <c r="N1895" s="205">
        <f t="shared" si="859"/>
        <v>0</v>
      </c>
      <c r="O1895" s="174">
        <f t="shared" si="859"/>
        <v>0</v>
      </c>
      <c r="P1895" s="174">
        <f t="shared" si="859"/>
        <v>0</v>
      </c>
      <c r="Q1895" s="174">
        <f t="shared" si="859"/>
        <v>0</v>
      </c>
      <c r="R1895" s="175">
        <f t="shared" si="859"/>
        <v>0</v>
      </c>
      <c r="S1895" s="175">
        <f t="shared" si="859"/>
        <v>0</v>
      </c>
    </row>
    <row r="1896" spans="1:19" ht="17.25" thickBot="1">
      <c r="A1896" s="63"/>
      <c r="B1896" s="63"/>
      <c r="C1896" s="63"/>
      <c r="D1896" s="63"/>
      <c r="E1896" s="63"/>
      <c r="F1896" s="63"/>
      <c r="G1896" s="63"/>
      <c r="I1896" s="298" t="s">
        <v>794</v>
      </c>
      <c r="J1896" s="299"/>
      <c r="K1896" s="176">
        <f t="shared" ref="K1896" si="860">S1875-K1895</f>
        <v>0</v>
      </c>
      <c r="L1896" s="177">
        <f t="shared" ref="L1896" si="861">K1895-L1895</f>
        <v>0</v>
      </c>
      <c r="M1896" s="177">
        <f t="shared" ref="M1896" si="862">K1895-M1895</f>
        <v>0</v>
      </c>
      <c r="N1896" s="177">
        <f t="shared" ref="N1896" si="863">K1895-N1895</f>
        <v>0</v>
      </c>
      <c r="O1896" s="178">
        <f t="shared" ref="O1896" si="864">K1895-O1895</f>
        <v>0</v>
      </c>
      <c r="P1896" s="178">
        <f t="shared" ref="P1896" si="865">K1895-P1895</f>
        <v>0</v>
      </c>
      <c r="Q1896" s="178">
        <f t="shared" ref="Q1896" si="866">K1895-Q1895</f>
        <v>0</v>
      </c>
      <c r="R1896" s="179">
        <f t="shared" ref="R1896" si="867">K1895-R1895</f>
        <v>0</v>
      </c>
      <c r="S1896" s="180">
        <f t="shared" ref="S1896" si="868">L1895-S1895</f>
        <v>0</v>
      </c>
    </row>
    <row r="1897" spans="1:19">
      <c r="A1897" s="63"/>
      <c r="B1897" s="63"/>
      <c r="C1897" s="63"/>
      <c r="D1897" s="63"/>
      <c r="E1897" s="63"/>
      <c r="F1897" s="63"/>
      <c r="G1897" s="63"/>
      <c r="I1897" s="300" t="s">
        <v>795</v>
      </c>
      <c r="J1897" s="301"/>
      <c r="K1897" s="181"/>
      <c r="L1897" s="182"/>
      <c r="M1897" s="182"/>
      <c r="N1897" s="182"/>
      <c r="O1897" s="183"/>
      <c r="P1897" s="182"/>
      <c r="Q1897" s="182"/>
      <c r="R1897" s="182"/>
      <c r="S1897" s="182"/>
    </row>
    <row r="1898" spans="1:19">
      <c r="A1898" s="63"/>
      <c r="B1898" s="63"/>
      <c r="C1898" s="63"/>
      <c r="D1898" s="63"/>
      <c r="E1898" s="63"/>
      <c r="F1898" s="63"/>
      <c r="G1898" s="63"/>
      <c r="I1898" s="302" t="s">
        <v>796</v>
      </c>
      <c r="J1898" s="302"/>
      <c r="K1898" s="184"/>
      <c r="L1898" s="203"/>
      <c r="M1898" s="203"/>
      <c r="N1898" s="203"/>
      <c r="O1898" s="203"/>
      <c r="P1898" s="203"/>
      <c r="Q1898" s="203"/>
      <c r="R1898" s="203"/>
      <c r="S1898" s="203"/>
    </row>
    <row r="1899" spans="1:19">
      <c r="A1899" s="63"/>
      <c r="B1899" s="63"/>
      <c r="C1899" s="63"/>
      <c r="D1899" s="63"/>
      <c r="E1899" s="63"/>
      <c r="F1899" s="63"/>
      <c r="G1899" s="63"/>
      <c r="I1899" s="302" t="s">
        <v>797</v>
      </c>
      <c r="J1899" s="302"/>
      <c r="K1899" s="184"/>
      <c r="L1899" s="203"/>
      <c r="M1899" s="203"/>
      <c r="N1899" s="203"/>
      <c r="O1899" s="203"/>
      <c r="P1899" s="203"/>
      <c r="Q1899" s="203"/>
      <c r="R1899" s="203"/>
      <c r="S1899" s="203"/>
    </row>
    <row r="1900" spans="1:19">
      <c r="A1900" s="63"/>
      <c r="B1900" s="63"/>
      <c r="C1900" s="63"/>
      <c r="D1900" s="63"/>
      <c r="E1900" s="63"/>
      <c r="F1900" s="63"/>
      <c r="G1900" s="63"/>
      <c r="I1900" s="303" t="s">
        <v>798</v>
      </c>
      <c r="J1900" s="303"/>
      <c r="K1900" s="184"/>
      <c r="L1900" s="185"/>
      <c r="M1900" s="185"/>
      <c r="N1900" s="185"/>
      <c r="O1900" s="185"/>
      <c r="P1900" s="204"/>
      <c r="Q1900" s="204"/>
      <c r="R1900" s="204"/>
      <c r="S1900" s="204"/>
    </row>
    <row r="1901" spans="1:19">
      <c r="A1901" s="3" t="s">
        <v>801</v>
      </c>
      <c r="B1901" s="201" t="s">
        <v>802</v>
      </c>
      <c r="C1901" s="201" t="s">
        <v>803</v>
      </c>
      <c r="D1901" s="201" t="s">
        <v>119</v>
      </c>
      <c r="E1901" s="201" t="s">
        <v>148</v>
      </c>
      <c r="F1901" s="201" t="s">
        <v>806</v>
      </c>
      <c r="G1901" s="201" t="s">
        <v>81</v>
      </c>
      <c r="I1901" s="187"/>
      <c r="J1901" s="187"/>
      <c r="K1901" s="187"/>
      <c r="L1901" s="188"/>
      <c r="M1901" s="188"/>
      <c r="N1901" s="188"/>
      <c r="O1901" s="188"/>
      <c r="P1901" s="187"/>
      <c r="Q1901" s="187"/>
      <c r="R1901" s="187"/>
      <c r="S1901" s="187"/>
    </row>
    <row r="1902" spans="1:19">
      <c r="A1902" s="293">
        <v>44134</v>
      </c>
      <c r="B1902" s="161"/>
      <c r="C1902" s="162"/>
      <c r="D1902" s="162"/>
      <c r="E1902" s="162"/>
      <c r="F1902" s="162"/>
      <c r="G1902" s="163"/>
      <c r="I1902" s="191"/>
      <c r="J1902" s="190"/>
      <c r="K1902" s="190"/>
      <c r="L1902" s="190"/>
      <c r="M1902" s="190">
        <v>44134</v>
      </c>
      <c r="N1902" s="189" t="s">
        <v>864</v>
      </c>
      <c r="O1902" s="189"/>
      <c r="P1902" s="189"/>
      <c r="Q1902" s="189"/>
      <c r="R1902" s="189"/>
      <c r="S1902" s="189"/>
    </row>
    <row r="1903" spans="1:19">
      <c r="A1903" s="294"/>
      <c r="B1903" s="164"/>
      <c r="C1903" s="165"/>
      <c r="D1903" s="165"/>
      <c r="E1903" s="165"/>
      <c r="F1903" s="165"/>
      <c r="G1903" s="166"/>
      <c r="I1903" s="304"/>
      <c r="J1903" s="304"/>
      <c r="K1903" s="167"/>
      <c r="L1903" s="168"/>
      <c r="M1903" s="168"/>
      <c r="N1903" s="168"/>
      <c r="O1903" s="169"/>
      <c r="P1903" s="169"/>
      <c r="Q1903" s="169"/>
      <c r="R1903" s="161"/>
      <c r="S1903" s="161"/>
    </row>
    <row r="1904" spans="1:19">
      <c r="A1904" s="294"/>
      <c r="B1904" s="161"/>
      <c r="C1904" s="162"/>
      <c r="D1904" s="162"/>
      <c r="E1904" s="162"/>
      <c r="F1904" s="162"/>
      <c r="G1904" s="163"/>
      <c r="I1904" s="295" t="s">
        <v>782</v>
      </c>
      <c r="J1904" s="296"/>
      <c r="K1904" s="170"/>
      <c r="L1904" s="171"/>
      <c r="M1904" s="50"/>
      <c r="N1904" s="171"/>
      <c r="O1904" s="202"/>
      <c r="P1904" s="202"/>
      <c r="Q1904" s="202"/>
      <c r="R1904" s="162"/>
      <c r="S1904" s="162"/>
    </row>
    <row r="1905" spans="1:19">
      <c r="A1905" s="294"/>
      <c r="B1905" s="164"/>
      <c r="C1905" s="165"/>
      <c r="D1905" s="165"/>
      <c r="E1905" s="165"/>
      <c r="F1905" s="165"/>
      <c r="G1905" s="166"/>
      <c r="I1905" s="295" t="s">
        <v>783</v>
      </c>
      <c r="J1905" s="295"/>
      <c r="K1905" s="170"/>
      <c r="L1905" s="171"/>
      <c r="M1905" s="50"/>
      <c r="N1905" s="171"/>
      <c r="O1905" s="202"/>
      <c r="P1905" s="202"/>
      <c r="Q1905" s="202"/>
      <c r="R1905" s="162"/>
      <c r="S1905" s="162"/>
    </row>
    <row r="1906" spans="1:19">
      <c r="A1906" s="294"/>
      <c r="B1906" s="161"/>
      <c r="C1906" s="162"/>
      <c r="D1906" s="162"/>
      <c r="E1906" s="162"/>
      <c r="F1906" s="162"/>
      <c r="G1906" s="163"/>
      <c r="I1906" s="295" t="s">
        <v>784</v>
      </c>
      <c r="J1906" s="295"/>
      <c r="K1906" s="170"/>
      <c r="L1906" s="171"/>
      <c r="M1906" s="50"/>
      <c r="N1906" s="171"/>
      <c r="O1906" s="202"/>
      <c r="P1906" s="202"/>
      <c r="Q1906" s="202"/>
      <c r="R1906" s="162"/>
      <c r="S1906" s="162"/>
    </row>
    <row r="1907" spans="1:19">
      <c r="A1907" s="294"/>
      <c r="B1907" s="164"/>
      <c r="C1907" s="165"/>
      <c r="D1907" s="165"/>
      <c r="E1907" s="165"/>
      <c r="F1907" s="165"/>
      <c r="G1907" s="166"/>
      <c r="I1907" s="295" t="s">
        <v>785</v>
      </c>
      <c r="J1907" s="295"/>
      <c r="K1907" s="170"/>
      <c r="L1907" s="171"/>
      <c r="M1907" s="50"/>
      <c r="N1907" s="171"/>
      <c r="O1907" s="202"/>
      <c r="P1907" s="202"/>
      <c r="Q1907" s="202"/>
      <c r="R1907" s="162"/>
      <c r="S1907" s="162"/>
    </row>
    <row r="1908" spans="1:19">
      <c r="A1908" s="294"/>
      <c r="B1908" s="161"/>
      <c r="C1908" s="162"/>
      <c r="D1908" s="162"/>
      <c r="E1908" s="162"/>
      <c r="F1908" s="162"/>
      <c r="G1908" s="163"/>
      <c r="I1908" s="295" t="s">
        <v>786</v>
      </c>
      <c r="J1908" s="295"/>
      <c r="K1908" s="170"/>
      <c r="L1908" s="171"/>
      <c r="M1908" s="50"/>
      <c r="N1908" s="171"/>
      <c r="O1908" s="202"/>
      <c r="P1908" s="202"/>
      <c r="Q1908" s="202"/>
      <c r="R1908" s="162"/>
      <c r="S1908" s="162"/>
    </row>
    <row r="1909" spans="1:19">
      <c r="A1909" s="294"/>
      <c r="B1909" s="164"/>
      <c r="C1909" s="165"/>
      <c r="D1909" s="165"/>
      <c r="E1909" s="165"/>
      <c r="F1909" s="165"/>
      <c r="G1909" s="166"/>
      <c r="I1909" s="295" t="s">
        <v>787</v>
      </c>
      <c r="J1909" s="295"/>
      <c r="K1909" s="170"/>
      <c r="L1909" s="171"/>
      <c r="M1909" s="50"/>
      <c r="N1909" s="171"/>
      <c r="O1909" s="202"/>
      <c r="P1909" s="202"/>
      <c r="Q1909" s="202"/>
      <c r="R1909" s="162"/>
      <c r="S1909" s="162"/>
    </row>
    <row r="1910" spans="1:19">
      <c r="A1910" s="294"/>
      <c r="B1910" s="161"/>
      <c r="C1910" s="162"/>
      <c r="D1910" s="162"/>
      <c r="E1910" s="162"/>
      <c r="F1910" s="162"/>
      <c r="G1910" s="163"/>
      <c r="I1910" s="295" t="s">
        <v>788</v>
      </c>
      <c r="J1910" s="295"/>
      <c r="K1910" s="170"/>
      <c r="L1910" s="171"/>
      <c r="M1910" s="50"/>
      <c r="N1910" s="171"/>
      <c r="O1910" s="202"/>
      <c r="P1910" s="202"/>
      <c r="Q1910" s="202"/>
      <c r="R1910" s="162"/>
      <c r="S1910" s="162"/>
    </row>
    <row r="1911" spans="1:19">
      <c r="A1911" s="294"/>
      <c r="B1911" s="164"/>
      <c r="C1911" s="165"/>
      <c r="D1911" s="165"/>
      <c r="E1911" s="165"/>
      <c r="F1911" s="165"/>
      <c r="G1911" s="166"/>
      <c r="I1911" s="295" t="s">
        <v>789</v>
      </c>
      <c r="J1911" s="295"/>
      <c r="K1911" s="170"/>
      <c r="L1911" s="171"/>
      <c r="M1911" s="50"/>
      <c r="N1911" s="171"/>
      <c r="O1911" s="202"/>
      <c r="P1911" s="202"/>
      <c r="Q1911" s="202"/>
      <c r="R1911" s="162"/>
      <c r="S1911" s="162"/>
    </row>
    <row r="1912" spans="1:19">
      <c r="A1912" s="63"/>
      <c r="B1912" s="63"/>
      <c r="C1912" s="63"/>
      <c r="D1912" s="63"/>
      <c r="E1912" s="63"/>
      <c r="F1912" s="63"/>
      <c r="G1912" s="63"/>
      <c r="I1912" s="295" t="s">
        <v>790</v>
      </c>
      <c r="J1912" s="295"/>
      <c r="K1912" s="170"/>
      <c r="L1912" s="171"/>
      <c r="M1912" s="50"/>
      <c r="N1912" s="171"/>
      <c r="O1912" s="202"/>
      <c r="P1912" s="202"/>
      <c r="Q1912" s="202"/>
      <c r="R1912" s="162"/>
      <c r="S1912" s="162"/>
    </row>
    <row r="1913" spans="1:19">
      <c r="A1913" s="63"/>
      <c r="B1913" s="63"/>
      <c r="C1913" s="63"/>
      <c r="D1913" s="63"/>
      <c r="E1913" s="63"/>
      <c r="F1913" s="63"/>
      <c r="G1913" s="63"/>
      <c r="I1913" s="295" t="s">
        <v>791</v>
      </c>
      <c r="J1913" s="295"/>
      <c r="K1913" s="170"/>
      <c r="L1913" s="171"/>
      <c r="M1913" s="50"/>
      <c r="N1913" s="171"/>
      <c r="O1913" s="202"/>
      <c r="P1913" s="202"/>
      <c r="Q1913" s="202"/>
      <c r="R1913" s="162"/>
      <c r="S1913" s="162"/>
    </row>
    <row r="1914" spans="1:19">
      <c r="A1914" s="63"/>
      <c r="B1914" s="63"/>
      <c r="C1914" s="63"/>
      <c r="D1914" s="63"/>
      <c r="E1914" s="63"/>
      <c r="F1914" s="63"/>
      <c r="G1914" s="63"/>
      <c r="I1914" s="296" t="s">
        <v>792</v>
      </c>
      <c r="J1914" s="296"/>
      <c r="K1914" s="170"/>
      <c r="L1914" s="171"/>
      <c r="M1914" s="50"/>
      <c r="N1914" s="171"/>
      <c r="O1914" s="202"/>
      <c r="P1914" s="202"/>
      <c r="Q1914" s="202"/>
      <c r="R1914" s="162"/>
      <c r="S1914" s="162"/>
    </row>
    <row r="1915" spans="1:19" ht="17.25" thickBot="1">
      <c r="A1915" s="63"/>
      <c r="B1915" s="63"/>
      <c r="C1915" s="63"/>
      <c r="D1915" s="63"/>
      <c r="E1915" s="63"/>
      <c r="F1915" s="63"/>
      <c r="G1915" s="63"/>
      <c r="I1915" s="297" t="s">
        <v>793</v>
      </c>
      <c r="J1915" s="297"/>
      <c r="K1915" s="172">
        <f t="shared" ref="K1915:S1915" si="869">SUM(K1904:K1914)</f>
        <v>0</v>
      </c>
      <c r="L1915" s="205">
        <f t="shared" si="869"/>
        <v>0</v>
      </c>
      <c r="M1915" s="205">
        <f t="shared" si="869"/>
        <v>0</v>
      </c>
      <c r="N1915" s="205">
        <f t="shared" si="869"/>
        <v>0</v>
      </c>
      <c r="O1915" s="174">
        <f t="shared" si="869"/>
        <v>0</v>
      </c>
      <c r="P1915" s="174">
        <f t="shared" si="869"/>
        <v>0</v>
      </c>
      <c r="Q1915" s="174">
        <f t="shared" si="869"/>
        <v>0</v>
      </c>
      <c r="R1915" s="175">
        <f t="shared" si="869"/>
        <v>0</v>
      </c>
      <c r="S1915" s="175">
        <f t="shared" si="869"/>
        <v>0</v>
      </c>
    </row>
    <row r="1916" spans="1:19" ht="17.25" thickBot="1">
      <c r="A1916" s="63"/>
      <c r="B1916" s="63"/>
      <c r="C1916" s="63"/>
      <c r="D1916" s="63"/>
      <c r="E1916" s="63"/>
      <c r="F1916" s="63"/>
      <c r="G1916" s="63"/>
      <c r="I1916" s="298" t="s">
        <v>794</v>
      </c>
      <c r="J1916" s="299"/>
      <c r="K1916" s="176">
        <f t="shared" ref="K1916" si="870">S1895-K1915</f>
        <v>0</v>
      </c>
      <c r="L1916" s="177">
        <f t="shared" ref="L1916" si="871">K1915-L1915</f>
        <v>0</v>
      </c>
      <c r="M1916" s="177">
        <f t="shared" ref="M1916" si="872">K1915-M1915</f>
        <v>0</v>
      </c>
      <c r="N1916" s="177">
        <f t="shared" ref="N1916" si="873">K1915-N1915</f>
        <v>0</v>
      </c>
      <c r="O1916" s="178">
        <f t="shared" ref="O1916" si="874">K1915-O1915</f>
        <v>0</v>
      </c>
      <c r="P1916" s="178">
        <f t="shared" ref="P1916" si="875">K1915-P1915</f>
        <v>0</v>
      </c>
      <c r="Q1916" s="178">
        <f t="shared" ref="Q1916" si="876">K1915-Q1915</f>
        <v>0</v>
      </c>
      <c r="R1916" s="179">
        <f t="shared" ref="R1916" si="877">K1915-R1915</f>
        <v>0</v>
      </c>
      <c r="S1916" s="180">
        <f t="shared" ref="S1916" si="878">L1915-S1915</f>
        <v>0</v>
      </c>
    </row>
    <row r="1917" spans="1:19">
      <c r="A1917" s="63"/>
      <c r="B1917" s="63"/>
      <c r="C1917" s="63"/>
      <c r="D1917" s="63"/>
      <c r="E1917" s="63"/>
      <c r="F1917" s="63"/>
      <c r="G1917" s="63"/>
      <c r="I1917" s="300" t="s">
        <v>795</v>
      </c>
      <c r="J1917" s="301"/>
      <c r="K1917" s="181"/>
      <c r="L1917" s="182"/>
      <c r="M1917" s="182"/>
      <c r="N1917" s="182"/>
      <c r="O1917" s="183"/>
      <c r="P1917" s="182"/>
      <c r="Q1917" s="182"/>
      <c r="R1917" s="182"/>
      <c r="S1917" s="182"/>
    </row>
    <row r="1918" spans="1:19">
      <c r="A1918" s="63"/>
      <c r="B1918" s="63"/>
      <c r="C1918" s="63"/>
      <c r="D1918" s="63"/>
      <c r="E1918" s="63"/>
      <c r="F1918" s="63"/>
      <c r="G1918" s="63"/>
      <c r="I1918" s="302" t="s">
        <v>796</v>
      </c>
      <c r="J1918" s="302"/>
      <c r="K1918" s="184"/>
      <c r="L1918" s="203"/>
      <c r="M1918" s="203"/>
      <c r="N1918" s="203"/>
      <c r="O1918" s="203"/>
      <c r="P1918" s="203"/>
      <c r="Q1918" s="203"/>
      <c r="R1918" s="203"/>
      <c r="S1918" s="203"/>
    </row>
    <row r="1919" spans="1:19">
      <c r="A1919" s="63"/>
      <c r="B1919" s="63"/>
      <c r="C1919" s="63"/>
      <c r="D1919" s="63"/>
      <c r="E1919" s="63"/>
      <c r="F1919" s="63"/>
      <c r="G1919" s="63"/>
      <c r="I1919" s="302" t="s">
        <v>797</v>
      </c>
      <c r="J1919" s="302"/>
      <c r="K1919" s="184"/>
      <c r="L1919" s="203"/>
      <c r="M1919" s="203"/>
      <c r="N1919" s="203"/>
      <c r="O1919" s="203"/>
      <c r="P1919" s="203"/>
      <c r="Q1919" s="203"/>
      <c r="R1919" s="203"/>
      <c r="S1919" s="203"/>
    </row>
    <row r="1920" spans="1:19">
      <c r="A1920" s="63"/>
      <c r="B1920" s="63"/>
      <c r="C1920" s="63"/>
      <c r="D1920" s="63"/>
      <c r="E1920" s="63"/>
      <c r="F1920" s="63"/>
      <c r="G1920" s="63"/>
      <c r="I1920" s="303" t="s">
        <v>798</v>
      </c>
      <c r="J1920" s="303"/>
      <c r="K1920" s="184"/>
      <c r="L1920" s="185"/>
      <c r="M1920" s="185"/>
      <c r="N1920" s="185"/>
      <c r="O1920" s="185"/>
      <c r="P1920" s="204"/>
      <c r="Q1920" s="204"/>
      <c r="R1920" s="204"/>
      <c r="S1920" s="204"/>
    </row>
    <row r="1921" spans="1:19">
      <c r="A1921" s="3" t="s">
        <v>801</v>
      </c>
      <c r="B1921" s="201" t="s">
        <v>802</v>
      </c>
      <c r="C1921" s="201" t="s">
        <v>803</v>
      </c>
      <c r="D1921" s="201" t="s">
        <v>119</v>
      </c>
      <c r="E1921" s="201" t="s">
        <v>148</v>
      </c>
      <c r="F1921" s="201" t="s">
        <v>806</v>
      </c>
      <c r="G1921" s="201" t="s">
        <v>81</v>
      </c>
      <c r="I1921" s="187"/>
      <c r="J1921" s="187"/>
      <c r="K1921" s="187"/>
      <c r="L1921" s="188"/>
      <c r="M1921" s="188"/>
      <c r="N1921" s="188"/>
      <c r="O1921" s="188"/>
      <c r="P1921" s="187"/>
      <c r="Q1921" s="187"/>
      <c r="R1921" s="187"/>
      <c r="S1921" s="187"/>
    </row>
    <row r="1922" spans="1:19">
      <c r="A1922" s="293">
        <v>44135</v>
      </c>
      <c r="B1922" s="161"/>
      <c r="C1922" s="162"/>
      <c r="D1922" s="162"/>
      <c r="E1922" s="162"/>
      <c r="F1922" s="162"/>
      <c r="G1922" s="163"/>
      <c r="I1922" s="191"/>
      <c r="J1922" s="190"/>
      <c r="K1922" s="190"/>
      <c r="L1922" s="190"/>
      <c r="M1922" s="190">
        <v>44135</v>
      </c>
      <c r="N1922" s="189" t="s">
        <v>864</v>
      </c>
      <c r="O1922" s="189"/>
      <c r="P1922" s="189"/>
      <c r="Q1922" s="189"/>
      <c r="R1922" s="189"/>
      <c r="S1922" s="189"/>
    </row>
    <row r="1923" spans="1:19">
      <c r="A1923" s="294"/>
      <c r="B1923" s="164"/>
      <c r="C1923" s="165"/>
      <c r="D1923" s="165"/>
      <c r="E1923" s="165"/>
      <c r="F1923" s="165"/>
      <c r="G1923" s="166"/>
      <c r="I1923" s="304"/>
      <c r="J1923" s="304"/>
      <c r="K1923" s="167"/>
      <c r="L1923" s="168"/>
      <c r="M1923" s="168"/>
      <c r="N1923" s="168"/>
      <c r="O1923" s="169"/>
      <c r="P1923" s="169"/>
      <c r="Q1923" s="169"/>
      <c r="R1923" s="161"/>
      <c r="S1923" s="161"/>
    </row>
    <row r="1924" spans="1:19">
      <c r="A1924" s="294"/>
      <c r="B1924" s="161"/>
      <c r="C1924" s="162"/>
      <c r="D1924" s="162"/>
      <c r="E1924" s="162"/>
      <c r="F1924" s="162"/>
      <c r="G1924" s="163"/>
      <c r="I1924" s="295" t="s">
        <v>782</v>
      </c>
      <c r="J1924" s="296"/>
      <c r="K1924" s="170"/>
      <c r="L1924" s="171"/>
      <c r="M1924" s="50"/>
      <c r="N1924" s="171"/>
      <c r="O1924" s="202"/>
      <c r="P1924" s="202"/>
      <c r="Q1924" s="202"/>
      <c r="R1924" s="162"/>
      <c r="S1924" s="162"/>
    </row>
    <row r="1925" spans="1:19">
      <c r="A1925" s="294"/>
      <c r="B1925" s="164"/>
      <c r="C1925" s="165"/>
      <c r="D1925" s="165"/>
      <c r="E1925" s="165"/>
      <c r="F1925" s="165"/>
      <c r="G1925" s="166"/>
      <c r="I1925" s="295" t="s">
        <v>783</v>
      </c>
      <c r="J1925" s="295"/>
      <c r="K1925" s="170"/>
      <c r="L1925" s="171"/>
      <c r="M1925" s="50"/>
      <c r="N1925" s="171"/>
      <c r="O1925" s="202"/>
      <c r="P1925" s="202"/>
      <c r="Q1925" s="202"/>
      <c r="R1925" s="162"/>
      <c r="S1925" s="162"/>
    </row>
    <row r="1926" spans="1:19">
      <c r="A1926" s="294"/>
      <c r="B1926" s="161"/>
      <c r="C1926" s="162"/>
      <c r="D1926" s="162"/>
      <c r="E1926" s="162"/>
      <c r="F1926" s="162"/>
      <c r="G1926" s="163"/>
      <c r="I1926" s="295" t="s">
        <v>784</v>
      </c>
      <c r="J1926" s="295"/>
      <c r="K1926" s="170"/>
      <c r="L1926" s="171"/>
      <c r="M1926" s="50"/>
      <c r="N1926" s="171"/>
      <c r="O1926" s="202"/>
      <c r="P1926" s="202"/>
      <c r="Q1926" s="202"/>
      <c r="R1926" s="162"/>
      <c r="S1926" s="162"/>
    </row>
    <row r="1927" spans="1:19">
      <c r="A1927" s="294"/>
      <c r="B1927" s="164"/>
      <c r="C1927" s="165"/>
      <c r="D1927" s="165"/>
      <c r="E1927" s="165"/>
      <c r="F1927" s="165"/>
      <c r="G1927" s="166"/>
      <c r="I1927" s="295" t="s">
        <v>785</v>
      </c>
      <c r="J1927" s="295"/>
      <c r="K1927" s="170"/>
      <c r="L1927" s="171"/>
      <c r="M1927" s="50"/>
      <c r="N1927" s="171"/>
      <c r="O1927" s="202"/>
      <c r="P1927" s="202"/>
      <c r="Q1927" s="202"/>
      <c r="R1927" s="162"/>
      <c r="S1927" s="162"/>
    </row>
    <row r="1928" spans="1:19">
      <c r="A1928" s="294"/>
      <c r="B1928" s="161"/>
      <c r="C1928" s="162"/>
      <c r="D1928" s="162"/>
      <c r="E1928" s="162"/>
      <c r="F1928" s="162"/>
      <c r="G1928" s="163"/>
      <c r="I1928" s="295" t="s">
        <v>786</v>
      </c>
      <c r="J1928" s="295"/>
      <c r="K1928" s="170"/>
      <c r="L1928" s="171"/>
      <c r="M1928" s="50"/>
      <c r="N1928" s="171"/>
      <c r="O1928" s="202"/>
      <c r="P1928" s="202"/>
      <c r="Q1928" s="202"/>
      <c r="R1928" s="162"/>
      <c r="S1928" s="162"/>
    </row>
    <row r="1929" spans="1:19">
      <c r="A1929" s="294"/>
      <c r="B1929" s="164"/>
      <c r="C1929" s="165"/>
      <c r="D1929" s="165"/>
      <c r="E1929" s="165"/>
      <c r="F1929" s="165"/>
      <c r="G1929" s="166"/>
      <c r="I1929" s="295" t="s">
        <v>787</v>
      </c>
      <c r="J1929" s="295"/>
      <c r="K1929" s="170"/>
      <c r="L1929" s="171"/>
      <c r="M1929" s="50"/>
      <c r="N1929" s="171"/>
      <c r="O1929" s="202"/>
      <c r="P1929" s="202"/>
      <c r="Q1929" s="202"/>
      <c r="R1929" s="162"/>
      <c r="S1929" s="162"/>
    </row>
    <row r="1930" spans="1:19">
      <c r="A1930" s="294"/>
      <c r="B1930" s="161"/>
      <c r="C1930" s="162"/>
      <c r="D1930" s="162"/>
      <c r="E1930" s="162"/>
      <c r="F1930" s="162"/>
      <c r="G1930" s="163"/>
      <c r="I1930" s="295" t="s">
        <v>788</v>
      </c>
      <c r="J1930" s="295"/>
      <c r="K1930" s="170"/>
      <c r="L1930" s="171"/>
      <c r="M1930" s="50"/>
      <c r="N1930" s="171"/>
      <c r="O1930" s="202"/>
      <c r="P1930" s="202"/>
      <c r="Q1930" s="202"/>
      <c r="R1930" s="162"/>
      <c r="S1930" s="162"/>
    </row>
    <row r="1931" spans="1:19">
      <c r="A1931" s="294"/>
      <c r="B1931" s="164"/>
      <c r="C1931" s="165"/>
      <c r="D1931" s="165"/>
      <c r="E1931" s="165"/>
      <c r="F1931" s="165"/>
      <c r="G1931" s="166"/>
      <c r="I1931" s="295" t="s">
        <v>789</v>
      </c>
      <c r="J1931" s="295"/>
      <c r="K1931" s="170"/>
      <c r="L1931" s="171"/>
      <c r="M1931" s="50"/>
      <c r="N1931" s="171"/>
      <c r="O1931" s="202"/>
      <c r="P1931" s="202"/>
      <c r="Q1931" s="202"/>
      <c r="R1931" s="162"/>
      <c r="S1931" s="162"/>
    </row>
    <row r="1932" spans="1:19">
      <c r="A1932" s="63"/>
      <c r="B1932" s="63"/>
      <c r="C1932" s="63"/>
      <c r="D1932" s="63"/>
      <c r="E1932" s="63"/>
      <c r="F1932" s="63"/>
      <c r="G1932" s="63"/>
      <c r="I1932" s="295" t="s">
        <v>790</v>
      </c>
      <c r="J1932" s="295"/>
      <c r="K1932" s="170"/>
      <c r="L1932" s="171"/>
      <c r="M1932" s="50"/>
      <c r="N1932" s="171"/>
      <c r="O1932" s="202"/>
      <c r="P1932" s="202"/>
      <c r="Q1932" s="202"/>
      <c r="R1932" s="162"/>
      <c r="S1932" s="162"/>
    </row>
    <row r="1933" spans="1:19">
      <c r="A1933" s="63"/>
      <c r="B1933" s="63"/>
      <c r="C1933" s="63"/>
      <c r="D1933" s="63"/>
      <c r="E1933" s="63"/>
      <c r="F1933" s="63"/>
      <c r="G1933" s="63"/>
      <c r="I1933" s="295" t="s">
        <v>791</v>
      </c>
      <c r="J1933" s="295"/>
      <c r="K1933" s="170"/>
      <c r="L1933" s="171"/>
      <c r="M1933" s="50"/>
      <c r="N1933" s="171"/>
      <c r="O1933" s="202"/>
      <c r="P1933" s="202"/>
      <c r="Q1933" s="202"/>
      <c r="R1933" s="162"/>
      <c r="S1933" s="162"/>
    </row>
    <row r="1934" spans="1:19">
      <c r="A1934" s="63"/>
      <c r="B1934" s="63"/>
      <c r="C1934" s="63"/>
      <c r="D1934" s="63"/>
      <c r="E1934" s="63"/>
      <c r="F1934" s="63"/>
      <c r="G1934" s="63"/>
      <c r="I1934" s="296" t="s">
        <v>792</v>
      </c>
      <c r="J1934" s="296"/>
      <c r="K1934" s="170"/>
      <c r="L1934" s="171"/>
      <c r="M1934" s="50"/>
      <c r="N1934" s="171"/>
      <c r="O1934" s="202"/>
      <c r="P1934" s="202"/>
      <c r="Q1934" s="202"/>
      <c r="R1934" s="162"/>
      <c r="S1934" s="162"/>
    </row>
    <row r="1935" spans="1:19" ht="17.25" thickBot="1">
      <c r="A1935" s="63"/>
      <c r="B1935" s="63"/>
      <c r="C1935" s="63"/>
      <c r="D1935" s="63"/>
      <c r="E1935" s="63"/>
      <c r="F1935" s="63"/>
      <c r="G1935" s="63"/>
      <c r="I1935" s="297" t="s">
        <v>793</v>
      </c>
      <c r="J1935" s="297"/>
      <c r="K1935" s="172">
        <f t="shared" ref="K1935:S1935" si="879">SUM(K1924:K1934)</f>
        <v>0</v>
      </c>
      <c r="L1935" s="205">
        <f t="shared" si="879"/>
        <v>0</v>
      </c>
      <c r="M1935" s="205">
        <f t="shared" si="879"/>
        <v>0</v>
      </c>
      <c r="N1935" s="205">
        <f t="shared" si="879"/>
        <v>0</v>
      </c>
      <c r="O1935" s="174">
        <f t="shared" si="879"/>
        <v>0</v>
      </c>
      <c r="P1935" s="174">
        <f t="shared" si="879"/>
        <v>0</v>
      </c>
      <c r="Q1935" s="174">
        <f t="shared" si="879"/>
        <v>0</v>
      </c>
      <c r="R1935" s="175">
        <f t="shared" si="879"/>
        <v>0</v>
      </c>
      <c r="S1935" s="175">
        <f t="shared" si="879"/>
        <v>0</v>
      </c>
    </row>
    <row r="1936" spans="1:19" ht="17.25" thickBot="1">
      <c r="A1936" s="63"/>
      <c r="B1936" s="63"/>
      <c r="C1936" s="63"/>
      <c r="D1936" s="63"/>
      <c r="E1936" s="63"/>
      <c r="F1936" s="63"/>
      <c r="G1936" s="63"/>
      <c r="I1936" s="298" t="s">
        <v>794</v>
      </c>
      <c r="J1936" s="299"/>
      <c r="K1936" s="176">
        <f t="shared" ref="K1936" si="880">S1915-K1935</f>
        <v>0</v>
      </c>
      <c r="L1936" s="177">
        <f t="shared" ref="L1936" si="881">K1935-L1935</f>
        <v>0</v>
      </c>
      <c r="M1936" s="177">
        <f t="shared" ref="M1936" si="882">K1935-M1935</f>
        <v>0</v>
      </c>
      <c r="N1936" s="177">
        <f t="shared" ref="N1936" si="883">K1935-N1935</f>
        <v>0</v>
      </c>
      <c r="O1936" s="178">
        <f t="shared" ref="O1936" si="884">K1935-O1935</f>
        <v>0</v>
      </c>
      <c r="P1936" s="178">
        <f t="shared" ref="P1936" si="885">K1935-P1935</f>
        <v>0</v>
      </c>
      <c r="Q1936" s="178">
        <f t="shared" ref="Q1936" si="886">K1935-Q1935</f>
        <v>0</v>
      </c>
      <c r="R1936" s="179">
        <f t="shared" ref="R1936" si="887">K1935-R1935</f>
        <v>0</v>
      </c>
      <c r="S1936" s="180">
        <f t="shared" ref="S1936" si="888">L1935-S1935</f>
        <v>0</v>
      </c>
    </row>
    <row r="1937" spans="1:19">
      <c r="A1937" s="63"/>
      <c r="B1937" s="63"/>
      <c r="C1937" s="63"/>
      <c r="D1937" s="63"/>
      <c r="E1937" s="63"/>
      <c r="F1937" s="63"/>
      <c r="G1937" s="63"/>
      <c r="I1937" s="300" t="s">
        <v>795</v>
      </c>
      <c r="J1937" s="301"/>
      <c r="K1937" s="181"/>
      <c r="L1937" s="182"/>
      <c r="M1937" s="182"/>
      <c r="N1937" s="182"/>
      <c r="O1937" s="183"/>
      <c r="P1937" s="182"/>
      <c r="Q1937" s="182"/>
      <c r="R1937" s="182"/>
      <c r="S1937" s="182"/>
    </row>
    <row r="1938" spans="1:19">
      <c r="A1938" s="63"/>
      <c r="B1938" s="63"/>
      <c r="C1938" s="63"/>
      <c r="D1938" s="63"/>
      <c r="E1938" s="63"/>
      <c r="F1938" s="63"/>
      <c r="G1938" s="63"/>
      <c r="I1938" s="302" t="s">
        <v>796</v>
      </c>
      <c r="J1938" s="302"/>
      <c r="K1938" s="184"/>
      <c r="L1938" s="203"/>
      <c r="M1938" s="203"/>
      <c r="N1938" s="203"/>
      <c r="O1938" s="203"/>
      <c r="P1938" s="203"/>
      <c r="Q1938" s="203"/>
      <c r="R1938" s="203"/>
      <c r="S1938" s="203"/>
    </row>
    <row r="1939" spans="1:19">
      <c r="A1939" s="63"/>
      <c r="B1939" s="63"/>
      <c r="C1939" s="63"/>
      <c r="D1939" s="63"/>
      <c r="E1939" s="63"/>
      <c r="F1939" s="63"/>
      <c r="G1939" s="63"/>
      <c r="I1939" s="302" t="s">
        <v>797</v>
      </c>
      <c r="J1939" s="302"/>
      <c r="K1939" s="184"/>
      <c r="L1939" s="203"/>
      <c r="M1939" s="203"/>
      <c r="N1939" s="203"/>
      <c r="O1939" s="203"/>
      <c r="P1939" s="203"/>
      <c r="Q1939" s="203"/>
      <c r="R1939" s="203"/>
      <c r="S1939" s="203"/>
    </row>
    <row r="1940" spans="1:19">
      <c r="A1940" s="63"/>
      <c r="B1940" s="63"/>
      <c r="C1940" s="63"/>
      <c r="D1940" s="63"/>
      <c r="E1940" s="63"/>
      <c r="F1940" s="63"/>
      <c r="G1940" s="63"/>
      <c r="I1940" s="303" t="s">
        <v>798</v>
      </c>
      <c r="J1940" s="303"/>
      <c r="K1940" s="184"/>
      <c r="L1940" s="185"/>
      <c r="M1940" s="185"/>
      <c r="N1940" s="185"/>
      <c r="O1940" s="185"/>
      <c r="P1940" s="204"/>
      <c r="Q1940" s="204"/>
      <c r="R1940" s="204"/>
      <c r="S1940" s="204"/>
    </row>
    <row r="1941" spans="1:19">
      <c r="A1941" s="3" t="s">
        <v>801</v>
      </c>
      <c r="B1941" s="201" t="s">
        <v>802</v>
      </c>
      <c r="C1941" s="201" t="s">
        <v>803</v>
      </c>
      <c r="D1941" s="201" t="s">
        <v>119</v>
      </c>
      <c r="E1941" s="201" t="s">
        <v>148</v>
      </c>
      <c r="F1941" s="201" t="s">
        <v>806</v>
      </c>
      <c r="G1941" s="201" t="s">
        <v>81</v>
      </c>
      <c r="I1941" s="187"/>
      <c r="J1941" s="187"/>
      <c r="K1941" s="187"/>
      <c r="L1941" s="188"/>
      <c r="M1941" s="188"/>
      <c r="N1941" s="188"/>
      <c r="O1941" s="188"/>
      <c r="P1941" s="187"/>
      <c r="Q1941" s="187"/>
      <c r="R1941" s="187"/>
      <c r="S1941" s="187"/>
    </row>
    <row r="1942" spans="1:19">
      <c r="A1942" s="293">
        <v>44136</v>
      </c>
      <c r="B1942" s="161"/>
      <c r="C1942" s="162"/>
      <c r="D1942" s="162"/>
      <c r="E1942" s="162"/>
      <c r="F1942" s="162"/>
      <c r="G1942" s="163"/>
      <c r="I1942" s="191"/>
      <c r="J1942" s="190"/>
      <c r="K1942" s="190"/>
      <c r="L1942" s="190"/>
      <c r="M1942" s="190">
        <v>44136</v>
      </c>
      <c r="N1942" s="189" t="s">
        <v>864</v>
      </c>
      <c r="O1942" s="189"/>
      <c r="P1942" s="189"/>
      <c r="Q1942" s="189"/>
      <c r="R1942" s="189"/>
      <c r="S1942" s="189"/>
    </row>
    <row r="1943" spans="1:19">
      <c r="A1943" s="294"/>
      <c r="B1943" s="164"/>
      <c r="C1943" s="165"/>
      <c r="D1943" s="165"/>
      <c r="E1943" s="165"/>
      <c r="F1943" s="165"/>
      <c r="G1943" s="166"/>
      <c r="I1943" s="304"/>
      <c r="J1943" s="304"/>
      <c r="K1943" s="167"/>
      <c r="L1943" s="168"/>
      <c r="M1943" s="168"/>
      <c r="N1943" s="168"/>
      <c r="O1943" s="169"/>
      <c r="P1943" s="169"/>
      <c r="Q1943" s="169"/>
      <c r="R1943" s="161"/>
      <c r="S1943" s="161"/>
    </row>
    <row r="1944" spans="1:19">
      <c r="A1944" s="294"/>
      <c r="B1944" s="161"/>
      <c r="C1944" s="162"/>
      <c r="D1944" s="162"/>
      <c r="E1944" s="162"/>
      <c r="F1944" s="162"/>
      <c r="G1944" s="163"/>
      <c r="I1944" s="295" t="s">
        <v>782</v>
      </c>
      <c r="J1944" s="296"/>
      <c r="K1944" s="170"/>
      <c r="L1944" s="171"/>
      <c r="M1944" s="50"/>
      <c r="N1944" s="171"/>
      <c r="O1944" s="202"/>
      <c r="P1944" s="202"/>
      <c r="Q1944" s="202"/>
      <c r="R1944" s="162"/>
      <c r="S1944" s="162"/>
    </row>
    <row r="1945" spans="1:19">
      <c r="A1945" s="294"/>
      <c r="B1945" s="164"/>
      <c r="C1945" s="165"/>
      <c r="D1945" s="165"/>
      <c r="E1945" s="165"/>
      <c r="F1945" s="165"/>
      <c r="G1945" s="166"/>
      <c r="I1945" s="295" t="s">
        <v>783</v>
      </c>
      <c r="J1945" s="295"/>
      <c r="K1945" s="170"/>
      <c r="L1945" s="171"/>
      <c r="M1945" s="50"/>
      <c r="N1945" s="171"/>
      <c r="O1945" s="202"/>
      <c r="P1945" s="202"/>
      <c r="Q1945" s="202"/>
      <c r="R1945" s="162"/>
      <c r="S1945" s="162"/>
    </row>
    <row r="1946" spans="1:19">
      <c r="A1946" s="294"/>
      <c r="B1946" s="161"/>
      <c r="C1946" s="162"/>
      <c r="D1946" s="162"/>
      <c r="E1946" s="162"/>
      <c r="F1946" s="162"/>
      <c r="G1946" s="163"/>
      <c r="I1946" s="295" t="s">
        <v>784</v>
      </c>
      <c r="J1946" s="295"/>
      <c r="K1946" s="170"/>
      <c r="L1946" s="171"/>
      <c r="M1946" s="50"/>
      <c r="N1946" s="171"/>
      <c r="O1946" s="202"/>
      <c r="P1946" s="202"/>
      <c r="Q1946" s="202"/>
      <c r="R1946" s="162"/>
      <c r="S1946" s="162"/>
    </row>
    <row r="1947" spans="1:19">
      <c r="A1947" s="294"/>
      <c r="B1947" s="164"/>
      <c r="C1947" s="165"/>
      <c r="D1947" s="165"/>
      <c r="E1947" s="165"/>
      <c r="F1947" s="165"/>
      <c r="G1947" s="166"/>
      <c r="I1947" s="295" t="s">
        <v>785</v>
      </c>
      <c r="J1947" s="295"/>
      <c r="K1947" s="170"/>
      <c r="L1947" s="171"/>
      <c r="M1947" s="50"/>
      <c r="N1947" s="171"/>
      <c r="O1947" s="202"/>
      <c r="P1947" s="202"/>
      <c r="Q1947" s="202"/>
      <c r="R1947" s="162"/>
      <c r="S1947" s="162"/>
    </row>
    <row r="1948" spans="1:19">
      <c r="A1948" s="294"/>
      <c r="B1948" s="161"/>
      <c r="C1948" s="162"/>
      <c r="D1948" s="162"/>
      <c r="E1948" s="162"/>
      <c r="F1948" s="162"/>
      <c r="G1948" s="163"/>
      <c r="I1948" s="295" t="s">
        <v>786</v>
      </c>
      <c r="J1948" s="295"/>
      <c r="K1948" s="170"/>
      <c r="L1948" s="171"/>
      <c r="M1948" s="50"/>
      <c r="N1948" s="171"/>
      <c r="O1948" s="202"/>
      <c r="P1948" s="202"/>
      <c r="Q1948" s="202"/>
      <c r="R1948" s="162"/>
      <c r="S1948" s="162"/>
    </row>
    <row r="1949" spans="1:19">
      <c r="A1949" s="294"/>
      <c r="B1949" s="164"/>
      <c r="C1949" s="165"/>
      <c r="D1949" s="165"/>
      <c r="E1949" s="165"/>
      <c r="F1949" s="165"/>
      <c r="G1949" s="166"/>
      <c r="I1949" s="295" t="s">
        <v>787</v>
      </c>
      <c r="J1949" s="295"/>
      <c r="K1949" s="170"/>
      <c r="L1949" s="171"/>
      <c r="M1949" s="50"/>
      <c r="N1949" s="171"/>
      <c r="O1949" s="202"/>
      <c r="P1949" s="202"/>
      <c r="Q1949" s="202"/>
      <c r="R1949" s="162"/>
      <c r="S1949" s="162"/>
    </row>
    <row r="1950" spans="1:19">
      <c r="A1950" s="294"/>
      <c r="B1950" s="161"/>
      <c r="C1950" s="162"/>
      <c r="D1950" s="162"/>
      <c r="E1950" s="162"/>
      <c r="F1950" s="162"/>
      <c r="G1950" s="163"/>
      <c r="I1950" s="295" t="s">
        <v>788</v>
      </c>
      <c r="J1950" s="295"/>
      <c r="K1950" s="170"/>
      <c r="L1950" s="171"/>
      <c r="M1950" s="50"/>
      <c r="N1950" s="171"/>
      <c r="O1950" s="202"/>
      <c r="P1950" s="202"/>
      <c r="Q1950" s="202"/>
      <c r="R1950" s="162"/>
      <c r="S1950" s="162"/>
    </row>
    <row r="1951" spans="1:19">
      <c r="A1951" s="294"/>
      <c r="B1951" s="164"/>
      <c r="C1951" s="165"/>
      <c r="D1951" s="165"/>
      <c r="E1951" s="165"/>
      <c r="F1951" s="165"/>
      <c r="G1951" s="166"/>
      <c r="I1951" s="295" t="s">
        <v>789</v>
      </c>
      <c r="J1951" s="295"/>
      <c r="K1951" s="170"/>
      <c r="L1951" s="171"/>
      <c r="M1951" s="50"/>
      <c r="N1951" s="171"/>
      <c r="O1951" s="202"/>
      <c r="P1951" s="202"/>
      <c r="Q1951" s="202"/>
      <c r="R1951" s="162"/>
      <c r="S1951" s="162"/>
    </row>
    <row r="1952" spans="1:19">
      <c r="A1952" s="63"/>
      <c r="B1952" s="63"/>
      <c r="C1952" s="63"/>
      <c r="D1952" s="63"/>
      <c r="E1952" s="63"/>
      <c r="F1952" s="63"/>
      <c r="G1952" s="63"/>
      <c r="I1952" s="295" t="s">
        <v>790</v>
      </c>
      <c r="J1952" s="295"/>
      <c r="K1952" s="170"/>
      <c r="L1952" s="171"/>
      <c r="M1952" s="50"/>
      <c r="N1952" s="171"/>
      <c r="O1952" s="202"/>
      <c r="P1952" s="202"/>
      <c r="Q1952" s="202"/>
      <c r="R1952" s="162"/>
      <c r="S1952" s="162"/>
    </row>
    <row r="1953" spans="1:19">
      <c r="A1953" s="63"/>
      <c r="B1953" s="63"/>
      <c r="C1953" s="63"/>
      <c r="D1953" s="63"/>
      <c r="E1953" s="63"/>
      <c r="F1953" s="63"/>
      <c r="G1953" s="63"/>
      <c r="I1953" s="295" t="s">
        <v>791</v>
      </c>
      <c r="J1953" s="295"/>
      <c r="K1953" s="170"/>
      <c r="L1953" s="171"/>
      <c r="M1953" s="50"/>
      <c r="N1953" s="171"/>
      <c r="O1953" s="202"/>
      <c r="P1953" s="202"/>
      <c r="Q1953" s="202"/>
      <c r="R1953" s="162"/>
      <c r="S1953" s="162"/>
    </row>
    <row r="1954" spans="1:19">
      <c r="A1954" s="63"/>
      <c r="B1954" s="63"/>
      <c r="C1954" s="63"/>
      <c r="D1954" s="63"/>
      <c r="E1954" s="63"/>
      <c r="F1954" s="63"/>
      <c r="G1954" s="63"/>
      <c r="I1954" s="296" t="s">
        <v>792</v>
      </c>
      <c r="J1954" s="296"/>
      <c r="K1954" s="170"/>
      <c r="L1954" s="171"/>
      <c r="M1954" s="50"/>
      <c r="N1954" s="171"/>
      <c r="O1954" s="202"/>
      <c r="P1954" s="202"/>
      <c r="Q1954" s="202"/>
      <c r="R1954" s="162"/>
      <c r="S1954" s="162"/>
    </row>
    <row r="1955" spans="1:19" ht="17.25" thickBot="1">
      <c r="A1955" s="63"/>
      <c r="B1955" s="63"/>
      <c r="C1955" s="63"/>
      <c r="D1955" s="63"/>
      <c r="E1955" s="63"/>
      <c r="F1955" s="63"/>
      <c r="G1955" s="63"/>
      <c r="I1955" s="297" t="s">
        <v>793</v>
      </c>
      <c r="J1955" s="297"/>
      <c r="K1955" s="172">
        <f t="shared" ref="K1955:S1955" si="889">SUM(K1944:K1954)</f>
        <v>0</v>
      </c>
      <c r="L1955" s="205">
        <f t="shared" si="889"/>
        <v>0</v>
      </c>
      <c r="M1955" s="205">
        <f t="shared" si="889"/>
        <v>0</v>
      </c>
      <c r="N1955" s="205">
        <f t="shared" si="889"/>
        <v>0</v>
      </c>
      <c r="O1955" s="174">
        <f t="shared" si="889"/>
        <v>0</v>
      </c>
      <c r="P1955" s="174">
        <f t="shared" si="889"/>
        <v>0</v>
      </c>
      <c r="Q1955" s="174">
        <f t="shared" si="889"/>
        <v>0</v>
      </c>
      <c r="R1955" s="175">
        <f t="shared" si="889"/>
        <v>0</v>
      </c>
      <c r="S1955" s="175">
        <f t="shared" si="889"/>
        <v>0</v>
      </c>
    </row>
    <row r="1956" spans="1:19" ht="17.25" thickBot="1">
      <c r="A1956" s="63"/>
      <c r="B1956" s="63"/>
      <c r="C1956" s="63"/>
      <c r="D1956" s="63"/>
      <c r="E1956" s="63"/>
      <c r="F1956" s="63"/>
      <c r="G1956" s="63"/>
      <c r="I1956" s="298" t="s">
        <v>794</v>
      </c>
      <c r="J1956" s="299"/>
      <c r="K1956" s="176">
        <f t="shared" ref="K1956" si="890">S1935-K1955</f>
        <v>0</v>
      </c>
      <c r="L1956" s="177">
        <f t="shared" ref="L1956" si="891">K1955-L1955</f>
        <v>0</v>
      </c>
      <c r="M1956" s="177">
        <f t="shared" ref="M1956" si="892">K1955-M1955</f>
        <v>0</v>
      </c>
      <c r="N1956" s="177">
        <f t="shared" ref="N1956" si="893">K1955-N1955</f>
        <v>0</v>
      </c>
      <c r="O1956" s="178">
        <f t="shared" ref="O1956" si="894">K1955-O1955</f>
        <v>0</v>
      </c>
      <c r="P1956" s="178">
        <f t="shared" ref="P1956" si="895">K1955-P1955</f>
        <v>0</v>
      </c>
      <c r="Q1956" s="178">
        <f t="shared" ref="Q1956" si="896">K1955-Q1955</f>
        <v>0</v>
      </c>
      <c r="R1956" s="179">
        <f t="shared" ref="R1956" si="897">K1955-R1955</f>
        <v>0</v>
      </c>
      <c r="S1956" s="180">
        <f t="shared" ref="S1956" si="898">L1955-S1955</f>
        <v>0</v>
      </c>
    </row>
    <row r="1957" spans="1:19">
      <c r="A1957" s="63"/>
      <c r="B1957" s="63"/>
      <c r="C1957" s="63"/>
      <c r="D1957" s="63"/>
      <c r="E1957" s="63"/>
      <c r="F1957" s="63"/>
      <c r="G1957" s="63"/>
      <c r="I1957" s="300" t="s">
        <v>795</v>
      </c>
      <c r="J1957" s="301"/>
      <c r="K1957" s="181"/>
      <c r="L1957" s="182"/>
      <c r="M1957" s="182"/>
      <c r="N1957" s="182"/>
      <c r="O1957" s="183"/>
      <c r="P1957" s="182"/>
      <c r="Q1957" s="182"/>
      <c r="R1957" s="182"/>
      <c r="S1957" s="182"/>
    </row>
    <row r="1958" spans="1:19">
      <c r="A1958" s="63"/>
      <c r="B1958" s="63"/>
      <c r="C1958" s="63"/>
      <c r="D1958" s="63"/>
      <c r="E1958" s="63"/>
      <c r="F1958" s="63"/>
      <c r="G1958" s="63"/>
      <c r="I1958" s="302" t="s">
        <v>796</v>
      </c>
      <c r="J1958" s="302"/>
      <c r="K1958" s="184"/>
      <c r="L1958" s="203"/>
      <c r="M1958" s="203"/>
      <c r="N1958" s="203"/>
      <c r="O1958" s="203"/>
      <c r="P1958" s="203"/>
      <c r="Q1958" s="203"/>
      <c r="R1958" s="203"/>
      <c r="S1958" s="203"/>
    </row>
    <row r="1959" spans="1:19">
      <c r="A1959" s="63"/>
      <c r="B1959" s="63"/>
      <c r="C1959" s="63"/>
      <c r="D1959" s="63"/>
      <c r="E1959" s="63"/>
      <c r="F1959" s="63"/>
      <c r="G1959" s="63"/>
      <c r="I1959" s="302" t="s">
        <v>797</v>
      </c>
      <c r="J1959" s="302"/>
      <c r="K1959" s="184"/>
      <c r="L1959" s="203"/>
      <c r="M1959" s="203"/>
      <c r="N1959" s="203"/>
      <c r="O1959" s="203"/>
      <c r="P1959" s="203"/>
      <c r="Q1959" s="203"/>
      <c r="R1959" s="203"/>
      <c r="S1959" s="203"/>
    </row>
    <row r="1960" spans="1:19">
      <c r="A1960" s="63"/>
      <c r="B1960" s="63"/>
      <c r="C1960" s="63"/>
      <c r="D1960" s="63"/>
      <c r="E1960" s="63"/>
      <c r="F1960" s="63"/>
      <c r="G1960" s="63"/>
      <c r="I1960" s="303" t="s">
        <v>798</v>
      </c>
      <c r="J1960" s="303"/>
      <c r="K1960" s="184"/>
      <c r="L1960" s="185"/>
      <c r="M1960" s="185"/>
      <c r="N1960" s="185"/>
      <c r="O1960" s="185"/>
      <c r="P1960" s="204"/>
      <c r="Q1960" s="204"/>
      <c r="R1960" s="204"/>
      <c r="S1960" s="204"/>
    </row>
    <row r="1961" spans="1:19">
      <c r="A1961" s="3" t="s">
        <v>801</v>
      </c>
      <c r="B1961" s="201" t="s">
        <v>802</v>
      </c>
      <c r="C1961" s="201" t="s">
        <v>803</v>
      </c>
      <c r="D1961" s="201" t="s">
        <v>119</v>
      </c>
      <c r="E1961" s="201" t="s">
        <v>148</v>
      </c>
      <c r="F1961" s="201" t="s">
        <v>806</v>
      </c>
      <c r="G1961" s="201" t="s">
        <v>81</v>
      </c>
      <c r="I1961" s="187"/>
      <c r="J1961" s="187"/>
      <c r="K1961" s="187"/>
      <c r="L1961" s="188"/>
      <c r="M1961" s="188"/>
      <c r="N1961" s="188"/>
      <c r="O1961" s="188"/>
      <c r="P1961" s="187"/>
      <c r="Q1961" s="187"/>
      <c r="R1961" s="187"/>
      <c r="S1961" s="187"/>
    </row>
    <row r="1962" spans="1:19">
      <c r="A1962" s="293">
        <v>44137</v>
      </c>
      <c r="B1962" s="161"/>
      <c r="C1962" s="162"/>
      <c r="D1962" s="162"/>
      <c r="E1962" s="162"/>
      <c r="F1962" s="162"/>
      <c r="G1962" s="163"/>
      <c r="I1962" s="191"/>
      <c r="J1962" s="190"/>
      <c r="K1962" s="190"/>
      <c r="L1962" s="190"/>
      <c r="M1962" s="190">
        <v>44137</v>
      </c>
      <c r="N1962" s="189" t="s">
        <v>864</v>
      </c>
      <c r="O1962" s="189"/>
      <c r="P1962" s="189"/>
      <c r="Q1962" s="189"/>
      <c r="R1962" s="189"/>
      <c r="S1962" s="189"/>
    </row>
    <row r="1963" spans="1:19">
      <c r="A1963" s="294"/>
      <c r="B1963" s="164"/>
      <c r="C1963" s="165"/>
      <c r="D1963" s="165"/>
      <c r="E1963" s="165"/>
      <c r="F1963" s="165"/>
      <c r="G1963" s="166"/>
      <c r="I1963" s="304"/>
      <c r="J1963" s="304"/>
      <c r="K1963" s="167"/>
      <c r="L1963" s="168"/>
      <c r="M1963" s="168"/>
      <c r="N1963" s="168"/>
      <c r="O1963" s="169"/>
      <c r="P1963" s="169"/>
      <c r="Q1963" s="169"/>
      <c r="R1963" s="161"/>
      <c r="S1963" s="161"/>
    </row>
    <row r="1964" spans="1:19">
      <c r="A1964" s="294"/>
      <c r="B1964" s="161"/>
      <c r="C1964" s="162"/>
      <c r="D1964" s="162"/>
      <c r="E1964" s="162"/>
      <c r="F1964" s="162"/>
      <c r="G1964" s="163"/>
      <c r="I1964" s="295" t="s">
        <v>782</v>
      </c>
      <c r="J1964" s="296"/>
      <c r="K1964" s="170"/>
      <c r="L1964" s="171"/>
      <c r="M1964" s="50"/>
      <c r="N1964" s="171"/>
      <c r="O1964" s="202"/>
      <c r="P1964" s="202"/>
      <c r="Q1964" s="202"/>
      <c r="R1964" s="162"/>
      <c r="S1964" s="162"/>
    </row>
    <row r="1965" spans="1:19">
      <c r="A1965" s="294"/>
      <c r="B1965" s="164"/>
      <c r="C1965" s="165"/>
      <c r="D1965" s="165"/>
      <c r="E1965" s="165"/>
      <c r="F1965" s="165"/>
      <c r="G1965" s="166"/>
      <c r="I1965" s="295" t="s">
        <v>783</v>
      </c>
      <c r="J1965" s="295"/>
      <c r="K1965" s="170"/>
      <c r="L1965" s="171"/>
      <c r="M1965" s="50"/>
      <c r="N1965" s="171"/>
      <c r="O1965" s="202"/>
      <c r="P1965" s="202"/>
      <c r="Q1965" s="202"/>
      <c r="R1965" s="162"/>
      <c r="S1965" s="162"/>
    </row>
    <row r="1966" spans="1:19">
      <c r="A1966" s="294"/>
      <c r="B1966" s="161"/>
      <c r="C1966" s="162"/>
      <c r="D1966" s="162"/>
      <c r="E1966" s="162"/>
      <c r="F1966" s="162"/>
      <c r="G1966" s="163"/>
      <c r="I1966" s="295" t="s">
        <v>784</v>
      </c>
      <c r="J1966" s="295"/>
      <c r="K1966" s="170"/>
      <c r="L1966" s="171"/>
      <c r="M1966" s="50"/>
      <c r="N1966" s="171"/>
      <c r="O1966" s="202"/>
      <c r="P1966" s="202"/>
      <c r="Q1966" s="202"/>
      <c r="R1966" s="162"/>
      <c r="S1966" s="162"/>
    </row>
    <row r="1967" spans="1:19">
      <c r="A1967" s="294"/>
      <c r="B1967" s="164"/>
      <c r="C1967" s="165"/>
      <c r="D1967" s="165"/>
      <c r="E1967" s="165"/>
      <c r="F1967" s="165"/>
      <c r="G1967" s="166"/>
      <c r="I1967" s="295" t="s">
        <v>785</v>
      </c>
      <c r="J1967" s="295"/>
      <c r="K1967" s="170"/>
      <c r="L1967" s="171"/>
      <c r="M1967" s="50"/>
      <c r="N1967" s="171"/>
      <c r="O1967" s="202"/>
      <c r="P1967" s="202"/>
      <c r="Q1967" s="202"/>
      <c r="R1967" s="162"/>
      <c r="S1967" s="162"/>
    </row>
    <row r="1968" spans="1:19">
      <c r="A1968" s="294"/>
      <c r="B1968" s="161"/>
      <c r="C1968" s="162"/>
      <c r="D1968" s="162"/>
      <c r="E1968" s="162"/>
      <c r="F1968" s="162"/>
      <c r="G1968" s="163"/>
      <c r="I1968" s="295" t="s">
        <v>786</v>
      </c>
      <c r="J1968" s="295"/>
      <c r="K1968" s="170"/>
      <c r="L1968" s="171"/>
      <c r="M1968" s="50"/>
      <c r="N1968" s="171"/>
      <c r="O1968" s="202"/>
      <c r="P1968" s="202"/>
      <c r="Q1968" s="202"/>
      <c r="R1968" s="162"/>
      <c r="S1968" s="162"/>
    </row>
    <row r="1969" spans="1:19">
      <c r="A1969" s="294"/>
      <c r="B1969" s="164"/>
      <c r="C1969" s="165"/>
      <c r="D1969" s="165"/>
      <c r="E1969" s="165"/>
      <c r="F1969" s="165"/>
      <c r="G1969" s="166"/>
      <c r="I1969" s="295" t="s">
        <v>787</v>
      </c>
      <c r="J1969" s="295"/>
      <c r="K1969" s="170"/>
      <c r="L1969" s="171"/>
      <c r="M1969" s="50"/>
      <c r="N1969" s="171"/>
      <c r="O1969" s="202"/>
      <c r="P1969" s="202"/>
      <c r="Q1969" s="202"/>
      <c r="R1969" s="162"/>
      <c r="S1969" s="162"/>
    </row>
    <row r="1970" spans="1:19">
      <c r="A1970" s="294"/>
      <c r="B1970" s="161"/>
      <c r="C1970" s="162"/>
      <c r="D1970" s="162"/>
      <c r="E1970" s="162"/>
      <c r="F1970" s="162"/>
      <c r="G1970" s="163"/>
      <c r="I1970" s="295" t="s">
        <v>788</v>
      </c>
      <c r="J1970" s="295"/>
      <c r="K1970" s="170"/>
      <c r="L1970" s="171"/>
      <c r="M1970" s="50"/>
      <c r="N1970" s="171"/>
      <c r="O1970" s="202"/>
      <c r="P1970" s="202"/>
      <c r="Q1970" s="202"/>
      <c r="R1970" s="162"/>
      <c r="S1970" s="162"/>
    </row>
    <row r="1971" spans="1:19">
      <c r="A1971" s="294"/>
      <c r="B1971" s="164"/>
      <c r="C1971" s="165"/>
      <c r="D1971" s="165"/>
      <c r="E1971" s="165"/>
      <c r="F1971" s="165"/>
      <c r="G1971" s="166"/>
      <c r="I1971" s="295" t="s">
        <v>789</v>
      </c>
      <c r="J1971" s="295"/>
      <c r="K1971" s="170"/>
      <c r="L1971" s="171"/>
      <c r="M1971" s="50"/>
      <c r="N1971" s="171"/>
      <c r="O1971" s="202"/>
      <c r="P1971" s="202"/>
      <c r="Q1971" s="202"/>
      <c r="R1971" s="162"/>
      <c r="S1971" s="162"/>
    </row>
    <row r="1972" spans="1:19">
      <c r="A1972" s="63"/>
      <c r="B1972" s="63"/>
      <c r="C1972" s="63"/>
      <c r="D1972" s="63"/>
      <c r="E1972" s="63"/>
      <c r="F1972" s="63"/>
      <c r="G1972" s="63"/>
      <c r="I1972" s="295" t="s">
        <v>790</v>
      </c>
      <c r="J1972" s="295"/>
      <c r="K1972" s="170"/>
      <c r="L1972" s="171"/>
      <c r="M1972" s="50"/>
      <c r="N1972" s="171"/>
      <c r="O1972" s="202"/>
      <c r="P1972" s="202"/>
      <c r="Q1972" s="202"/>
      <c r="R1972" s="162"/>
      <c r="S1972" s="162"/>
    </row>
    <row r="1973" spans="1:19">
      <c r="A1973" s="63"/>
      <c r="B1973" s="63"/>
      <c r="C1973" s="63"/>
      <c r="D1973" s="63"/>
      <c r="E1973" s="63"/>
      <c r="F1973" s="63"/>
      <c r="G1973" s="63"/>
      <c r="I1973" s="295" t="s">
        <v>791</v>
      </c>
      <c r="J1973" s="295"/>
      <c r="K1973" s="170"/>
      <c r="L1973" s="171"/>
      <c r="M1973" s="50"/>
      <c r="N1973" s="171"/>
      <c r="O1973" s="202"/>
      <c r="P1973" s="202"/>
      <c r="Q1973" s="202"/>
      <c r="R1973" s="162"/>
      <c r="S1973" s="162"/>
    </row>
    <row r="1974" spans="1:19">
      <c r="A1974" s="63"/>
      <c r="B1974" s="63"/>
      <c r="C1974" s="63"/>
      <c r="D1974" s="63"/>
      <c r="E1974" s="63"/>
      <c r="F1974" s="63"/>
      <c r="G1974" s="63"/>
      <c r="I1974" s="296" t="s">
        <v>792</v>
      </c>
      <c r="J1974" s="296"/>
      <c r="K1974" s="170"/>
      <c r="L1974" s="171"/>
      <c r="M1974" s="50"/>
      <c r="N1974" s="171"/>
      <c r="O1974" s="202"/>
      <c r="P1974" s="202"/>
      <c r="Q1974" s="202"/>
      <c r="R1974" s="162"/>
      <c r="S1974" s="162"/>
    </row>
    <row r="1975" spans="1:19" ht="17.25" thickBot="1">
      <c r="A1975" s="63"/>
      <c r="B1975" s="63"/>
      <c r="C1975" s="63"/>
      <c r="D1975" s="63"/>
      <c r="E1975" s="63"/>
      <c r="F1975" s="63"/>
      <c r="G1975" s="63"/>
      <c r="I1975" s="297" t="s">
        <v>793</v>
      </c>
      <c r="J1975" s="297"/>
      <c r="K1975" s="172">
        <f t="shared" ref="K1975:S1975" si="899">SUM(K1964:K1974)</f>
        <v>0</v>
      </c>
      <c r="L1975" s="205">
        <f t="shared" si="899"/>
        <v>0</v>
      </c>
      <c r="M1975" s="205">
        <f t="shared" si="899"/>
        <v>0</v>
      </c>
      <c r="N1975" s="205">
        <f t="shared" si="899"/>
        <v>0</v>
      </c>
      <c r="O1975" s="174">
        <f t="shared" si="899"/>
        <v>0</v>
      </c>
      <c r="P1975" s="174">
        <f t="shared" si="899"/>
        <v>0</v>
      </c>
      <c r="Q1975" s="174">
        <f t="shared" si="899"/>
        <v>0</v>
      </c>
      <c r="R1975" s="175">
        <f t="shared" si="899"/>
        <v>0</v>
      </c>
      <c r="S1975" s="175">
        <f t="shared" si="899"/>
        <v>0</v>
      </c>
    </row>
    <row r="1976" spans="1:19" ht="17.25" thickBot="1">
      <c r="A1976" s="63"/>
      <c r="B1976" s="63"/>
      <c r="C1976" s="63"/>
      <c r="D1976" s="63"/>
      <c r="E1976" s="63"/>
      <c r="F1976" s="63"/>
      <c r="G1976" s="63"/>
      <c r="I1976" s="298" t="s">
        <v>794</v>
      </c>
      <c r="J1976" s="299"/>
      <c r="K1976" s="176">
        <f t="shared" ref="K1976" si="900">S1955-K1975</f>
        <v>0</v>
      </c>
      <c r="L1976" s="177">
        <f t="shared" ref="L1976" si="901">K1975-L1975</f>
        <v>0</v>
      </c>
      <c r="M1976" s="177">
        <f t="shared" ref="M1976" si="902">K1975-M1975</f>
        <v>0</v>
      </c>
      <c r="N1976" s="177">
        <f t="shared" ref="N1976" si="903">K1975-N1975</f>
        <v>0</v>
      </c>
      <c r="O1976" s="178">
        <f t="shared" ref="O1976" si="904">K1975-O1975</f>
        <v>0</v>
      </c>
      <c r="P1976" s="178">
        <f t="shared" ref="P1976" si="905">K1975-P1975</f>
        <v>0</v>
      </c>
      <c r="Q1976" s="178">
        <f t="shared" ref="Q1976" si="906">K1975-Q1975</f>
        <v>0</v>
      </c>
      <c r="R1976" s="179">
        <f t="shared" ref="R1976" si="907">K1975-R1975</f>
        <v>0</v>
      </c>
      <c r="S1976" s="180">
        <f t="shared" ref="S1976" si="908">L1975-S1975</f>
        <v>0</v>
      </c>
    </row>
    <row r="1977" spans="1:19">
      <c r="A1977" s="63"/>
      <c r="B1977" s="63"/>
      <c r="C1977" s="63"/>
      <c r="D1977" s="63"/>
      <c r="E1977" s="63"/>
      <c r="F1977" s="63"/>
      <c r="G1977" s="63"/>
      <c r="I1977" s="300" t="s">
        <v>795</v>
      </c>
      <c r="J1977" s="301"/>
      <c r="K1977" s="181"/>
      <c r="L1977" s="182"/>
      <c r="M1977" s="182"/>
      <c r="N1977" s="182"/>
      <c r="O1977" s="183"/>
      <c r="P1977" s="182"/>
      <c r="Q1977" s="182"/>
      <c r="R1977" s="182"/>
      <c r="S1977" s="182"/>
    </row>
    <row r="1978" spans="1:19">
      <c r="A1978" s="63"/>
      <c r="B1978" s="63"/>
      <c r="C1978" s="63"/>
      <c r="D1978" s="63"/>
      <c r="E1978" s="63"/>
      <c r="F1978" s="63"/>
      <c r="G1978" s="63"/>
      <c r="I1978" s="302" t="s">
        <v>796</v>
      </c>
      <c r="J1978" s="302"/>
      <c r="K1978" s="184"/>
      <c r="L1978" s="203"/>
      <c r="M1978" s="203"/>
      <c r="N1978" s="203"/>
      <c r="O1978" s="203"/>
      <c r="P1978" s="203"/>
      <c r="Q1978" s="203"/>
      <c r="R1978" s="203"/>
      <c r="S1978" s="203"/>
    </row>
    <row r="1979" spans="1:19">
      <c r="A1979" s="63"/>
      <c r="B1979" s="63"/>
      <c r="C1979" s="63"/>
      <c r="D1979" s="63"/>
      <c r="E1979" s="63"/>
      <c r="F1979" s="63"/>
      <c r="G1979" s="63"/>
      <c r="I1979" s="302" t="s">
        <v>797</v>
      </c>
      <c r="J1979" s="302"/>
      <c r="K1979" s="184"/>
      <c r="L1979" s="203"/>
      <c r="M1979" s="203"/>
      <c r="N1979" s="203"/>
      <c r="O1979" s="203"/>
      <c r="P1979" s="203"/>
      <c r="Q1979" s="203"/>
      <c r="R1979" s="203"/>
      <c r="S1979" s="203"/>
    </row>
    <row r="1980" spans="1:19">
      <c r="A1980" s="63"/>
      <c r="B1980" s="63"/>
      <c r="C1980" s="63"/>
      <c r="D1980" s="63"/>
      <c r="E1980" s="63"/>
      <c r="F1980" s="63"/>
      <c r="G1980" s="63"/>
      <c r="I1980" s="303" t="s">
        <v>798</v>
      </c>
      <c r="J1980" s="303"/>
      <c r="K1980" s="184"/>
      <c r="L1980" s="185"/>
      <c r="M1980" s="185"/>
      <c r="N1980" s="185"/>
      <c r="O1980" s="185"/>
      <c r="P1980" s="204"/>
      <c r="Q1980" s="204"/>
      <c r="R1980" s="204"/>
      <c r="S1980" s="204"/>
    </row>
    <row r="1981" spans="1:19">
      <c r="A1981" s="3" t="s">
        <v>801</v>
      </c>
      <c r="B1981" s="201" t="s">
        <v>802</v>
      </c>
      <c r="C1981" s="201" t="s">
        <v>803</v>
      </c>
      <c r="D1981" s="201" t="s">
        <v>119</v>
      </c>
      <c r="E1981" s="201" t="s">
        <v>148</v>
      </c>
      <c r="F1981" s="201" t="s">
        <v>806</v>
      </c>
      <c r="G1981" s="201" t="s">
        <v>81</v>
      </c>
      <c r="I1981" s="187"/>
      <c r="J1981" s="187"/>
      <c r="K1981" s="187"/>
      <c r="L1981" s="188"/>
      <c r="M1981" s="188"/>
      <c r="N1981" s="188"/>
      <c r="O1981" s="188"/>
      <c r="P1981" s="187"/>
      <c r="Q1981" s="187"/>
      <c r="R1981" s="187"/>
      <c r="S1981" s="187"/>
    </row>
    <row r="1982" spans="1:19">
      <c r="A1982" s="293">
        <v>44138</v>
      </c>
      <c r="B1982" s="161"/>
      <c r="C1982" s="162"/>
      <c r="D1982" s="162"/>
      <c r="E1982" s="162"/>
      <c r="F1982" s="162"/>
      <c r="G1982" s="163"/>
      <c r="I1982" s="191"/>
      <c r="J1982" s="190"/>
      <c r="K1982" s="190"/>
      <c r="L1982" s="190"/>
      <c r="M1982" s="190">
        <v>44138</v>
      </c>
      <c r="N1982" s="189" t="s">
        <v>864</v>
      </c>
      <c r="O1982" s="189"/>
      <c r="P1982" s="189"/>
      <c r="Q1982" s="189"/>
      <c r="R1982" s="189"/>
      <c r="S1982" s="189"/>
    </row>
    <row r="1983" spans="1:19">
      <c r="A1983" s="294"/>
      <c r="B1983" s="164"/>
      <c r="C1983" s="165"/>
      <c r="D1983" s="165"/>
      <c r="E1983" s="165"/>
      <c r="F1983" s="165"/>
      <c r="G1983" s="166"/>
      <c r="I1983" s="304"/>
      <c r="J1983" s="304"/>
      <c r="K1983" s="167"/>
      <c r="L1983" s="168"/>
      <c r="M1983" s="168"/>
      <c r="N1983" s="168"/>
      <c r="O1983" s="169"/>
      <c r="P1983" s="169"/>
      <c r="Q1983" s="169"/>
      <c r="R1983" s="161"/>
      <c r="S1983" s="161"/>
    </row>
    <row r="1984" spans="1:19">
      <c r="A1984" s="294"/>
      <c r="B1984" s="161"/>
      <c r="C1984" s="162"/>
      <c r="D1984" s="162"/>
      <c r="E1984" s="162"/>
      <c r="F1984" s="162"/>
      <c r="G1984" s="163"/>
      <c r="I1984" s="295" t="s">
        <v>782</v>
      </c>
      <c r="J1984" s="296"/>
      <c r="K1984" s="170"/>
      <c r="L1984" s="171"/>
      <c r="M1984" s="50"/>
      <c r="N1984" s="171"/>
      <c r="O1984" s="202"/>
      <c r="P1984" s="202"/>
      <c r="Q1984" s="202"/>
      <c r="R1984" s="162"/>
      <c r="S1984" s="162"/>
    </row>
    <row r="1985" spans="1:19">
      <c r="A1985" s="294"/>
      <c r="B1985" s="164"/>
      <c r="C1985" s="165"/>
      <c r="D1985" s="165"/>
      <c r="E1985" s="165"/>
      <c r="F1985" s="165"/>
      <c r="G1985" s="166"/>
      <c r="I1985" s="295" t="s">
        <v>783</v>
      </c>
      <c r="J1985" s="295"/>
      <c r="K1985" s="170"/>
      <c r="L1985" s="171"/>
      <c r="M1985" s="50"/>
      <c r="N1985" s="171"/>
      <c r="O1985" s="202"/>
      <c r="P1985" s="202"/>
      <c r="Q1985" s="202"/>
      <c r="R1985" s="162"/>
      <c r="S1985" s="162"/>
    </row>
    <row r="1986" spans="1:19">
      <c r="A1986" s="294"/>
      <c r="B1986" s="161"/>
      <c r="C1986" s="162"/>
      <c r="D1986" s="162"/>
      <c r="E1986" s="162"/>
      <c r="F1986" s="162"/>
      <c r="G1986" s="163"/>
      <c r="I1986" s="295" t="s">
        <v>784</v>
      </c>
      <c r="J1986" s="295"/>
      <c r="K1986" s="170"/>
      <c r="L1986" s="171"/>
      <c r="M1986" s="50"/>
      <c r="N1986" s="171"/>
      <c r="O1986" s="202"/>
      <c r="P1986" s="202"/>
      <c r="Q1986" s="202"/>
      <c r="R1986" s="162"/>
      <c r="S1986" s="162"/>
    </row>
    <row r="1987" spans="1:19">
      <c r="A1987" s="294"/>
      <c r="B1987" s="164"/>
      <c r="C1987" s="165"/>
      <c r="D1987" s="165"/>
      <c r="E1987" s="165"/>
      <c r="F1987" s="165"/>
      <c r="G1987" s="166"/>
      <c r="I1987" s="295" t="s">
        <v>785</v>
      </c>
      <c r="J1987" s="295"/>
      <c r="K1987" s="170"/>
      <c r="L1987" s="171"/>
      <c r="M1987" s="50"/>
      <c r="N1987" s="171"/>
      <c r="O1987" s="202"/>
      <c r="P1987" s="202"/>
      <c r="Q1987" s="202"/>
      <c r="R1987" s="162"/>
      <c r="S1987" s="162"/>
    </row>
    <row r="1988" spans="1:19">
      <c r="A1988" s="294"/>
      <c r="B1988" s="161"/>
      <c r="C1988" s="162"/>
      <c r="D1988" s="162"/>
      <c r="E1988" s="162"/>
      <c r="F1988" s="162"/>
      <c r="G1988" s="163"/>
      <c r="I1988" s="295" t="s">
        <v>786</v>
      </c>
      <c r="J1988" s="295"/>
      <c r="K1988" s="170"/>
      <c r="L1988" s="171"/>
      <c r="M1988" s="50"/>
      <c r="N1988" s="171"/>
      <c r="O1988" s="202"/>
      <c r="P1988" s="202"/>
      <c r="Q1988" s="202"/>
      <c r="R1988" s="162"/>
      <c r="S1988" s="162"/>
    </row>
    <row r="1989" spans="1:19">
      <c r="A1989" s="294"/>
      <c r="B1989" s="164"/>
      <c r="C1989" s="165"/>
      <c r="D1989" s="165"/>
      <c r="E1989" s="165"/>
      <c r="F1989" s="165"/>
      <c r="G1989" s="166"/>
      <c r="I1989" s="295" t="s">
        <v>787</v>
      </c>
      <c r="J1989" s="295"/>
      <c r="K1989" s="170"/>
      <c r="L1989" s="171"/>
      <c r="M1989" s="50"/>
      <c r="N1989" s="171"/>
      <c r="O1989" s="202"/>
      <c r="P1989" s="202"/>
      <c r="Q1989" s="202"/>
      <c r="R1989" s="162"/>
      <c r="S1989" s="162"/>
    </row>
    <row r="1990" spans="1:19">
      <c r="A1990" s="294"/>
      <c r="B1990" s="161"/>
      <c r="C1990" s="162"/>
      <c r="D1990" s="162"/>
      <c r="E1990" s="162"/>
      <c r="F1990" s="162"/>
      <c r="G1990" s="163"/>
      <c r="I1990" s="295" t="s">
        <v>788</v>
      </c>
      <c r="J1990" s="295"/>
      <c r="K1990" s="170"/>
      <c r="L1990" s="171"/>
      <c r="M1990" s="50"/>
      <c r="N1990" s="171"/>
      <c r="O1990" s="202"/>
      <c r="P1990" s="202"/>
      <c r="Q1990" s="202"/>
      <c r="R1990" s="162"/>
      <c r="S1990" s="162"/>
    </row>
    <row r="1991" spans="1:19">
      <c r="A1991" s="294"/>
      <c r="B1991" s="164"/>
      <c r="C1991" s="165"/>
      <c r="D1991" s="165"/>
      <c r="E1991" s="165"/>
      <c r="F1991" s="165"/>
      <c r="G1991" s="166"/>
      <c r="I1991" s="295" t="s">
        <v>789</v>
      </c>
      <c r="J1991" s="295"/>
      <c r="K1991" s="170"/>
      <c r="L1991" s="171"/>
      <c r="M1991" s="50"/>
      <c r="N1991" s="171"/>
      <c r="O1991" s="202"/>
      <c r="P1991" s="202"/>
      <c r="Q1991" s="202"/>
      <c r="R1991" s="162"/>
      <c r="S1991" s="162"/>
    </row>
    <row r="1992" spans="1:19">
      <c r="A1992" s="63"/>
      <c r="B1992" s="63"/>
      <c r="C1992" s="63"/>
      <c r="D1992" s="63"/>
      <c r="E1992" s="63"/>
      <c r="F1992" s="63"/>
      <c r="G1992" s="63"/>
      <c r="I1992" s="295" t="s">
        <v>790</v>
      </c>
      <c r="J1992" s="295"/>
      <c r="K1992" s="170"/>
      <c r="L1992" s="171"/>
      <c r="M1992" s="50"/>
      <c r="N1992" s="171"/>
      <c r="O1992" s="202"/>
      <c r="P1992" s="202"/>
      <c r="Q1992" s="202"/>
      <c r="R1992" s="162"/>
      <c r="S1992" s="162"/>
    </row>
    <row r="1993" spans="1:19">
      <c r="A1993" s="63"/>
      <c r="B1993" s="63"/>
      <c r="C1993" s="63"/>
      <c r="D1993" s="63"/>
      <c r="E1993" s="63"/>
      <c r="F1993" s="63"/>
      <c r="G1993" s="63"/>
      <c r="I1993" s="295" t="s">
        <v>791</v>
      </c>
      <c r="J1993" s="295"/>
      <c r="K1993" s="170"/>
      <c r="L1993" s="171"/>
      <c r="M1993" s="50"/>
      <c r="N1993" s="171"/>
      <c r="O1993" s="202"/>
      <c r="P1993" s="202"/>
      <c r="Q1993" s="202"/>
      <c r="R1993" s="162"/>
      <c r="S1993" s="162"/>
    </row>
    <row r="1994" spans="1:19">
      <c r="A1994" s="63"/>
      <c r="B1994" s="63"/>
      <c r="C1994" s="63"/>
      <c r="D1994" s="63"/>
      <c r="E1994" s="63"/>
      <c r="F1994" s="63"/>
      <c r="G1994" s="63"/>
      <c r="I1994" s="296" t="s">
        <v>792</v>
      </c>
      <c r="J1994" s="296"/>
      <c r="K1994" s="170"/>
      <c r="L1994" s="171"/>
      <c r="M1994" s="50"/>
      <c r="N1994" s="171"/>
      <c r="O1994" s="202"/>
      <c r="P1994" s="202"/>
      <c r="Q1994" s="202"/>
      <c r="R1994" s="162"/>
      <c r="S1994" s="162"/>
    </row>
    <row r="1995" spans="1:19" ht="17.25" thickBot="1">
      <c r="A1995" s="63"/>
      <c r="B1995" s="63"/>
      <c r="C1995" s="63"/>
      <c r="D1995" s="63"/>
      <c r="E1995" s="63"/>
      <c r="F1995" s="63"/>
      <c r="G1995" s="63"/>
      <c r="I1995" s="297" t="s">
        <v>793</v>
      </c>
      <c r="J1995" s="297"/>
      <c r="K1995" s="172">
        <f t="shared" ref="K1995:S1995" si="909">SUM(K1984:K1994)</f>
        <v>0</v>
      </c>
      <c r="L1995" s="205">
        <f t="shared" si="909"/>
        <v>0</v>
      </c>
      <c r="M1995" s="205">
        <f t="shared" si="909"/>
        <v>0</v>
      </c>
      <c r="N1995" s="205">
        <f t="shared" si="909"/>
        <v>0</v>
      </c>
      <c r="O1995" s="174">
        <f t="shared" si="909"/>
        <v>0</v>
      </c>
      <c r="P1995" s="174">
        <f t="shared" si="909"/>
        <v>0</v>
      </c>
      <c r="Q1995" s="174">
        <f t="shared" si="909"/>
        <v>0</v>
      </c>
      <c r="R1995" s="175">
        <f t="shared" si="909"/>
        <v>0</v>
      </c>
      <c r="S1995" s="175">
        <f t="shared" si="909"/>
        <v>0</v>
      </c>
    </row>
    <row r="1996" spans="1:19" ht="17.25" thickBot="1">
      <c r="A1996" s="63"/>
      <c r="B1996" s="63"/>
      <c r="C1996" s="63"/>
      <c r="D1996" s="63"/>
      <c r="E1996" s="63"/>
      <c r="F1996" s="63"/>
      <c r="G1996" s="63"/>
      <c r="I1996" s="298" t="s">
        <v>794</v>
      </c>
      <c r="J1996" s="299"/>
      <c r="K1996" s="176">
        <f t="shared" ref="K1996" si="910">S1975-K1995</f>
        <v>0</v>
      </c>
      <c r="L1996" s="177">
        <f t="shared" ref="L1996" si="911">K1995-L1995</f>
        <v>0</v>
      </c>
      <c r="M1996" s="177">
        <f t="shared" ref="M1996" si="912">K1995-M1995</f>
        <v>0</v>
      </c>
      <c r="N1996" s="177">
        <f t="shared" ref="N1996" si="913">K1995-N1995</f>
        <v>0</v>
      </c>
      <c r="O1996" s="178">
        <f t="shared" ref="O1996" si="914">K1995-O1995</f>
        <v>0</v>
      </c>
      <c r="P1996" s="178">
        <f t="shared" ref="P1996" si="915">K1995-P1995</f>
        <v>0</v>
      </c>
      <c r="Q1996" s="178">
        <f t="shared" ref="Q1996" si="916">K1995-Q1995</f>
        <v>0</v>
      </c>
      <c r="R1996" s="179">
        <f t="shared" ref="R1996" si="917">K1995-R1995</f>
        <v>0</v>
      </c>
      <c r="S1996" s="180">
        <f t="shared" ref="S1996" si="918">L1995-S1995</f>
        <v>0</v>
      </c>
    </row>
    <row r="1997" spans="1:19">
      <c r="A1997" s="63"/>
      <c r="B1997" s="63"/>
      <c r="C1997" s="63"/>
      <c r="D1997" s="63"/>
      <c r="E1997" s="63"/>
      <c r="F1997" s="63"/>
      <c r="G1997" s="63"/>
      <c r="I1997" s="300" t="s">
        <v>795</v>
      </c>
      <c r="J1997" s="301"/>
      <c r="K1997" s="181"/>
      <c r="L1997" s="182"/>
      <c r="M1997" s="182"/>
      <c r="N1997" s="182"/>
      <c r="O1997" s="183"/>
      <c r="P1997" s="182"/>
      <c r="Q1997" s="182"/>
      <c r="R1997" s="182"/>
      <c r="S1997" s="182"/>
    </row>
    <row r="1998" spans="1:19">
      <c r="A1998" s="63"/>
      <c r="B1998" s="63"/>
      <c r="C1998" s="63"/>
      <c r="D1998" s="63"/>
      <c r="E1998" s="63"/>
      <c r="F1998" s="63"/>
      <c r="G1998" s="63"/>
      <c r="I1998" s="302" t="s">
        <v>796</v>
      </c>
      <c r="J1998" s="302"/>
      <c r="K1998" s="184"/>
      <c r="L1998" s="203"/>
      <c r="M1998" s="203"/>
      <c r="N1998" s="203"/>
      <c r="O1998" s="203"/>
      <c r="P1998" s="203"/>
      <c r="Q1998" s="203"/>
      <c r="R1998" s="203"/>
      <c r="S1998" s="203"/>
    </row>
    <row r="1999" spans="1:19">
      <c r="A1999" s="63"/>
      <c r="B1999" s="63"/>
      <c r="C1999" s="63"/>
      <c r="D1999" s="63"/>
      <c r="E1999" s="63"/>
      <c r="F1999" s="63"/>
      <c r="G1999" s="63"/>
      <c r="I1999" s="302" t="s">
        <v>797</v>
      </c>
      <c r="J1999" s="302"/>
      <c r="K1999" s="184"/>
      <c r="L1999" s="203"/>
      <c r="M1999" s="203"/>
      <c r="N1999" s="203"/>
      <c r="O1999" s="203"/>
      <c r="P1999" s="203"/>
      <c r="Q1999" s="203"/>
      <c r="R1999" s="203"/>
      <c r="S1999" s="203"/>
    </row>
    <row r="2000" spans="1:19">
      <c r="A2000" s="63"/>
      <c r="B2000" s="63"/>
      <c r="C2000" s="63"/>
      <c r="D2000" s="63"/>
      <c r="E2000" s="63"/>
      <c r="F2000" s="63"/>
      <c r="G2000" s="63"/>
      <c r="I2000" s="303" t="s">
        <v>798</v>
      </c>
      <c r="J2000" s="303"/>
      <c r="K2000" s="184"/>
      <c r="L2000" s="185"/>
      <c r="M2000" s="185"/>
      <c r="N2000" s="185"/>
      <c r="O2000" s="185"/>
      <c r="P2000" s="204"/>
      <c r="Q2000" s="204"/>
      <c r="R2000" s="204"/>
      <c r="S2000" s="204"/>
    </row>
    <row r="2001" spans="1:19">
      <c r="A2001" s="3" t="s">
        <v>801</v>
      </c>
      <c r="B2001" s="201" t="s">
        <v>802</v>
      </c>
      <c r="C2001" s="201" t="s">
        <v>803</v>
      </c>
      <c r="D2001" s="201" t="s">
        <v>119</v>
      </c>
      <c r="E2001" s="201" t="s">
        <v>148</v>
      </c>
      <c r="F2001" s="201" t="s">
        <v>806</v>
      </c>
      <c r="G2001" s="201" t="s">
        <v>81</v>
      </c>
      <c r="I2001" s="187"/>
      <c r="J2001" s="187"/>
      <c r="K2001" s="187"/>
      <c r="L2001" s="188"/>
      <c r="M2001" s="188"/>
      <c r="N2001" s="188"/>
      <c r="O2001" s="188"/>
      <c r="P2001" s="187"/>
      <c r="Q2001" s="187"/>
      <c r="R2001" s="187"/>
      <c r="S2001" s="187"/>
    </row>
    <row r="2002" spans="1:19">
      <c r="A2002" s="293">
        <v>44139</v>
      </c>
      <c r="B2002" s="161"/>
      <c r="C2002" s="162"/>
      <c r="D2002" s="162"/>
      <c r="E2002" s="162"/>
      <c r="F2002" s="162"/>
      <c r="G2002" s="163"/>
      <c r="I2002" s="191"/>
      <c r="J2002" s="190"/>
      <c r="K2002" s="190"/>
      <c r="L2002" s="190"/>
      <c r="M2002" s="190">
        <v>44139</v>
      </c>
      <c r="N2002" s="189" t="s">
        <v>864</v>
      </c>
      <c r="O2002" s="189"/>
      <c r="P2002" s="189"/>
      <c r="Q2002" s="189"/>
      <c r="R2002" s="189"/>
      <c r="S2002" s="189"/>
    </row>
    <row r="2003" spans="1:19">
      <c r="A2003" s="294"/>
      <c r="B2003" s="164"/>
      <c r="C2003" s="165"/>
      <c r="D2003" s="165"/>
      <c r="E2003" s="165"/>
      <c r="F2003" s="165"/>
      <c r="G2003" s="166"/>
      <c r="I2003" s="304"/>
      <c r="J2003" s="304"/>
      <c r="K2003" s="167"/>
      <c r="L2003" s="168"/>
      <c r="M2003" s="168"/>
      <c r="N2003" s="168"/>
      <c r="O2003" s="169"/>
      <c r="P2003" s="169"/>
      <c r="Q2003" s="169"/>
      <c r="R2003" s="161"/>
      <c r="S2003" s="161"/>
    </row>
    <row r="2004" spans="1:19">
      <c r="A2004" s="294"/>
      <c r="B2004" s="161"/>
      <c r="C2004" s="162"/>
      <c r="D2004" s="162"/>
      <c r="E2004" s="162"/>
      <c r="F2004" s="162"/>
      <c r="G2004" s="163"/>
      <c r="I2004" s="295" t="s">
        <v>782</v>
      </c>
      <c r="J2004" s="296"/>
      <c r="K2004" s="170"/>
      <c r="L2004" s="171"/>
      <c r="M2004" s="50"/>
      <c r="N2004" s="171"/>
      <c r="O2004" s="202"/>
      <c r="P2004" s="202"/>
      <c r="Q2004" s="202"/>
      <c r="R2004" s="162"/>
      <c r="S2004" s="162"/>
    </row>
    <row r="2005" spans="1:19">
      <c r="A2005" s="294"/>
      <c r="B2005" s="164"/>
      <c r="C2005" s="165"/>
      <c r="D2005" s="165"/>
      <c r="E2005" s="165"/>
      <c r="F2005" s="165"/>
      <c r="G2005" s="166"/>
      <c r="I2005" s="295" t="s">
        <v>783</v>
      </c>
      <c r="J2005" s="295"/>
      <c r="K2005" s="170"/>
      <c r="L2005" s="171"/>
      <c r="M2005" s="50"/>
      <c r="N2005" s="171"/>
      <c r="O2005" s="202"/>
      <c r="P2005" s="202"/>
      <c r="Q2005" s="202"/>
      <c r="R2005" s="162"/>
      <c r="S2005" s="162"/>
    </row>
    <row r="2006" spans="1:19">
      <c r="A2006" s="294"/>
      <c r="B2006" s="161"/>
      <c r="C2006" s="162"/>
      <c r="D2006" s="162"/>
      <c r="E2006" s="162"/>
      <c r="F2006" s="162"/>
      <c r="G2006" s="163"/>
      <c r="I2006" s="295" t="s">
        <v>784</v>
      </c>
      <c r="J2006" s="295"/>
      <c r="K2006" s="170"/>
      <c r="L2006" s="171"/>
      <c r="M2006" s="50"/>
      <c r="N2006" s="171"/>
      <c r="O2006" s="202"/>
      <c r="P2006" s="202"/>
      <c r="Q2006" s="202"/>
      <c r="R2006" s="162"/>
      <c r="S2006" s="162"/>
    </row>
    <row r="2007" spans="1:19">
      <c r="A2007" s="294"/>
      <c r="B2007" s="164"/>
      <c r="C2007" s="165"/>
      <c r="D2007" s="165"/>
      <c r="E2007" s="165"/>
      <c r="F2007" s="165"/>
      <c r="G2007" s="166"/>
      <c r="I2007" s="295" t="s">
        <v>785</v>
      </c>
      <c r="J2007" s="295"/>
      <c r="K2007" s="170"/>
      <c r="L2007" s="171"/>
      <c r="M2007" s="50"/>
      <c r="N2007" s="171"/>
      <c r="O2007" s="202"/>
      <c r="P2007" s="202"/>
      <c r="Q2007" s="202"/>
      <c r="R2007" s="162"/>
      <c r="S2007" s="162"/>
    </row>
    <row r="2008" spans="1:19">
      <c r="A2008" s="294"/>
      <c r="B2008" s="161"/>
      <c r="C2008" s="162"/>
      <c r="D2008" s="162"/>
      <c r="E2008" s="162"/>
      <c r="F2008" s="162"/>
      <c r="G2008" s="163"/>
      <c r="I2008" s="295" t="s">
        <v>786</v>
      </c>
      <c r="J2008" s="295"/>
      <c r="K2008" s="170"/>
      <c r="L2008" s="171"/>
      <c r="M2008" s="50"/>
      <c r="N2008" s="171"/>
      <c r="O2008" s="202"/>
      <c r="P2008" s="202"/>
      <c r="Q2008" s="202"/>
      <c r="R2008" s="162"/>
      <c r="S2008" s="162"/>
    </row>
    <row r="2009" spans="1:19">
      <c r="A2009" s="294"/>
      <c r="B2009" s="164"/>
      <c r="C2009" s="165"/>
      <c r="D2009" s="165"/>
      <c r="E2009" s="165"/>
      <c r="F2009" s="165"/>
      <c r="G2009" s="166"/>
      <c r="I2009" s="295" t="s">
        <v>787</v>
      </c>
      <c r="J2009" s="295"/>
      <c r="K2009" s="170"/>
      <c r="L2009" s="171"/>
      <c r="M2009" s="50"/>
      <c r="N2009" s="171"/>
      <c r="O2009" s="202"/>
      <c r="P2009" s="202"/>
      <c r="Q2009" s="202"/>
      <c r="R2009" s="162"/>
      <c r="S2009" s="162"/>
    </row>
    <row r="2010" spans="1:19">
      <c r="A2010" s="294"/>
      <c r="B2010" s="161"/>
      <c r="C2010" s="162"/>
      <c r="D2010" s="162"/>
      <c r="E2010" s="162"/>
      <c r="F2010" s="162"/>
      <c r="G2010" s="163"/>
      <c r="I2010" s="295" t="s">
        <v>788</v>
      </c>
      <c r="J2010" s="295"/>
      <c r="K2010" s="170"/>
      <c r="L2010" s="171"/>
      <c r="M2010" s="50"/>
      <c r="N2010" s="171"/>
      <c r="O2010" s="202"/>
      <c r="P2010" s="202"/>
      <c r="Q2010" s="202"/>
      <c r="R2010" s="162"/>
      <c r="S2010" s="162"/>
    </row>
    <row r="2011" spans="1:19">
      <c r="A2011" s="294"/>
      <c r="B2011" s="164"/>
      <c r="C2011" s="165"/>
      <c r="D2011" s="165"/>
      <c r="E2011" s="165"/>
      <c r="F2011" s="165"/>
      <c r="G2011" s="166"/>
      <c r="I2011" s="295" t="s">
        <v>789</v>
      </c>
      <c r="J2011" s="295"/>
      <c r="K2011" s="170"/>
      <c r="L2011" s="171"/>
      <c r="M2011" s="50"/>
      <c r="N2011" s="171"/>
      <c r="O2011" s="202"/>
      <c r="P2011" s="202"/>
      <c r="Q2011" s="202"/>
      <c r="R2011" s="162"/>
      <c r="S2011" s="162"/>
    </row>
    <row r="2012" spans="1:19">
      <c r="A2012" s="63"/>
      <c r="B2012" s="63"/>
      <c r="C2012" s="63"/>
      <c r="D2012" s="63"/>
      <c r="E2012" s="63"/>
      <c r="F2012" s="63"/>
      <c r="G2012" s="63"/>
      <c r="I2012" s="295" t="s">
        <v>790</v>
      </c>
      <c r="J2012" s="295"/>
      <c r="K2012" s="170"/>
      <c r="L2012" s="171"/>
      <c r="M2012" s="50"/>
      <c r="N2012" s="171"/>
      <c r="O2012" s="202"/>
      <c r="P2012" s="202"/>
      <c r="Q2012" s="202"/>
      <c r="R2012" s="162"/>
      <c r="S2012" s="162"/>
    </row>
    <row r="2013" spans="1:19">
      <c r="A2013" s="63"/>
      <c r="B2013" s="63"/>
      <c r="C2013" s="63"/>
      <c r="D2013" s="63"/>
      <c r="E2013" s="63"/>
      <c r="F2013" s="63"/>
      <c r="G2013" s="63"/>
      <c r="I2013" s="295" t="s">
        <v>791</v>
      </c>
      <c r="J2013" s="295"/>
      <c r="K2013" s="170"/>
      <c r="L2013" s="171"/>
      <c r="M2013" s="50"/>
      <c r="N2013" s="171"/>
      <c r="O2013" s="202"/>
      <c r="P2013" s="202"/>
      <c r="Q2013" s="202"/>
      <c r="R2013" s="162"/>
      <c r="S2013" s="162"/>
    </row>
    <row r="2014" spans="1:19">
      <c r="A2014" s="63"/>
      <c r="B2014" s="63"/>
      <c r="C2014" s="63"/>
      <c r="D2014" s="63"/>
      <c r="E2014" s="63"/>
      <c r="F2014" s="63"/>
      <c r="G2014" s="63"/>
      <c r="I2014" s="296" t="s">
        <v>792</v>
      </c>
      <c r="J2014" s="296"/>
      <c r="K2014" s="170"/>
      <c r="L2014" s="171"/>
      <c r="M2014" s="50"/>
      <c r="N2014" s="171"/>
      <c r="O2014" s="202"/>
      <c r="P2014" s="202"/>
      <c r="Q2014" s="202"/>
      <c r="R2014" s="162"/>
      <c r="S2014" s="162"/>
    </row>
    <row r="2015" spans="1:19" ht="17.25" thickBot="1">
      <c r="A2015" s="63"/>
      <c r="B2015" s="63"/>
      <c r="C2015" s="63"/>
      <c r="D2015" s="63"/>
      <c r="E2015" s="63"/>
      <c r="F2015" s="63"/>
      <c r="G2015" s="63"/>
      <c r="I2015" s="297" t="s">
        <v>793</v>
      </c>
      <c r="J2015" s="297"/>
      <c r="K2015" s="172">
        <f t="shared" ref="K2015:S2015" si="919">SUM(K2004:K2014)</f>
        <v>0</v>
      </c>
      <c r="L2015" s="205">
        <f t="shared" si="919"/>
        <v>0</v>
      </c>
      <c r="M2015" s="205">
        <f t="shared" si="919"/>
        <v>0</v>
      </c>
      <c r="N2015" s="205">
        <f t="shared" si="919"/>
        <v>0</v>
      </c>
      <c r="O2015" s="174">
        <f t="shared" si="919"/>
        <v>0</v>
      </c>
      <c r="P2015" s="174">
        <f t="shared" si="919"/>
        <v>0</v>
      </c>
      <c r="Q2015" s="174">
        <f t="shared" si="919"/>
        <v>0</v>
      </c>
      <c r="R2015" s="175">
        <f t="shared" si="919"/>
        <v>0</v>
      </c>
      <c r="S2015" s="175">
        <f t="shared" si="919"/>
        <v>0</v>
      </c>
    </row>
    <row r="2016" spans="1:19" ht="17.25" thickBot="1">
      <c r="A2016" s="63"/>
      <c r="B2016" s="63"/>
      <c r="C2016" s="63"/>
      <c r="D2016" s="63"/>
      <c r="E2016" s="63"/>
      <c r="F2016" s="63"/>
      <c r="G2016" s="63"/>
      <c r="I2016" s="298" t="s">
        <v>794</v>
      </c>
      <c r="J2016" s="299"/>
      <c r="K2016" s="176">
        <f t="shared" ref="K2016" si="920">S1995-K2015</f>
        <v>0</v>
      </c>
      <c r="L2016" s="177">
        <f t="shared" ref="L2016" si="921">K2015-L2015</f>
        <v>0</v>
      </c>
      <c r="M2016" s="177">
        <f t="shared" ref="M2016" si="922">K2015-M2015</f>
        <v>0</v>
      </c>
      <c r="N2016" s="177">
        <f t="shared" ref="N2016" si="923">K2015-N2015</f>
        <v>0</v>
      </c>
      <c r="O2016" s="178">
        <f t="shared" ref="O2016" si="924">K2015-O2015</f>
        <v>0</v>
      </c>
      <c r="P2016" s="178">
        <f t="shared" ref="P2016" si="925">K2015-P2015</f>
        <v>0</v>
      </c>
      <c r="Q2016" s="178">
        <f t="shared" ref="Q2016" si="926">K2015-Q2015</f>
        <v>0</v>
      </c>
      <c r="R2016" s="179">
        <f t="shared" ref="R2016" si="927">K2015-R2015</f>
        <v>0</v>
      </c>
      <c r="S2016" s="180">
        <f t="shared" ref="S2016" si="928">L2015-S2015</f>
        <v>0</v>
      </c>
    </row>
    <row r="2017" spans="1:19">
      <c r="A2017" s="63"/>
      <c r="B2017" s="63"/>
      <c r="C2017" s="63"/>
      <c r="D2017" s="63"/>
      <c r="E2017" s="63"/>
      <c r="F2017" s="63"/>
      <c r="G2017" s="63"/>
      <c r="I2017" s="300" t="s">
        <v>795</v>
      </c>
      <c r="J2017" s="301"/>
      <c r="K2017" s="181"/>
      <c r="L2017" s="182"/>
      <c r="M2017" s="182"/>
      <c r="N2017" s="182"/>
      <c r="O2017" s="183"/>
      <c r="P2017" s="182"/>
      <c r="Q2017" s="182"/>
      <c r="R2017" s="182"/>
      <c r="S2017" s="182"/>
    </row>
    <row r="2018" spans="1:19">
      <c r="A2018" s="63"/>
      <c r="B2018" s="63"/>
      <c r="C2018" s="63"/>
      <c r="D2018" s="63"/>
      <c r="E2018" s="63"/>
      <c r="F2018" s="63"/>
      <c r="G2018" s="63"/>
      <c r="I2018" s="302" t="s">
        <v>796</v>
      </c>
      <c r="J2018" s="302"/>
      <c r="K2018" s="184"/>
      <c r="L2018" s="203"/>
      <c r="M2018" s="203"/>
      <c r="N2018" s="203"/>
      <c r="O2018" s="203"/>
      <c r="P2018" s="203"/>
      <c r="Q2018" s="203"/>
      <c r="R2018" s="203"/>
      <c r="S2018" s="203"/>
    </row>
    <row r="2019" spans="1:19">
      <c r="A2019" s="63"/>
      <c r="B2019" s="63"/>
      <c r="C2019" s="63"/>
      <c r="D2019" s="63"/>
      <c r="E2019" s="63"/>
      <c r="F2019" s="63"/>
      <c r="G2019" s="63"/>
      <c r="I2019" s="302" t="s">
        <v>797</v>
      </c>
      <c r="J2019" s="302"/>
      <c r="K2019" s="184"/>
      <c r="L2019" s="203"/>
      <c r="M2019" s="203"/>
      <c r="N2019" s="203"/>
      <c r="O2019" s="203"/>
      <c r="P2019" s="203"/>
      <c r="Q2019" s="203"/>
      <c r="R2019" s="203"/>
      <c r="S2019" s="203"/>
    </row>
    <row r="2020" spans="1:19">
      <c r="A2020" s="63"/>
      <c r="B2020" s="63"/>
      <c r="C2020" s="63"/>
      <c r="D2020" s="63"/>
      <c r="E2020" s="63"/>
      <c r="F2020" s="63"/>
      <c r="G2020" s="63"/>
      <c r="I2020" s="303" t="s">
        <v>798</v>
      </c>
      <c r="J2020" s="303"/>
      <c r="K2020" s="184"/>
      <c r="L2020" s="185"/>
      <c r="M2020" s="185"/>
      <c r="N2020" s="185"/>
      <c r="O2020" s="185"/>
      <c r="P2020" s="204"/>
      <c r="Q2020" s="204"/>
      <c r="R2020" s="204"/>
      <c r="S2020" s="204"/>
    </row>
    <row r="2021" spans="1:19">
      <c r="A2021" s="3" t="s">
        <v>801</v>
      </c>
      <c r="B2021" s="201" t="s">
        <v>802</v>
      </c>
      <c r="C2021" s="201" t="s">
        <v>803</v>
      </c>
      <c r="D2021" s="201" t="s">
        <v>119</v>
      </c>
      <c r="E2021" s="201" t="s">
        <v>148</v>
      </c>
      <c r="F2021" s="201" t="s">
        <v>806</v>
      </c>
      <c r="G2021" s="201" t="s">
        <v>81</v>
      </c>
      <c r="I2021" s="187"/>
      <c r="J2021" s="187"/>
      <c r="K2021" s="187"/>
      <c r="L2021" s="188"/>
      <c r="M2021" s="188"/>
      <c r="N2021" s="188"/>
      <c r="O2021" s="188"/>
      <c r="P2021" s="187"/>
      <c r="Q2021" s="187"/>
      <c r="R2021" s="187"/>
      <c r="S2021" s="187"/>
    </row>
    <row r="2022" spans="1:19">
      <c r="A2022" s="293">
        <v>44140</v>
      </c>
      <c r="B2022" s="161"/>
      <c r="C2022" s="162"/>
      <c r="D2022" s="162"/>
      <c r="E2022" s="162"/>
      <c r="F2022" s="162"/>
      <c r="G2022" s="163"/>
      <c r="I2022" s="191"/>
      <c r="J2022" s="190"/>
      <c r="K2022" s="190"/>
      <c r="L2022" s="190"/>
      <c r="M2022" s="190">
        <v>44140</v>
      </c>
      <c r="N2022" s="189" t="s">
        <v>864</v>
      </c>
      <c r="O2022" s="189"/>
      <c r="P2022" s="189"/>
      <c r="Q2022" s="189"/>
      <c r="R2022" s="189"/>
      <c r="S2022" s="189"/>
    </row>
    <row r="2023" spans="1:19">
      <c r="A2023" s="294"/>
      <c r="B2023" s="164"/>
      <c r="C2023" s="165"/>
      <c r="D2023" s="165"/>
      <c r="E2023" s="165"/>
      <c r="F2023" s="165"/>
      <c r="G2023" s="166"/>
      <c r="I2023" s="304"/>
      <c r="J2023" s="304"/>
      <c r="K2023" s="167"/>
      <c r="L2023" s="168"/>
      <c r="M2023" s="168"/>
      <c r="N2023" s="168"/>
      <c r="O2023" s="169"/>
      <c r="P2023" s="169"/>
      <c r="Q2023" s="169"/>
      <c r="R2023" s="161"/>
      <c r="S2023" s="161"/>
    </row>
    <row r="2024" spans="1:19">
      <c r="A2024" s="294"/>
      <c r="B2024" s="161"/>
      <c r="C2024" s="162"/>
      <c r="D2024" s="162"/>
      <c r="E2024" s="162"/>
      <c r="F2024" s="162"/>
      <c r="G2024" s="163"/>
      <c r="I2024" s="295" t="s">
        <v>782</v>
      </c>
      <c r="J2024" s="296"/>
      <c r="K2024" s="170"/>
      <c r="L2024" s="171"/>
      <c r="M2024" s="50"/>
      <c r="N2024" s="171"/>
      <c r="O2024" s="202"/>
      <c r="P2024" s="202"/>
      <c r="Q2024" s="202"/>
      <c r="R2024" s="162"/>
      <c r="S2024" s="162"/>
    </row>
    <row r="2025" spans="1:19">
      <c r="A2025" s="294"/>
      <c r="B2025" s="164"/>
      <c r="C2025" s="165"/>
      <c r="D2025" s="165"/>
      <c r="E2025" s="165"/>
      <c r="F2025" s="165"/>
      <c r="G2025" s="166"/>
      <c r="I2025" s="295" t="s">
        <v>783</v>
      </c>
      <c r="J2025" s="295"/>
      <c r="K2025" s="170"/>
      <c r="L2025" s="171"/>
      <c r="M2025" s="50"/>
      <c r="N2025" s="171"/>
      <c r="O2025" s="202"/>
      <c r="P2025" s="202"/>
      <c r="Q2025" s="202"/>
      <c r="R2025" s="162"/>
      <c r="S2025" s="162"/>
    </row>
    <row r="2026" spans="1:19">
      <c r="A2026" s="294"/>
      <c r="B2026" s="161"/>
      <c r="C2026" s="162"/>
      <c r="D2026" s="162"/>
      <c r="E2026" s="162"/>
      <c r="F2026" s="162"/>
      <c r="G2026" s="163"/>
      <c r="I2026" s="295" t="s">
        <v>784</v>
      </c>
      <c r="J2026" s="295"/>
      <c r="K2026" s="170"/>
      <c r="L2026" s="171"/>
      <c r="M2026" s="50"/>
      <c r="N2026" s="171"/>
      <c r="O2026" s="202"/>
      <c r="P2026" s="202"/>
      <c r="Q2026" s="202"/>
      <c r="R2026" s="162"/>
      <c r="S2026" s="162"/>
    </row>
    <row r="2027" spans="1:19">
      <c r="A2027" s="294"/>
      <c r="B2027" s="164"/>
      <c r="C2027" s="165"/>
      <c r="D2027" s="165"/>
      <c r="E2027" s="165"/>
      <c r="F2027" s="165"/>
      <c r="G2027" s="166"/>
      <c r="I2027" s="295" t="s">
        <v>785</v>
      </c>
      <c r="J2027" s="295"/>
      <c r="K2027" s="170"/>
      <c r="L2027" s="171"/>
      <c r="M2027" s="50"/>
      <c r="N2027" s="171"/>
      <c r="O2027" s="202"/>
      <c r="P2027" s="202"/>
      <c r="Q2027" s="202"/>
      <c r="R2027" s="162"/>
      <c r="S2027" s="162"/>
    </row>
    <row r="2028" spans="1:19">
      <c r="A2028" s="294"/>
      <c r="B2028" s="161"/>
      <c r="C2028" s="162"/>
      <c r="D2028" s="162"/>
      <c r="E2028" s="162"/>
      <c r="F2028" s="162"/>
      <c r="G2028" s="163"/>
      <c r="I2028" s="295" t="s">
        <v>786</v>
      </c>
      <c r="J2028" s="295"/>
      <c r="K2028" s="170"/>
      <c r="L2028" s="171"/>
      <c r="M2028" s="50"/>
      <c r="N2028" s="171"/>
      <c r="O2028" s="202"/>
      <c r="P2028" s="202"/>
      <c r="Q2028" s="202"/>
      <c r="R2028" s="162"/>
      <c r="S2028" s="162"/>
    </row>
    <row r="2029" spans="1:19">
      <c r="A2029" s="294"/>
      <c r="B2029" s="164"/>
      <c r="C2029" s="165"/>
      <c r="D2029" s="165"/>
      <c r="E2029" s="165"/>
      <c r="F2029" s="165"/>
      <c r="G2029" s="166"/>
      <c r="I2029" s="295" t="s">
        <v>787</v>
      </c>
      <c r="J2029" s="295"/>
      <c r="K2029" s="170"/>
      <c r="L2029" s="171"/>
      <c r="M2029" s="50"/>
      <c r="N2029" s="171"/>
      <c r="O2029" s="202"/>
      <c r="P2029" s="202"/>
      <c r="Q2029" s="202"/>
      <c r="R2029" s="162"/>
      <c r="S2029" s="162"/>
    </row>
    <row r="2030" spans="1:19">
      <c r="A2030" s="294"/>
      <c r="B2030" s="161"/>
      <c r="C2030" s="162"/>
      <c r="D2030" s="162"/>
      <c r="E2030" s="162"/>
      <c r="F2030" s="162"/>
      <c r="G2030" s="163"/>
      <c r="I2030" s="295" t="s">
        <v>788</v>
      </c>
      <c r="J2030" s="295"/>
      <c r="K2030" s="170"/>
      <c r="L2030" s="171"/>
      <c r="M2030" s="50"/>
      <c r="N2030" s="171"/>
      <c r="O2030" s="202"/>
      <c r="P2030" s="202"/>
      <c r="Q2030" s="202"/>
      <c r="R2030" s="162"/>
      <c r="S2030" s="162"/>
    </row>
    <row r="2031" spans="1:19">
      <c r="A2031" s="294"/>
      <c r="B2031" s="164"/>
      <c r="C2031" s="165"/>
      <c r="D2031" s="165"/>
      <c r="E2031" s="165"/>
      <c r="F2031" s="165"/>
      <c r="G2031" s="166"/>
      <c r="I2031" s="295" t="s">
        <v>789</v>
      </c>
      <c r="J2031" s="295"/>
      <c r="K2031" s="170"/>
      <c r="L2031" s="171"/>
      <c r="M2031" s="50"/>
      <c r="N2031" s="171"/>
      <c r="O2031" s="202"/>
      <c r="P2031" s="202"/>
      <c r="Q2031" s="202"/>
      <c r="R2031" s="162"/>
      <c r="S2031" s="162"/>
    </row>
    <row r="2032" spans="1:19">
      <c r="A2032" s="63"/>
      <c r="B2032" s="63"/>
      <c r="C2032" s="63"/>
      <c r="D2032" s="63"/>
      <c r="E2032" s="63"/>
      <c r="F2032" s="63"/>
      <c r="G2032" s="63"/>
      <c r="I2032" s="295" t="s">
        <v>790</v>
      </c>
      <c r="J2032" s="295"/>
      <c r="K2032" s="170"/>
      <c r="L2032" s="171"/>
      <c r="M2032" s="50"/>
      <c r="N2032" s="171"/>
      <c r="O2032" s="202"/>
      <c r="P2032" s="202"/>
      <c r="Q2032" s="202"/>
      <c r="R2032" s="162"/>
      <c r="S2032" s="162"/>
    </row>
    <row r="2033" spans="1:19">
      <c r="A2033" s="63"/>
      <c r="B2033" s="63"/>
      <c r="C2033" s="63"/>
      <c r="D2033" s="63"/>
      <c r="E2033" s="63"/>
      <c r="F2033" s="63"/>
      <c r="G2033" s="63"/>
      <c r="I2033" s="295" t="s">
        <v>791</v>
      </c>
      <c r="J2033" s="295"/>
      <c r="K2033" s="170"/>
      <c r="L2033" s="171"/>
      <c r="M2033" s="50"/>
      <c r="N2033" s="171"/>
      <c r="O2033" s="202"/>
      <c r="P2033" s="202"/>
      <c r="Q2033" s="202"/>
      <c r="R2033" s="162"/>
      <c r="S2033" s="162"/>
    </row>
    <row r="2034" spans="1:19">
      <c r="A2034" s="63"/>
      <c r="B2034" s="63"/>
      <c r="C2034" s="63"/>
      <c r="D2034" s="63"/>
      <c r="E2034" s="63"/>
      <c r="F2034" s="63"/>
      <c r="G2034" s="63"/>
      <c r="I2034" s="296" t="s">
        <v>792</v>
      </c>
      <c r="J2034" s="296"/>
      <c r="K2034" s="170"/>
      <c r="L2034" s="171"/>
      <c r="M2034" s="50"/>
      <c r="N2034" s="171"/>
      <c r="O2034" s="202"/>
      <c r="P2034" s="202"/>
      <c r="Q2034" s="202"/>
      <c r="R2034" s="162"/>
      <c r="S2034" s="162"/>
    </row>
    <row r="2035" spans="1:19" ht="17.25" thickBot="1">
      <c r="A2035" s="63"/>
      <c r="B2035" s="63"/>
      <c r="C2035" s="63"/>
      <c r="D2035" s="63"/>
      <c r="E2035" s="63"/>
      <c r="F2035" s="63"/>
      <c r="G2035" s="63"/>
      <c r="I2035" s="297" t="s">
        <v>793</v>
      </c>
      <c r="J2035" s="297"/>
      <c r="K2035" s="172">
        <f t="shared" ref="K2035:S2035" si="929">SUM(K2024:K2034)</f>
        <v>0</v>
      </c>
      <c r="L2035" s="205">
        <f t="shared" si="929"/>
        <v>0</v>
      </c>
      <c r="M2035" s="205">
        <f t="shared" si="929"/>
        <v>0</v>
      </c>
      <c r="N2035" s="205">
        <f t="shared" si="929"/>
        <v>0</v>
      </c>
      <c r="O2035" s="174">
        <f t="shared" si="929"/>
        <v>0</v>
      </c>
      <c r="P2035" s="174">
        <f t="shared" si="929"/>
        <v>0</v>
      </c>
      <c r="Q2035" s="174">
        <f t="shared" si="929"/>
        <v>0</v>
      </c>
      <c r="R2035" s="175">
        <f t="shared" si="929"/>
        <v>0</v>
      </c>
      <c r="S2035" s="175">
        <f t="shared" si="929"/>
        <v>0</v>
      </c>
    </row>
    <row r="2036" spans="1:19" ht="17.25" thickBot="1">
      <c r="A2036" s="63"/>
      <c r="B2036" s="63"/>
      <c r="C2036" s="63"/>
      <c r="D2036" s="63"/>
      <c r="E2036" s="63"/>
      <c r="F2036" s="63"/>
      <c r="G2036" s="63"/>
      <c r="I2036" s="298" t="s">
        <v>794</v>
      </c>
      <c r="J2036" s="299"/>
      <c r="K2036" s="176">
        <f t="shared" ref="K2036" si="930">S2015-K2035</f>
        <v>0</v>
      </c>
      <c r="L2036" s="177">
        <f t="shared" ref="L2036" si="931">K2035-L2035</f>
        <v>0</v>
      </c>
      <c r="M2036" s="177">
        <f t="shared" ref="M2036" si="932">K2035-M2035</f>
        <v>0</v>
      </c>
      <c r="N2036" s="177">
        <f t="shared" ref="N2036" si="933">K2035-N2035</f>
        <v>0</v>
      </c>
      <c r="O2036" s="178">
        <f t="shared" ref="O2036" si="934">K2035-O2035</f>
        <v>0</v>
      </c>
      <c r="P2036" s="178">
        <f t="shared" ref="P2036" si="935">K2035-P2035</f>
        <v>0</v>
      </c>
      <c r="Q2036" s="178">
        <f t="shared" ref="Q2036" si="936">K2035-Q2035</f>
        <v>0</v>
      </c>
      <c r="R2036" s="179">
        <f t="shared" ref="R2036" si="937">K2035-R2035</f>
        <v>0</v>
      </c>
      <c r="S2036" s="180">
        <f t="shared" ref="S2036" si="938">L2035-S2035</f>
        <v>0</v>
      </c>
    </row>
    <row r="2037" spans="1:19">
      <c r="A2037" s="63"/>
      <c r="B2037" s="63"/>
      <c r="C2037" s="63"/>
      <c r="D2037" s="63"/>
      <c r="E2037" s="63"/>
      <c r="F2037" s="63"/>
      <c r="G2037" s="63"/>
      <c r="I2037" s="300" t="s">
        <v>795</v>
      </c>
      <c r="J2037" s="301"/>
      <c r="K2037" s="181"/>
      <c r="L2037" s="182"/>
      <c r="M2037" s="182"/>
      <c r="N2037" s="182"/>
      <c r="O2037" s="183"/>
      <c r="P2037" s="182"/>
      <c r="Q2037" s="182"/>
      <c r="R2037" s="182"/>
      <c r="S2037" s="182"/>
    </row>
    <row r="2038" spans="1:19">
      <c r="A2038" s="63"/>
      <c r="B2038" s="63"/>
      <c r="C2038" s="63"/>
      <c r="D2038" s="63"/>
      <c r="E2038" s="63"/>
      <c r="F2038" s="63"/>
      <c r="G2038" s="63"/>
      <c r="I2038" s="302" t="s">
        <v>796</v>
      </c>
      <c r="J2038" s="302"/>
      <c r="K2038" s="184"/>
      <c r="L2038" s="203"/>
      <c r="M2038" s="203"/>
      <c r="N2038" s="203"/>
      <c r="O2038" s="203"/>
      <c r="P2038" s="203"/>
      <c r="Q2038" s="203"/>
      <c r="R2038" s="203"/>
      <c r="S2038" s="203"/>
    </row>
    <row r="2039" spans="1:19">
      <c r="A2039" s="63"/>
      <c r="B2039" s="63"/>
      <c r="C2039" s="63"/>
      <c r="D2039" s="63"/>
      <c r="E2039" s="63"/>
      <c r="F2039" s="63"/>
      <c r="G2039" s="63"/>
      <c r="I2039" s="302" t="s">
        <v>797</v>
      </c>
      <c r="J2039" s="302"/>
      <c r="K2039" s="184"/>
      <c r="L2039" s="203"/>
      <c r="M2039" s="203"/>
      <c r="N2039" s="203"/>
      <c r="O2039" s="203"/>
      <c r="P2039" s="203"/>
      <c r="Q2039" s="203"/>
      <c r="R2039" s="203"/>
      <c r="S2039" s="203"/>
    </row>
    <row r="2040" spans="1:19">
      <c r="A2040" s="63"/>
      <c r="B2040" s="63"/>
      <c r="C2040" s="63"/>
      <c r="D2040" s="63"/>
      <c r="E2040" s="63"/>
      <c r="F2040" s="63"/>
      <c r="G2040" s="63"/>
      <c r="I2040" s="303" t="s">
        <v>798</v>
      </c>
      <c r="J2040" s="303"/>
      <c r="K2040" s="184"/>
      <c r="L2040" s="185"/>
      <c r="M2040" s="185"/>
      <c r="N2040" s="185"/>
      <c r="O2040" s="185"/>
      <c r="P2040" s="204"/>
      <c r="Q2040" s="204"/>
      <c r="R2040" s="204"/>
      <c r="S2040" s="204"/>
    </row>
    <row r="2041" spans="1:19">
      <c r="A2041" s="3" t="s">
        <v>801</v>
      </c>
      <c r="B2041" s="201" t="s">
        <v>802</v>
      </c>
      <c r="C2041" s="201" t="s">
        <v>803</v>
      </c>
      <c r="D2041" s="201" t="s">
        <v>119</v>
      </c>
      <c r="E2041" s="201" t="s">
        <v>148</v>
      </c>
      <c r="F2041" s="201" t="s">
        <v>806</v>
      </c>
      <c r="G2041" s="201" t="s">
        <v>81</v>
      </c>
      <c r="I2041" s="187"/>
      <c r="J2041" s="187"/>
      <c r="K2041" s="187"/>
      <c r="L2041" s="188"/>
      <c r="M2041" s="188"/>
      <c r="N2041" s="188"/>
      <c r="O2041" s="188"/>
      <c r="P2041" s="187"/>
      <c r="Q2041" s="187"/>
      <c r="R2041" s="187"/>
      <c r="S2041" s="187"/>
    </row>
    <row r="2042" spans="1:19">
      <c r="A2042" s="293">
        <v>44141</v>
      </c>
      <c r="B2042" s="161"/>
      <c r="C2042" s="162"/>
      <c r="D2042" s="162"/>
      <c r="E2042" s="162"/>
      <c r="F2042" s="162"/>
      <c r="G2042" s="163"/>
      <c r="I2042" s="191"/>
      <c r="J2042" s="190"/>
      <c r="K2042" s="190"/>
      <c r="L2042" s="190"/>
      <c r="M2042" s="190">
        <v>44141</v>
      </c>
      <c r="N2042" s="189" t="s">
        <v>864</v>
      </c>
      <c r="O2042" s="189"/>
      <c r="P2042" s="189"/>
      <c r="Q2042" s="189"/>
      <c r="R2042" s="189"/>
      <c r="S2042" s="189"/>
    </row>
    <row r="2043" spans="1:19">
      <c r="A2043" s="294"/>
      <c r="B2043" s="164"/>
      <c r="C2043" s="165"/>
      <c r="D2043" s="165"/>
      <c r="E2043" s="165"/>
      <c r="F2043" s="165"/>
      <c r="G2043" s="166"/>
      <c r="I2043" s="304"/>
      <c r="J2043" s="304"/>
      <c r="K2043" s="167"/>
      <c r="L2043" s="168"/>
      <c r="M2043" s="168"/>
      <c r="N2043" s="168"/>
      <c r="O2043" s="169"/>
      <c r="P2043" s="169"/>
      <c r="Q2043" s="169"/>
      <c r="R2043" s="161"/>
      <c r="S2043" s="161"/>
    </row>
    <row r="2044" spans="1:19">
      <c r="A2044" s="294"/>
      <c r="B2044" s="161"/>
      <c r="C2044" s="162"/>
      <c r="D2044" s="162"/>
      <c r="E2044" s="162"/>
      <c r="F2044" s="162"/>
      <c r="G2044" s="163"/>
      <c r="I2044" s="295" t="s">
        <v>782</v>
      </c>
      <c r="J2044" s="296"/>
      <c r="K2044" s="170"/>
      <c r="L2044" s="171"/>
      <c r="M2044" s="50"/>
      <c r="N2044" s="171"/>
      <c r="O2044" s="202"/>
      <c r="P2044" s="202"/>
      <c r="Q2044" s="202"/>
      <c r="R2044" s="162"/>
      <c r="S2044" s="162"/>
    </row>
    <row r="2045" spans="1:19">
      <c r="A2045" s="294"/>
      <c r="B2045" s="164"/>
      <c r="C2045" s="165"/>
      <c r="D2045" s="165"/>
      <c r="E2045" s="165"/>
      <c r="F2045" s="165"/>
      <c r="G2045" s="166"/>
      <c r="I2045" s="295" t="s">
        <v>783</v>
      </c>
      <c r="J2045" s="295"/>
      <c r="K2045" s="170"/>
      <c r="L2045" s="171"/>
      <c r="M2045" s="50"/>
      <c r="N2045" s="171"/>
      <c r="O2045" s="202"/>
      <c r="P2045" s="202"/>
      <c r="Q2045" s="202"/>
      <c r="R2045" s="162"/>
      <c r="S2045" s="162"/>
    </row>
    <row r="2046" spans="1:19">
      <c r="A2046" s="294"/>
      <c r="B2046" s="161"/>
      <c r="C2046" s="162"/>
      <c r="D2046" s="162"/>
      <c r="E2046" s="162"/>
      <c r="F2046" s="162"/>
      <c r="G2046" s="163"/>
      <c r="I2046" s="295" t="s">
        <v>784</v>
      </c>
      <c r="J2046" s="295"/>
      <c r="K2046" s="170"/>
      <c r="L2046" s="171"/>
      <c r="M2046" s="50"/>
      <c r="N2046" s="171"/>
      <c r="O2046" s="202"/>
      <c r="P2046" s="202"/>
      <c r="Q2046" s="202"/>
      <c r="R2046" s="162"/>
      <c r="S2046" s="162"/>
    </row>
    <row r="2047" spans="1:19">
      <c r="A2047" s="294"/>
      <c r="B2047" s="164"/>
      <c r="C2047" s="165"/>
      <c r="D2047" s="165"/>
      <c r="E2047" s="165"/>
      <c r="F2047" s="165"/>
      <c r="G2047" s="166"/>
      <c r="I2047" s="295" t="s">
        <v>785</v>
      </c>
      <c r="J2047" s="295"/>
      <c r="K2047" s="170"/>
      <c r="L2047" s="171"/>
      <c r="M2047" s="50"/>
      <c r="N2047" s="171"/>
      <c r="O2047" s="202"/>
      <c r="P2047" s="202"/>
      <c r="Q2047" s="202"/>
      <c r="R2047" s="162"/>
      <c r="S2047" s="162"/>
    </row>
    <row r="2048" spans="1:19">
      <c r="A2048" s="294"/>
      <c r="B2048" s="161"/>
      <c r="C2048" s="162"/>
      <c r="D2048" s="162"/>
      <c r="E2048" s="162"/>
      <c r="F2048" s="162"/>
      <c r="G2048" s="163"/>
      <c r="I2048" s="295" t="s">
        <v>786</v>
      </c>
      <c r="J2048" s="295"/>
      <c r="K2048" s="170"/>
      <c r="L2048" s="171"/>
      <c r="M2048" s="50"/>
      <c r="N2048" s="171"/>
      <c r="O2048" s="202"/>
      <c r="P2048" s="202"/>
      <c r="Q2048" s="202"/>
      <c r="R2048" s="162"/>
      <c r="S2048" s="162"/>
    </row>
    <row r="2049" spans="1:19">
      <c r="A2049" s="294"/>
      <c r="B2049" s="164"/>
      <c r="C2049" s="165"/>
      <c r="D2049" s="165"/>
      <c r="E2049" s="165"/>
      <c r="F2049" s="165"/>
      <c r="G2049" s="166"/>
      <c r="I2049" s="295" t="s">
        <v>787</v>
      </c>
      <c r="J2049" s="295"/>
      <c r="K2049" s="170"/>
      <c r="L2049" s="171"/>
      <c r="M2049" s="50"/>
      <c r="N2049" s="171"/>
      <c r="O2049" s="202"/>
      <c r="P2049" s="202"/>
      <c r="Q2049" s="202"/>
      <c r="R2049" s="162"/>
      <c r="S2049" s="162"/>
    </row>
    <row r="2050" spans="1:19">
      <c r="A2050" s="294"/>
      <c r="B2050" s="161"/>
      <c r="C2050" s="162"/>
      <c r="D2050" s="162"/>
      <c r="E2050" s="162"/>
      <c r="F2050" s="162"/>
      <c r="G2050" s="163"/>
      <c r="I2050" s="295" t="s">
        <v>788</v>
      </c>
      <c r="J2050" s="295"/>
      <c r="K2050" s="170"/>
      <c r="L2050" s="171"/>
      <c r="M2050" s="50"/>
      <c r="N2050" s="171"/>
      <c r="O2050" s="202"/>
      <c r="P2050" s="202"/>
      <c r="Q2050" s="202"/>
      <c r="R2050" s="162"/>
      <c r="S2050" s="162"/>
    </row>
    <row r="2051" spans="1:19">
      <c r="A2051" s="294"/>
      <c r="B2051" s="164"/>
      <c r="C2051" s="165"/>
      <c r="D2051" s="165"/>
      <c r="E2051" s="165"/>
      <c r="F2051" s="165"/>
      <c r="G2051" s="166"/>
      <c r="I2051" s="295" t="s">
        <v>789</v>
      </c>
      <c r="J2051" s="295"/>
      <c r="K2051" s="170"/>
      <c r="L2051" s="171"/>
      <c r="M2051" s="50"/>
      <c r="N2051" s="171"/>
      <c r="O2051" s="202"/>
      <c r="P2051" s="202"/>
      <c r="Q2051" s="202"/>
      <c r="R2051" s="162"/>
      <c r="S2051" s="162"/>
    </row>
    <row r="2052" spans="1:19">
      <c r="A2052" s="63"/>
      <c r="B2052" s="63"/>
      <c r="C2052" s="63"/>
      <c r="D2052" s="63"/>
      <c r="E2052" s="63"/>
      <c r="F2052" s="63"/>
      <c r="G2052" s="63"/>
      <c r="I2052" s="295" t="s">
        <v>790</v>
      </c>
      <c r="J2052" s="295"/>
      <c r="K2052" s="170"/>
      <c r="L2052" s="171"/>
      <c r="M2052" s="50"/>
      <c r="N2052" s="171"/>
      <c r="O2052" s="202"/>
      <c r="P2052" s="202"/>
      <c r="Q2052" s="202"/>
      <c r="R2052" s="162"/>
      <c r="S2052" s="162"/>
    </row>
    <row r="2053" spans="1:19">
      <c r="A2053" s="63"/>
      <c r="B2053" s="63"/>
      <c r="C2053" s="63"/>
      <c r="D2053" s="63"/>
      <c r="E2053" s="63"/>
      <c r="F2053" s="63"/>
      <c r="G2053" s="63"/>
      <c r="I2053" s="295" t="s">
        <v>791</v>
      </c>
      <c r="J2053" s="295"/>
      <c r="K2053" s="170"/>
      <c r="L2053" s="171"/>
      <c r="M2053" s="50"/>
      <c r="N2053" s="171"/>
      <c r="O2053" s="202"/>
      <c r="P2053" s="202"/>
      <c r="Q2053" s="202"/>
      <c r="R2053" s="162"/>
      <c r="S2053" s="162"/>
    </row>
    <row r="2054" spans="1:19">
      <c r="A2054" s="63"/>
      <c r="B2054" s="63"/>
      <c r="C2054" s="63"/>
      <c r="D2054" s="63"/>
      <c r="E2054" s="63"/>
      <c r="F2054" s="63"/>
      <c r="G2054" s="63"/>
      <c r="I2054" s="296" t="s">
        <v>792</v>
      </c>
      <c r="J2054" s="296"/>
      <c r="K2054" s="170"/>
      <c r="L2054" s="171"/>
      <c r="M2054" s="50"/>
      <c r="N2054" s="171"/>
      <c r="O2054" s="202"/>
      <c r="P2054" s="202"/>
      <c r="Q2054" s="202"/>
      <c r="R2054" s="162"/>
      <c r="S2054" s="162"/>
    </row>
    <row r="2055" spans="1:19" ht="17.25" thickBot="1">
      <c r="A2055" s="63"/>
      <c r="B2055" s="63"/>
      <c r="C2055" s="63"/>
      <c r="D2055" s="63"/>
      <c r="E2055" s="63"/>
      <c r="F2055" s="63"/>
      <c r="G2055" s="63"/>
      <c r="I2055" s="297" t="s">
        <v>793</v>
      </c>
      <c r="J2055" s="297"/>
      <c r="K2055" s="172">
        <f t="shared" ref="K2055:S2055" si="939">SUM(K2044:K2054)</f>
        <v>0</v>
      </c>
      <c r="L2055" s="205">
        <f t="shared" si="939"/>
        <v>0</v>
      </c>
      <c r="M2055" s="205">
        <f t="shared" si="939"/>
        <v>0</v>
      </c>
      <c r="N2055" s="205">
        <f t="shared" si="939"/>
        <v>0</v>
      </c>
      <c r="O2055" s="174">
        <f t="shared" si="939"/>
        <v>0</v>
      </c>
      <c r="P2055" s="174">
        <f t="shared" si="939"/>
        <v>0</v>
      </c>
      <c r="Q2055" s="174">
        <f t="shared" si="939"/>
        <v>0</v>
      </c>
      <c r="R2055" s="175">
        <f t="shared" si="939"/>
        <v>0</v>
      </c>
      <c r="S2055" s="175">
        <f t="shared" si="939"/>
        <v>0</v>
      </c>
    </row>
    <row r="2056" spans="1:19" ht="17.25" thickBot="1">
      <c r="A2056" s="63"/>
      <c r="B2056" s="63"/>
      <c r="C2056" s="63"/>
      <c r="D2056" s="63"/>
      <c r="E2056" s="63"/>
      <c r="F2056" s="63"/>
      <c r="G2056" s="63"/>
      <c r="I2056" s="298" t="s">
        <v>794</v>
      </c>
      <c r="J2056" s="299"/>
      <c r="K2056" s="176">
        <f t="shared" ref="K2056" si="940">S2035-K2055</f>
        <v>0</v>
      </c>
      <c r="L2056" s="177">
        <f t="shared" ref="L2056" si="941">K2055-L2055</f>
        <v>0</v>
      </c>
      <c r="M2056" s="177">
        <f t="shared" ref="M2056" si="942">K2055-M2055</f>
        <v>0</v>
      </c>
      <c r="N2056" s="177">
        <f t="shared" ref="N2056" si="943">K2055-N2055</f>
        <v>0</v>
      </c>
      <c r="O2056" s="178">
        <f t="shared" ref="O2056" si="944">K2055-O2055</f>
        <v>0</v>
      </c>
      <c r="P2056" s="178">
        <f t="shared" ref="P2056" si="945">K2055-P2055</f>
        <v>0</v>
      </c>
      <c r="Q2056" s="178">
        <f t="shared" ref="Q2056" si="946">K2055-Q2055</f>
        <v>0</v>
      </c>
      <c r="R2056" s="179">
        <f t="shared" ref="R2056" si="947">K2055-R2055</f>
        <v>0</v>
      </c>
      <c r="S2056" s="180">
        <f t="shared" ref="S2056" si="948">L2055-S2055</f>
        <v>0</v>
      </c>
    </row>
    <row r="2057" spans="1:19">
      <c r="A2057" s="63"/>
      <c r="B2057" s="63"/>
      <c r="C2057" s="63"/>
      <c r="D2057" s="63"/>
      <c r="E2057" s="63"/>
      <c r="F2057" s="63"/>
      <c r="G2057" s="63"/>
      <c r="I2057" s="300" t="s">
        <v>795</v>
      </c>
      <c r="J2057" s="301"/>
      <c r="K2057" s="181"/>
      <c r="L2057" s="182"/>
      <c r="M2057" s="182"/>
      <c r="N2057" s="182"/>
      <c r="O2057" s="183"/>
      <c r="P2057" s="182"/>
      <c r="Q2057" s="182"/>
      <c r="R2057" s="182"/>
      <c r="S2057" s="182"/>
    </row>
    <row r="2058" spans="1:19">
      <c r="A2058" s="63"/>
      <c r="B2058" s="63"/>
      <c r="C2058" s="63"/>
      <c r="D2058" s="63"/>
      <c r="E2058" s="63"/>
      <c r="F2058" s="63"/>
      <c r="G2058" s="63"/>
      <c r="I2058" s="302" t="s">
        <v>796</v>
      </c>
      <c r="J2058" s="302"/>
      <c r="K2058" s="184"/>
      <c r="L2058" s="203"/>
      <c r="M2058" s="203"/>
      <c r="N2058" s="203"/>
      <c r="O2058" s="203"/>
      <c r="P2058" s="203"/>
      <c r="Q2058" s="203"/>
      <c r="R2058" s="203"/>
      <c r="S2058" s="203"/>
    </row>
    <row r="2059" spans="1:19">
      <c r="A2059" s="63"/>
      <c r="B2059" s="63"/>
      <c r="C2059" s="63"/>
      <c r="D2059" s="63"/>
      <c r="E2059" s="63"/>
      <c r="F2059" s="63"/>
      <c r="G2059" s="63"/>
      <c r="I2059" s="302" t="s">
        <v>797</v>
      </c>
      <c r="J2059" s="302"/>
      <c r="K2059" s="184"/>
      <c r="L2059" s="203"/>
      <c r="M2059" s="203"/>
      <c r="N2059" s="203"/>
      <c r="O2059" s="203"/>
      <c r="P2059" s="203"/>
      <c r="Q2059" s="203"/>
      <c r="R2059" s="203"/>
      <c r="S2059" s="203"/>
    </row>
    <row r="2060" spans="1:19">
      <c r="A2060" s="63"/>
      <c r="B2060" s="63"/>
      <c r="C2060" s="63"/>
      <c r="D2060" s="63"/>
      <c r="E2060" s="63"/>
      <c r="F2060" s="63"/>
      <c r="G2060" s="63"/>
      <c r="I2060" s="303" t="s">
        <v>798</v>
      </c>
      <c r="J2060" s="303"/>
      <c r="K2060" s="184"/>
      <c r="L2060" s="185"/>
      <c r="M2060" s="185"/>
      <c r="N2060" s="185"/>
      <c r="O2060" s="185"/>
      <c r="P2060" s="204"/>
      <c r="Q2060" s="204"/>
      <c r="R2060" s="204"/>
      <c r="S2060" s="204"/>
    </row>
    <row r="2061" spans="1:19">
      <c r="A2061" s="3" t="s">
        <v>801</v>
      </c>
      <c r="B2061" s="201" t="s">
        <v>802</v>
      </c>
      <c r="C2061" s="201" t="s">
        <v>803</v>
      </c>
      <c r="D2061" s="201" t="s">
        <v>119</v>
      </c>
      <c r="E2061" s="201" t="s">
        <v>148</v>
      </c>
      <c r="F2061" s="201" t="s">
        <v>806</v>
      </c>
      <c r="G2061" s="201" t="s">
        <v>81</v>
      </c>
      <c r="I2061" s="187"/>
      <c r="J2061" s="187"/>
      <c r="K2061" s="187"/>
      <c r="L2061" s="188"/>
      <c r="M2061" s="188"/>
      <c r="N2061" s="188"/>
      <c r="O2061" s="188"/>
      <c r="P2061" s="187"/>
      <c r="Q2061" s="187"/>
      <c r="R2061" s="187"/>
      <c r="S2061" s="187"/>
    </row>
    <row r="2062" spans="1:19">
      <c r="A2062" s="293">
        <v>44142</v>
      </c>
      <c r="B2062" s="161"/>
      <c r="C2062" s="162"/>
      <c r="D2062" s="162"/>
      <c r="E2062" s="162"/>
      <c r="F2062" s="162"/>
      <c r="G2062" s="163"/>
      <c r="I2062" s="191"/>
      <c r="J2062" s="190"/>
      <c r="K2062" s="190"/>
      <c r="L2062" s="190"/>
      <c r="M2062" s="190">
        <v>44142</v>
      </c>
      <c r="N2062" s="189" t="s">
        <v>864</v>
      </c>
      <c r="O2062" s="189"/>
      <c r="P2062" s="189"/>
      <c r="Q2062" s="189"/>
      <c r="R2062" s="189"/>
      <c r="S2062" s="189"/>
    </row>
    <row r="2063" spans="1:19">
      <c r="A2063" s="294"/>
      <c r="B2063" s="164"/>
      <c r="C2063" s="165"/>
      <c r="D2063" s="165"/>
      <c r="E2063" s="165"/>
      <c r="F2063" s="165"/>
      <c r="G2063" s="166"/>
      <c r="I2063" s="304"/>
      <c r="J2063" s="304"/>
      <c r="K2063" s="167"/>
      <c r="L2063" s="168"/>
      <c r="M2063" s="168"/>
      <c r="N2063" s="168"/>
      <c r="O2063" s="169"/>
      <c r="P2063" s="169"/>
      <c r="Q2063" s="169"/>
      <c r="R2063" s="161"/>
      <c r="S2063" s="161"/>
    </row>
    <row r="2064" spans="1:19">
      <c r="A2064" s="294"/>
      <c r="B2064" s="161"/>
      <c r="C2064" s="162"/>
      <c r="D2064" s="162"/>
      <c r="E2064" s="162"/>
      <c r="F2064" s="162"/>
      <c r="G2064" s="163"/>
      <c r="I2064" s="295" t="s">
        <v>782</v>
      </c>
      <c r="J2064" s="296"/>
      <c r="K2064" s="170"/>
      <c r="L2064" s="171"/>
      <c r="M2064" s="50"/>
      <c r="N2064" s="171"/>
      <c r="O2064" s="202"/>
      <c r="P2064" s="202"/>
      <c r="Q2064" s="202"/>
      <c r="R2064" s="162"/>
      <c r="S2064" s="162"/>
    </row>
    <row r="2065" spans="1:19">
      <c r="A2065" s="294"/>
      <c r="B2065" s="164"/>
      <c r="C2065" s="165"/>
      <c r="D2065" s="165"/>
      <c r="E2065" s="165"/>
      <c r="F2065" s="165"/>
      <c r="G2065" s="166"/>
      <c r="I2065" s="295" t="s">
        <v>783</v>
      </c>
      <c r="J2065" s="295"/>
      <c r="K2065" s="170"/>
      <c r="L2065" s="171"/>
      <c r="M2065" s="50"/>
      <c r="N2065" s="171"/>
      <c r="O2065" s="202"/>
      <c r="P2065" s="202"/>
      <c r="Q2065" s="202"/>
      <c r="R2065" s="162"/>
      <c r="S2065" s="162"/>
    </row>
    <row r="2066" spans="1:19">
      <c r="A2066" s="294"/>
      <c r="B2066" s="161"/>
      <c r="C2066" s="162"/>
      <c r="D2066" s="162"/>
      <c r="E2066" s="162"/>
      <c r="F2066" s="162"/>
      <c r="G2066" s="163"/>
      <c r="I2066" s="295" t="s">
        <v>784</v>
      </c>
      <c r="J2066" s="295"/>
      <c r="K2066" s="170"/>
      <c r="L2066" s="171"/>
      <c r="M2066" s="50"/>
      <c r="N2066" s="171"/>
      <c r="O2066" s="202"/>
      <c r="P2066" s="202"/>
      <c r="Q2066" s="202"/>
      <c r="R2066" s="162"/>
      <c r="S2066" s="162"/>
    </row>
    <row r="2067" spans="1:19">
      <c r="A2067" s="294"/>
      <c r="B2067" s="164"/>
      <c r="C2067" s="165"/>
      <c r="D2067" s="165"/>
      <c r="E2067" s="165"/>
      <c r="F2067" s="165"/>
      <c r="G2067" s="166"/>
      <c r="I2067" s="295" t="s">
        <v>785</v>
      </c>
      <c r="J2067" s="295"/>
      <c r="K2067" s="170"/>
      <c r="L2067" s="171"/>
      <c r="M2067" s="50"/>
      <c r="N2067" s="171"/>
      <c r="O2067" s="202"/>
      <c r="P2067" s="202"/>
      <c r="Q2067" s="202"/>
      <c r="R2067" s="162"/>
      <c r="S2067" s="162"/>
    </row>
    <row r="2068" spans="1:19">
      <c r="A2068" s="294"/>
      <c r="B2068" s="161"/>
      <c r="C2068" s="162"/>
      <c r="D2068" s="162"/>
      <c r="E2068" s="162"/>
      <c r="F2068" s="162"/>
      <c r="G2068" s="163"/>
      <c r="I2068" s="295" t="s">
        <v>786</v>
      </c>
      <c r="J2068" s="295"/>
      <c r="K2068" s="170"/>
      <c r="L2068" s="171"/>
      <c r="M2068" s="50"/>
      <c r="N2068" s="171"/>
      <c r="O2068" s="202"/>
      <c r="P2068" s="202"/>
      <c r="Q2068" s="202"/>
      <c r="R2068" s="162"/>
      <c r="S2068" s="162"/>
    </row>
    <row r="2069" spans="1:19">
      <c r="A2069" s="294"/>
      <c r="B2069" s="164"/>
      <c r="C2069" s="165"/>
      <c r="D2069" s="165"/>
      <c r="E2069" s="165"/>
      <c r="F2069" s="165"/>
      <c r="G2069" s="166"/>
      <c r="I2069" s="295" t="s">
        <v>787</v>
      </c>
      <c r="J2069" s="295"/>
      <c r="K2069" s="170"/>
      <c r="L2069" s="171"/>
      <c r="M2069" s="50"/>
      <c r="N2069" s="171"/>
      <c r="O2069" s="202"/>
      <c r="P2069" s="202"/>
      <c r="Q2069" s="202"/>
      <c r="R2069" s="162"/>
      <c r="S2069" s="162"/>
    </row>
    <row r="2070" spans="1:19">
      <c r="A2070" s="294"/>
      <c r="B2070" s="161"/>
      <c r="C2070" s="162"/>
      <c r="D2070" s="162"/>
      <c r="E2070" s="162"/>
      <c r="F2070" s="162"/>
      <c r="G2070" s="163"/>
      <c r="I2070" s="295" t="s">
        <v>788</v>
      </c>
      <c r="J2070" s="295"/>
      <c r="K2070" s="170"/>
      <c r="L2070" s="171"/>
      <c r="M2070" s="50"/>
      <c r="N2070" s="171"/>
      <c r="O2070" s="202"/>
      <c r="P2070" s="202"/>
      <c r="Q2070" s="202"/>
      <c r="R2070" s="162"/>
      <c r="S2070" s="162"/>
    </row>
    <row r="2071" spans="1:19">
      <c r="A2071" s="294"/>
      <c r="B2071" s="164"/>
      <c r="C2071" s="165"/>
      <c r="D2071" s="165"/>
      <c r="E2071" s="165"/>
      <c r="F2071" s="165"/>
      <c r="G2071" s="166"/>
      <c r="I2071" s="295" t="s">
        <v>789</v>
      </c>
      <c r="J2071" s="295"/>
      <c r="K2071" s="170"/>
      <c r="L2071" s="171"/>
      <c r="M2071" s="50"/>
      <c r="N2071" s="171"/>
      <c r="O2071" s="202"/>
      <c r="P2071" s="202"/>
      <c r="Q2071" s="202"/>
      <c r="R2071" s="162"/>
      <c r="S2071" s="162"/>
    </row>
    <row r="2072" spans="1:19">
      <c r="A2072" s="63"/>
      <c r="B2072" s="63"/>
      <c r="C2072" s="63"/>
      <c r="D2072" s="63"/>
      <c r="E2072" s="63"/>
      <c r="F2072" s="63"/>
      <c r="G2072" s="63"/>
      <c r="I2072" s="295" t="s">
        <v>790</v>
      </c>
      <c r="J2072" s="295"/>
      <c r="K2072" s="170"/>
      <c r="L2072" s="171"/>
      <c r="M2072" s="50"/>
      <c r="N2072" s="171"/>
      <c r="O2072" s="202"/>
      <c r="P2072" s="202"/>
      <c r="Q2072" s="202"/>
      <c r="R2072" s="162"/>
      <c r="S2072" s="162"/>
    </row>
    <row r="2073" spans="1:19">
      <c r="A2073" s="63"/>
      <c r="B2073" s="63"/>
      <c r="C2073" s="63"/>
      <c r="D2073" s="63"/>
      <c r="E2073" s="63"/>
      <c r="F2073" s="63"/>
      <c r="G2073" s="63"/>
      <c r="I2073" s="295" t="s">
        <v>791</v>
      </c>
      <c r="J2073" s="295"/>
      <c r="K2073" s="170"/>
      <c r="L2073" s="171"/>
      <c r="M2073" s="50"/>
      <c r="N2073" s="171"/>
      <c r="O2073" s="202"/>
      <c r="P2073" s="202"/>
      <c r="Q2073" s="202"/>
      <c r="R2073" s="162"/>
      <c r="S2073" s="162"/>
    </row>
    <row r="2074" spans="1:19">
      <c r="A2074" s="63"/>
      <c r="B2074" s="63"/>
      <c r="C2074" s="63"/>
      <c r="D2074" s="63"/>
      <c r="E2074" s="63"/>
      <c r="F2074" s="63"/>
      <c r="G2074" s="63"/>
      <c r="I2074" s="296" t="s">
        <v>792</v>
      </c>
      <c r="J2074" s="296"/>
      <c r="K2074" s="170"/>
      <c r="L2074" s="171"/>
      <c r="M2074" s="50"/>
      <c r="N2074" s="171"/>
      <c r="O2074" s="202"/>
      <c r="P2074" s="202"/>
      <c r="Q2074" s="202"/>
      <c r="R2074" s="162"/>
      <c r="S2074" s="162"/>
    </row>
    <row r="2075" spans="1:19" ht="17.25" thickBot="1">
      <c r="A2075" s="63"/>
      <c r="B2075" s="63"/>
      <c r="C2075" s="63"/>
      <c r="D2075" s="63"/>
      <c r="E2075" s="63"/>
      <c r="F2075" s="63"/>
      <c r="G2075" s="63"/>
      <c r="I2075" s="297" t="s">
        <v>793</v>
      </c>
      <c r="J2075" s="297"/>
      <c r="K2075" s="172">
        <f t="shared" ref="K2075:S2075" si="949">SUM(K2064:K2074)</f>
        <v>0</v>
      </c>
      <c r="L2075" s="205">
        <f t="shared" si="949"/>
        <v>0</v>
      </c>
      <c r="M2075" s="205">
        <f t="shared" si="949"/>
        <v>0</v>
      </c>
      <c r="N2075" s="205">
        <f t="shared" si="949"/>
        <v>0</v>
      </c>
      <c r="O2075" s="174">
        <f t="shared" si="949"/>
        <v>0</v>
      </c>
      <c r="P2075" s="174">
        <f t="shared" si="949"/>
        <v>0</v>
      </c>
      <c r="Q2075" s="174">
        <f t="shared" si="949"/>
        <v>0</v>
      </c>
      <c r="R2075" s="175">
        <f t="shared" si="949"/>
        <v>0</v>
      </c>
      <c r="S2075" s="175">
        <f t="shared" si="949"/>
        <v>0</v>
      </c>
    </row>
    <row r="2076" spans="1:19" ht="17.25" thickBot="1">
      <c r="A2076" s="63"/>
      <c r="B2076" s="63"/>
      <c r="C2076" s="63"/>
      <c r="D2076" s="63"/>
      <c r="E2076" s="63"/>
      <c r="F2076" s="63"/>
      <c r="G2076" s="63"/>
      <c r="I2076" s="298" t="s">
        <v>794</v>
      </c>
      <c r="J2076" s="299"/>
      <c r="K2076" s="176">
        <f t="shared" ref="K2076" si="950">S2055-K2075</f>
        <v>0</v>
      </c>
      <c r="L2076" s="177">
        <f t="shared" ref="L2076" si="951">K2075-L2075</f>
        <v>0</v>
      </c>
      <c r="M2076" s="177">
        <f t="shared" ref="M2076" si="952">K2075-M2075</f>
        <v>0</v>
      </c>
      <c r="N2076" s="177">
        <f t="shared" ref="N2076" si="953">K2075-N2075</f>
        <v>0</v>
      </c>
      <c r="O2076" s="178">
        <f t="shared" ref="O2076" si="954">K2075-O2075</f>
        <v>0</v>
      </c>
      <c r="P2076" s="178">
        <f t="shared" ref="P2076" si="955">K2075-P2075</f>
        <v>0</v>
      </c>
      <c r="Q2076" s="178">
        <f t="shared" ref="Q2076" si="956">K2075-Q2075</f>
        <v>0</v>
      </c>
      <c r="R2076" s="179">
        <f t="shared" ref="R2076" si="957">K2075-R2075</f>
        <v>0</v>
      </c>
      <c r="S2076" s="180">
        <f t="shared" ref="S2076" si="958">L2075-S2075</f>
        <v>0</v>
      </c>
    </row>
    <row r="2077" spans="1:19">
      <c r="A2077" s="63"/>
      <c r="B2077" s="63"/>
      <c r="C2077" s="63"/>
      <c r="D2077" s="63"/>
      <c r="E2077" s="63"/>
      <c r="F2077" s="63"/>
      <c r="G2077" s="63"/>
      <c r="I2077" s="300" t="s">
        <v>795</v>
      </c>
      <c r="J2077" s="301"/>
      <c r="K2077" s="181"/>
      <c r="L2077" s="182"/>
      <c r="M2077" s="182"/>
      <c r="N2077" s="182"/>
      <c r="O2077" s="183"/>
      <c r="P2077" s="182"/>
      <c r="Q2077" s="182"/>
      <c r="R2077" s="182"/>
      <c r="S2077" s="182"/>
    </row>
    <row r="2078" spans="1:19">
      <c r="A2078" s="63"/>
      <c r="B2078" s="63"/>
      <c r="C2078" s="63"/>
      <c r="D2078" s="63"/>
      <c r="E2078" s="63"/>
      <c r="F2078" s="63"/>
      <c r="G2078" s="63"/>
      <c r="I2078" s="302" t="s">
        <v>796</v>
      </c>
      <c r="J2078" s="302"/>
      <c r="K2078" s="184"/>
      <c r="L2078" s="203"/>
      <c r="M2078" s="203"/>
      <c r="N2078" s="203"/>
      <c r="O2078" s="203"/>
      <c r="P2078" s="203"/>
      <c r="Q2078" s="203"/>
      <c r="R2078" s="203"/>
      <c r="S2078" s="203"/>
    </row>
    <row r="2079" spans="1:19">
      <c r="A2079" s="63"/>
      <c r="B2079" s="63"/>
      <c r="C2079" s="63"/>
      <c r="D2079" s="63"/>
      <c r="E2079" s="63"/>
      <c r="F2079" s="63"/>
      <c r="G2079" s="63"/>
      <c r="I2079" s="302" t="s">
        <v>797</v>
      </c>
      <c r="J2079" s="302"/>
      <c r="K2079" s="184"/>
      <c r="L2079" s="203"/>
      <c r="M2079" s="203"/>
      <c r="N2079" s="203"/>
      <c r="O2079" s="203"/>
      <c r="P2079" s="203"/>
      <c r="Q2079" s="203"/>
      <c r="R2079" s="203"/>
      <c r="S2079" s="203"/>
    </row>
    <row r="2080" spans="1:19">
      <c r="A2080" s="63"/>
      <c r="B2080" s="63"/>
      <c r="C2080" s="63"/>
      <c r="D2080" s="63"/>
      <c r="E2080" s="63"/>
      <c r="F2080" s="63"/>
      <c r="G2080" s="63"/>
      <c r="I2080" s="303" t="s">
        <v>798</v>
      </c>
      <c r="J2080" s="303"/>
      <c r="K2080" s="184"/>
      <c r="L2080" s="185"/>
      <c r="M2080" s="185"/>
      <c r="N2080" s="185"/>
      <c r="O2080" s="185"/>
      <c r="P2080" s="204"/>
      <c r="Q2080" s="204"/>
      <c r="R2080" s="204"/>
      <c r="S2080" s="204"/>
    </row>
    <row r="2081" spans="1:19">
      <c r="A2081" s="3" t="s">
        <v>801</v>
      </c>
      <c r="B2081" s="201" t="s">
        <v>802</v>
      </c>
      <c r="C2081" s="201" t="s">
        <v>803</v>
      </c>
      <c r="D2081" s="201" t="s">
        <v>119</v>
      </c>
      <c r="E2081" s="201" t="s">
        <v>148</v>
      </c>
      <c r="F2081" s="201" t="s">
        <v>806</v>
      </c>
      <c r="G2081" s="201" t="s">
        <v>81</v>
      </c>
      <c r="I2081" s="187"/>
      <c r="J2081" s="187"/>
      <c r="K2081" s="187"/>
      <c r="L2081" s="188"/>
      <c r="M2081" s="188"/>
      <c r="N2081" s="188"/>
      <c r="O2081" s="188"/>
      <c r="P2081" s="187"/>
      <c r="Q2081" s="187"/>
      <c r="R2081" s="187"/>
      <c r="S2081" s="187"/>
    </row>
    <row r="2082" spans="1:19">
      <c r="A2082" s="293">
        <v>44143</v>
      </c>
      <c r="B2082" s="161"/>
      <c r="C2082" s="162"/>
      <c r="D2082" s="162"/>
      <c r="E2082" s="162"/>
      <c r="F2082" s="162"/>
      <c r="G2082" s="163"/>
      <c r="I2082" s="191"/>
      <c r="J2082" s="190"/>
      <c r="K2082" s="190"/>
      <c r="L2082" s="190"/>
      <c r="M2082" s="190">
        <v>44143</v>
      </c>
      <c r="N2082" s="189" t="s">
        <v>864</v>
      </c>
      <c r="O2082" s="189"/>
      <c r="P2082" s="189"/>
      <c r="Q2082" s="189"/>
      <c r="R2082" s="189"/>
      <c r="S2082" s="189"/>
    </row>
    <row r="2083" spans="1:19">
      <c r="A2083" s="294"/>
      <c r="B2083" s="164"/>
      <c r="C2083" s="165"/>
      <c r="D2083" s="165"/>
      <c r="E2083" s="165"/>
      <c r="F2083" s="165"/>
      <c r="G2083" s="166"/>
      <c r="I2083" s="304"/>
      <c r="J2083" s="304"/>
      <c r="K2083" s="167"/>
      <c r="L2083" s="168"/>
      <c r="M2083" s="168"/>
      <c r="N2083" s="168"/>
      <c r="O2083" s="169"/>
      <c r="P2083" s="169"/>
      <c r="Q2083" s="169"/>
      <c r="R2083" s="161"/>
      <c r="S2083" s="161"/>
    </row>
    <row r="2084" spans="1:19">
      <c r="A2084" s="294"/>
      <c r="B2084" s="161"/>
      <c r="C2084" s="162"/>
      <c r="D2084" s="162"/>
      <c r="E2084" s="162"/>
      <c r="F2084" s="162"/>
      <c r="G2084" s="163"/>
      <c r="I2084" s="295" t="s">
        <v>782</v>
      </c>
      <c r="J2084" s="296"/>
      <c r="K2084" s="170"/>
      <c r="L2084" s="171"/>
      <c r="M2084" s="50"/>
      <c r="N2084" s="171"/>
      <c r="O2084" s="202"/>
      <c r="P2084" s="202"/>
      <c r="Q2084" s="202"/>
      <c r="R2084" s="162"/>
      <c r="S2084" s="162"/>
    </row>
    <row r="2085" spans="1:19">
      <c r="A2085" s="294"/>
      <c r="B2085" s="164"/>
      <c r="C2085" s="165"/>
      <c r="D2085" s="165"/>
      <c r="E2085" s="165"/>
      <c r="F2085" s="165"/>
      <c r="G2085" s="166"/>
      <c r="I2085" s="295" t="s">
        <v>783</v>
      </c>
      <c r="J2085" s="295"/>
      <c r="K2085" s="170"/>
      <c r="L2085" s="171"/>
      <c r="M2085" s="50"/>
      <c r="N2085" s="171"/>
      <c r="O2085" s="202"/>
      <c r="P2085" s="202"/>
      <c r="Q2085" s="202"/>
      <c r="R2085" s="162"/>
      <c r="S2085" s="162"/>
    </row>
    <row r="2086" spans="1:19">
      <c r="A2086" s="294"/>
      <c r="B2086" s="161"/>
      <c r="C2086" s="162"/>
      <c r="D2086" s="162"/>
      <c r="E2086" s="162"/>
      <c r="F2086" s="162"/>
      <c r="G2086" s="163"/>
      <c r="I2086" s="295" t="s">
        <v>784</v>
      </c>
      <c r="J2086" s="295"/>
      <c r="K2086" s="170"/>
      <c r="L2086" s="171"/>
      <c r="M2086" s="50"/>
      <c r="N2086" s="171"/>
      <c r="O2086" s="202"/>
      <c r="P2086" s="202"/>
      <c r="Q2086" s="202"/>
      <c r="R2086" s="162"/>
      <c r="S2086" s="162"/>
    </row>
    <row r="2087" spans="1:19">
      <c r="A2087" s="294"/>
      <c r="B2087" s="164"/>
      <c r="C2087" s="165"/>
      <c r="D2087" s="165"/>
      <c r="E2087" s="165"/>
      <c r="F2087" s="165"/>
      <c r="G2087" s="166"/>
      <c r="I2087" s="295" t="s">
        <v>785</v>
      </c>
      <c r="J2087" s="295"/>
      <c r="K2087" s="170"/>
      <c r="L2087" s="171"/>
      <c r="M2087" s="50"/>
      <c r="N2087" s="171"/>
      <c r="O2087" s="202"/>
      <c r="P2087" s="202"/>
      <c r="Q2087" s="202"/>
      <c r="R2087" s="162"/>
      <c r="S2087" s="162"/>
    </row>
    <row r="2088" spans="1:19">
      <c r="A2088" s="294"/>
      <c r="B2088" s="161"/>
      <c r="C2088" s="162"/>
      <c r="D2088" s="162"/>
      <c r="E2088" s="162"/>
      <c r="F2088" s="162"/>
      <c r="G2088" s="163"/>
      <c r="I2088" s="295" t="s">
        <v>786</v>
      </c>
      <c r="J2088" s="295"/>
      <c r="K2088" s="170"/>
      <c r="L2088" s="171"/>
      <c r="M2088" s="50"/>
      <c r="N2088" s="171"/>
      <c r="O2088" s="202"/>
      <c r="P2088" s="202"/>
      <c r="Q2088" s="202"/>
      <c r="R2088" s="162"/>
      <c r="S2088" s="162"/>
    </row>
    <row r="2089" spans="1:19">
      <c r="A2089" s="294"/>
      <c r="B2089" s="164"/>
      <c r="C2089" s="165"/>
      <c r="D2089" s="165"/>
      <c r="E2089" s="165"/>
      <c r="F2089" s="165"/>
      <c r="G2089" s="166"/>
      <c r="I2089" s="295" t="s">
        <v>787</v>
      </c>
      <c r="J2089" s="295"/>
      <c r="K2089" s="170"/>
      <c r="L2089" s="171"/>
      <c r="M2089" s="50"/>
      <c r="N2089" s="171"/>
      <c r="O2089" s="202"/>
      <c r="P2089" s="202"/>
      <c r="Q2089" s="202"/>
      <c r="R2089" s="162"/>
      <c r="S2089" s="162"/>
    </row>
    <row r="2090" spans="1:19">
      <c r="A2090" s="294"/>
      <c r="B2090" s="161"/>
      <c r="C2090" s="162"/>
      <c r="D2090" s="162"/>
      <c r="E2090" s="162"/>
      <c r="F2090" s="162"/>
      <c r="G2090" s="163"/>
      <c r="I2090" s="295" t="s">
        <v>788</v>
      </c>
      <c r="J2090" s="295"/>
      <c r="K2090" s="170"/>
      <c r="L2090" s="171"/>
      <c r="M2090" s="50"/>
      <c r="N2090" s="171"/>
      <c r="O2090" s="202"/>
      <c r="P2090" s="202"/>
      <c r="Q2090" s="202"/>
      <c r="R2090" s="162"/>
      <c r="S2090" s="162"/>
    </row>
    <row r="2091" spans="1:19">
      <c r="A2091" s="294"/>
      <c r="B2091" s="164"/>
      <c r="C2091" s="165"/>
      <c r="D2091" s="165"/>
      <c r="E2091" s="165"/>
      <c r="F2091" s="165"/>
      <c r="G2091" s="166"/>
      <c r="I2091" s="295" t="s">
        <v>789</v>
      </c>
      <c r="J2091" s="295"/>
      <c r="K2091" s="170"/>
      <c r="L2091" s="171"/>
      <c r="M2091" s="50"/>
      <c r="N2091" s="171"/>
      <c r="O2091" s="202"/>
      <c r="P2091" s="202"/>
      <c r="Q2091" s="202"/>
      <c r="R2091" s="162"/>
      <c r="S2091" s="162"/>
    </row>
    <row r="2092" spans="1:19">
      <c r="A2092" s="63"/>
      <c r="B2092" s="63"/>
      <c r="C2092" s="63"/>
      <c r="D2092" s="63"/>
      <c r="E2092" s="63"/>
      <c r="F2092" s="63"/>
      <c r="G2092" s="63"/>
      <c r="I2092" s="295" t="s">
        <v>790</v>
      </c>
      <c r="J2092" s="295"/>
      <c r="K2092" s="170"/>
      <c r="L2092" s="171"/>
      <c r="M2092" s="50"/>
      <c r="N2092" s="171"/>
      <c r="O2092" s="202"/>
      <c r="P2092" s="202"/>
      <c r="Q2092" s="202"/>
      <c r="R2092" s="162"/>
      <c r="S2092" s="162"/>
    </row>
    <row r="2093" spans="1:19">
      <c r="A2093" s="63"/>
      <c r="B2093" s="63"/>
      <c r="C2093" s="63"/>
      <c r="D2093" s="63"/>
      <c r="E2093" s="63"/>
      <c r="F2093" s="63"/>
      <c r="G2093" s="63"/>
      <c r="I2093" s="295" t="s">
        <v>791</v>
      </c>
      <c r="J2093" s="295"/>
      <c r="K2093" s="170"/>
      <c r="L2093" s="171"/>
      <c r="M2093" s="50"/>
      <c r="N2093" s="171"/>
      <c r="O2093" s="202"/>
      <c r="P2093" s="202"/>
      <c r="Q2093" s="202"/>
      <c r="R2093" s="162"/>
      <c r="S2093" s="162"/>
    </row>
    <row r="2094" spans="1:19">
      <c r="A2094" s="63"/>
      <c r="B2094" s="63"/>
      <c r="C2094" s="63"/>
      <c r="D2094" s="63"/>
      <c r="E2094" s="63"/>
      <c r="F2094" s="63"/>
      <c r="G2094" s="63"/>
      <c r="I2094" s="296" t="s">
        <v>792</v>
      </c>
      <c r="J2094" s="296"/>
      <c r="K2094" s="170"/>
      <c r="L2094" s="171"/>
      <c r="M2094" s="50"/>
      <c r="N2094" s="171"/>
      <c r="O2094" s="202"/>
      <c r="P2094" s="202"/>
      <c r="Q2094" s="202"/>
      <c r="R2094" s="162"/>
      <c r="S2094" s="162"/>
    </row>
    <row r="2095" spans="1:19" ht="17.25" thickBot="1">
      <c r="A2095" s="63"/>
      <c r="B2095" s="63"/>
      <c r="C2095" s="63"/>
      <c r="D2095" s="63"/>
      <c r="E2095" s="63"/>
      <c r="F2095" s="63"/>
      <c r="G2095" s="63"/>
      <c r="I2095" s="297" t="s">
        <v>793</v>
      </c>
      <c r="J2095" s="297"/>
      <c r="K2095" s="172">
        <f t="shared" ref="K2095:S2095" si="959">SUM(K2084:K2094)</f>
        <v>0</v>
      </c>
      <c r="L2095" s="205">
        <f t="shared" si="959"/>
        <v>0</v>
      </c>
      <c r="M2095" s="205">
        <f t="shared" si="959"/>
        <v>0</v>
      </c>
      <c r="N2095" s="205">
        <f t="shared" si="959"/>
        <v>0</v>
      </c>
      <c r="O2095" s="174">
        <f t="shared" si="959"/>
        <v>0</v>
      </c>
      <c r="P2095" s="174">
        <f t="shared" si="959"/>
        <v>0</v>
      </c>
      <c r="Q2095" s="174">
        <f t="shared" si="959"/>
        <v>0</v>
      </c>
      <c r="R2095" s="175">
        <f t="shared" si="959"/>
        <v>0</v>
      </c>
      <c r="S2095" s="175">
        <f t="shared" si="959"/>
        <v>0</v>
      </c>
    </row>
    <row r="2096" spans="1:19" ht="17.25" thickBot="1">
      <c r="A2096" s="63"/>
      <c r="B2096" s="63"/>
      <c r="C2096" s="63"/>
      <c r="D2096" s="63"/>
      <c r="E2096" s="63"/>
      <c r="F2096" s="63"/>
      <c r="G2096" s="63"/>
      <c r="I2096" s="298" t="s">
        <v>794</v>
      </c>
      <c r="J2096" s="299"/>
      <c r="K2096" s="176">
        <f t="shared" ref="K2096" si="960">S2075-K2095</f>
        <v>0</v>
      </c>
      <c r="L2096" s="177">
        <f t="shared" ref="L2096" si="961">K2095-L2095</f>
        <v>0</v>
      </c>
      <c r="M2096" s="177">
        <f t="shared" ref="M2096" si="962">K2095-M2095</f>
        <v>0</v>
      </c>
      <c r="N2096" s="177">
        <f t="shared" ref="N2096" si="963">K2095-N2095</f>
        <v>0</v>
      </c>
      <c r="O2096" s="178">
        <f t="shared" ref="O2096" si="964">K2095-O2095</f>
        <v>0</v>
      </c>
      <c r="P2096" s="178">
        <f t="shared" ref="P2096" si="965">K2095-P2095</f>
        <v>0</v>
      </c>
      <c r="Q2096" s="178">
        <f t="shared" ref="Q2096" si="966">K2095-Q2095</f>
        <v>0</v>
      </c>
      <c r="R2096" s="179">
        <f t="shared" ref="R2096" si="967">K2095-R2095</f>
        <v>0</v>
      </c>
      <c r="S2096" s="180">
        <f t="shared" ref="S2096" si="968">L2095-S2095</f>
        <v>0</v>
      </c>
    </row>
    <row r="2097" spans="1:19">
      <c r="A2097" s="63"/>
      <c r="B2097" s="63"/>
      <c r="C2097" s="63"/>
      <c r="D2097" s="63"/>
      <c r="E2097" s="63"/>
      <c r="F2097" s="63"/>
      <c r="G2097" s="63"/>
      <c r="I2097" s="300" t="s">
        <v>795</v>
      </c>
      <c r="J2097" s="301"/>
      <c r="K2097" s="181"/>
      <c r="L2097" s="182"/>
      <c r="M2097" s="182"/>
      <c r="N2097" s="182"/>
      <c r="O2097" s="183"/>
      <c r="P2097" s="182"/>
      <c r="Q2097" s="182"/>
      <c r="R2097" s="182"/>
      <c r="S2097" s="182"/>
    </row>
    <row r="2098" spans="1:19">
      <c r="A2098" s="63"/>
      <c r="B2098" s="63"/>
      <c r="C2098" s="63"/>
      <c r="D2098" s="63"/>
      <c r="E2098" s="63"/>
      <c r="F2098" s="63"/>
      <c r="G2098" s="63"/>
      <c r="I2098" s="302" t="s">
        <v>796</v>
      </c>
      <c r="J2098" s="302"/>
      <c r="K2098" s="184"/>
      <c r="L2098" s="203"/>
      <c r="M2098" s="203"/>
      <c r="N2098" s="203"/>
      <c r="O2098" s="203"/>
      <c r="P2098" s="203"/>
      <c r="Q2098" s="203"/>
      <c r="R2098" s="203"/>
      <c r="S2098" s="203"/>
    </row>
    <row r="2099" spans="1:19">
      <c r="A2099" s="63"/>
      <c r="B2099" s="63"/>
      <c r="C2099" s="63"/>
      <c r="D2099" s="63"/>
      <c r="E2099" s="63"/>
      <c r="F2099" s="63"/>
      <c r="G2099" s="63"/>
      <c r="I2099" s="302" t="s">
        <v>797</v>
      </c>
      <c r="J2099" s="302"/>
      <c r="K2099" s="184"/>
      <c r="L2099" s="203"/>
      <c r="M2099" s="203"/>
      <c r="N2099" s="203"/>
      <c r="O2099" s="203"/>
      <c r="P2099" s="203"/>
      <c r="Q2099" s="203"/>
      <c r="R2099" s="203"/>
      <c r="S2099" s="203"/>
    </row>
    <row r="2100" spans="1:19">
      <c r="A2100" s="63"/>
      <c r="B2100" s="63"/>
      <c r="C2100" s="63"/>
      <c r="D2100" s="63"/>
      <c r="E2100" s="63"/>
      <c r="F2100" s="63"/>
      <c r="G2100" s="63"/>
      <c r="I2100" s="303" t="s">
        <v>798</v>
      </c>
      <c r="J2100" s="303"/>
      <c r="K2100" s="184"/>
      <c r="L2100" s="185"/>
      <c r="M2100" s="185"/>
      <c r="N2100" s="185"/>
      <c r="O2100" s="185"/>
      <c r="P2100" s="204"/>
      <c r="Q2100" s="204"/>
      <c r="R2100" s="204"/>
      <c r="S2100" s="204"/>
    </row>
    <row r="2101" spans="1:19">
      <c r="A2101" s="3" t="s">
        <v>801</v>
      </c>
      <c r="B2101" s="201" t="s">
        <v>802</v>
      </c>
      <c r="C2101" s="201" t="s">
        <v>803</v>
      </c>
      <c r="D2101" s="201" t="s">
        <v>119</v>
      </c>
      <c r="E2101" s="201" t="s">
        <v>148</v>
      </c>
      <c r="F2101" s="201" t="s">
        <v>806</v>
      </c>
      <c r="G2101" s="201" t="s">
        <v>81</v>
      </c>
      <c r="I2101" s="187"/>
      <c r="J2101" s="187"/>
      <c r="K2101" s="187"/>
      <c r="L2101" s="188"/>
      <c r="M2101" s="188"/>
      <c r="N2101" s="188"/>
      <c r="O2101" s="188"/>
      <c r="P2101" s="187"/>
      <c r="Q2101" s="187"/>
      <c r="R2101" s="187"/>
      <c r="S2101" s="187"/>
    </row>
    <row r="2102" spans="1:19">
      <c r="A2102" s="293">
        <v>44144</v>
      </c>
      <c r="B2102" s="161"/>
      <c r="C2102" s="162"/>
      <c r="D2102" s="162"/>
      <c r="E2102" s="162"/>
      <c r="F2102" s="162"/>
      <c r="G2102" s="163"/>
      <c r="I2102" s="191"/>
      <c r="J2102" s="190"/>
      <c r="K2102" s="190"/>
      <c r="L2102" s="190"/>
      <c r="M2102" s="190">
        <v>44144</v>
      </c>
      <c r="N2102" s="189" t="s">
        <v>864</v>
      </c>
      <c r="O2102" s="189"/>
      <c r="P2102" s="189"/>
      <c r="Q2102" s="189"/>
      <c r="R2102" s="189"/>
      <c r="S2102" s="189"/>
    </row>
    <row r="2103" spans="1:19">
      <c r="A2103" s="294"/>
      <c r="B2103" s="164"/>
      <c r="C2103" s="165"/>
      <c r="D2103" s="165"/>
      <c r="E2103" s="165"/>
      <c r="F2103" s="165"/>
      <c r="G2103" s="166"/>
      <c r="I2103" s="304"/>
      <c r="J2103" s="304"/>
      <c r="K2103" s="167"/>
      <c r="L2103" s="168"/>
      <c r="M2103" s="168"/>
      <c r="N2103" s="168"/>
      <c r="O2103" s="169"/>
      <c r="P2103" s="169"/>
      <c r="Q2103" s="169"/>
      <c r="R2103" s="161"/>
      <c r="S2103" s="161"/>
    </row>
    <row r="2104" spans="1:19">
      <c r="A2104" s="294"/>
      <c r="B2104" s="161"/>
      <c r="C2104" s="162"/>
      <c r="D2104" s="162"/>
      <c r="E2104" s="162"/>
      <c r="F2104" s="162"/>
      <c r="G2104" s="163"/>
      <c r="I2104" s="295" t="s">
        <v>782</v>
      </c>
      <c r="J2104" s="296"/>
      <c r="K2104" s="170"/>
      <c r="L2104" s="171"/>
      <c r="M2104" s="50"/>
      <c r="N2104" s="171"/>
      <c r="O2104" s="202"/>
      <c r="P2104" s="202"/>
      <c r="Q2104" s="202"/>
      <c r="R2104" s="162"/>
      <c r="S2104" s="162"/>
    </row>
    <row r="2105" spans="1:19">
      <c r="A2105" s="294"/>
      <c r="B2105" s="164"/>
      <c r="C2105" s="165"/>
      <c r="D2105" s="165"/>
      <c r="E2105" s="165"/>
      <c r="F2105" s="165"/>
      <c r="G2105" s="166"/>
      <c r="I2105" s="295" t="s">
        <v>783</v>
      </c>
      <c r="J2105" s="295"/>
      <c r="K2105" s="170"/>
      <c r="L2105" s="171"/>
      <c r="M2105" s="50"/>
      <c r="N2105" s="171"/>
      <c r="O2105" s="202"/>
      <c r="P2105" s="202"/>
      <c r="Q2105" s="202"/>
      <c r="R2105" s="162"/>
      <c r="S2105" s="162"/>
    </row>
    <row r="2106" spans="1:19">
      <c r="A2106" s="294"/>
      <c r="B2106" s="161"/>
      <c r="C2106" s="162"/>
      <c r="D2106" s="162"/>
      <c r="E2106" s="162"/>
      <c r="F2106" s="162"/>
      <c r="G2106" s="163"/>
      <c r="I2106" s="295" t="s">
        <v>784</v>
      </c>
      <c r="J2106" s="295"/>
      <c r="K2106" s="170"/>
      <c r="L2106" s="171"/>
      <c r="M2106" s="50"/>
      <c r="N2106" s="171"/>
      <c r="O2106" s="202"/>
      <c r="P2106" s="202"/>
      <c r="Q2106" s="202"/>
      <c r="R2106" s="162"/>
      <c r="S2106" s="162"/>
    </row>
    <row r="2107" spans="1:19">
      <c r="A2107" s="294"/>
      <c r="B2107" s="164"/>
      <c r="C2107" s="165"/>
      <c r="D2107" s="165"/>
      <c r="E2107" s="165"/>
      <c r="F2107" s="165"/>
      <c r="G2107" s="166"/>
      <c r="I2107" s="295" t="s">
        <v>785</v>
      </c>
      <c r="J2107" s="295"/>
      <c r="K2107" s="170"/>
      <c r="L2107" s="171"/>
      <c r="M2107" s="50"/>
      <c r="N2107" s="171"/>
      <c r="O2107" s="202"/>
      <c r="P2107" s="202"/>
      <c r="Q2107" s="202"/>
      <c r="R2107" s="162"/>
      <c r="S2107" s="162"/>
    </row>
    <row r="2108" spans="1:19">
      <c r="A2108" s="294"/>
      <c r="B2108" s="161"/>
      <c r="C2108" s="162"/>
      <c r="D2108" s="162"/>
      <c r="E2108" s="162"/>
      <c r="F2108" s="162"/>
      <c r="G2108" s="163"/>
      <c r="I2108" s="295" t="s">
        <v>786</v>
      </c>
      <c r="J2108" s="295"/>
      <c r="K2108" s="170"/>
      <c r="L2108" s="171"/>
      <c r="M2108" s="50"/>
      <c r="N2108" s="171"/>
      <c r="O2108" s="202"/>
      <c r="P2108" s="202"/>
      <c r="Q2108" s="202"/>
      <c r="R2108" s="162"/>
      <c r="S2108" s="162"/>
    </row>
    <row r="2109" spans="1:19">
      <c r="A2109" s="294"/>
      <c r="B2109" s="164"/>
      <c r="C2109" s="165"/>
      <c r="D2109" s="165"/>
      <c r="E2109" s="165"/>
      <c r="F2109" s="165"/>
      <c r="G2109" s="166"/>
      <c r="I2109" s="295" t="s">
        <v>787</v>
      </c>
      <c r="J2109" s="295"/>
      <c r="K2109" s="170"/>
      <c r="L2109" s="171"/>
      <c r="M2109" s="50"/>
      <c r="N2109" s="171"/>
      <c r="O2109" s="202"/>
      <c r="P2109" s="202"/>
      <c r="Q2109" s="202"/>
      <c r="R2109" s="162"/>
      <c r="S2109" s="162"/>
    </row>
    <row r="2110" spans="1:19">
      <c r="A2110" s="294"/>
      <c r="B2110" s="161"/>
      <c r="C2110" s="162"/>
      <c r="D2110" s="162"/>
      <c r="E2110" s="162"/>
      <c r="F2110" s="162"/>
      <c r="G2110" s="163"/>
      <c r="I2110" s="295" t="s">
        <v>788</v>
      </c>
      <c r="J2110" s="295"/>
      <c r="K2110" s="170"/>
      <c r="L2110" s="171"/>
      <c r="M2110" s="50"/>
      <c r="N2110" s="171"/>
      <c r="O2110" s="202"/>
      <c r="P2110" s="202"/>
      <c r="Q2110" s="202"/>
      <c r="R2110" s="162"/>
      <c r="S2110" s="162"/>
    </row>
    <row r="2111" spans="1:19">
      <c r="A2111" s="294"/>
      <c r="B2111" s="164"/>
      <c r="C2111" s="165"/>
      <c r="D2111" s="165"/>
      <c r="E2111" s="165"/>
      <c r="F2111" s="165"/>
      <c r="G2111" s="166"/>
      <c r="I2111" s="295" t="s">
        <v>789</v>
      </c>
      <c r="J2111" s="295"/>
      <c r="K2111" s="170"/>
      <c r="L2111" s="171"/>
      <c r="M2111" s="50"/>
      <c r="N2111" s="171"/>
      <c r="O2111" s="202"/>
      <c r="P2111" s="202"/>
      <c r="Q2111" s="202"/>
      <c r="R2111" s="162"/>
      <c r="S2111" s="162"/>
    </row>
    <row r="2112" spans="1:19">
      <c r="A2112" s="63"/>
      <c r="B2112" s="63"/>
      <c r="C2112" s="63"/>
      <c r="D2112" s="63"/>
      <c r="E2112" s="63"/>
      <c r="F2112" s="63"/>
      <c r="G2112" s="63"/>
      <c r="I2112" s="295" t="s">
        <v>790</v>
      </c>
      <c r="J2112" s="295"/>
      <c r="K2112" s="170"/>
      <c r="L2112" s="171"/>
      <c r="M2112" s="50"/>
      <c r="N2112" s="171"/>
      <c r="O2112" s="202"/>
      <c r="P2112" s="202"/>
      <c r="Q2112" s="202"/>
      <c r="R2112" s="162"/>
      <c r="S2112" s="162"/>
    </row>
    <row r="2113" spans="1:19">
      <c r="A2113" s="63"/>
      <c r="B2113" s="63"/>
      <c r="C2113" s="63"/>
      <c r="D2113" s="63"/>
      <c r="E2113" s="63"/>
      <c r="F2113" s="63"/>
      <c r="G2113" s="63"/>
      <c r="I2113" s="295" t="s">
        <v>791</v>
      </c>
      <c r="J2113" s="295"/>
      <c r="K2113" s="170"/>
      <c r="L2113" s="171"/>
      <c r="M2113" s="50"/>
      <c r="N2113" s="171"/>
      <c r="O2113" s="202"/>
      <c r="P2113" s="202"/>
      <c r="Q2113" s="202"/>
      <c r="R2113" s="162"/>
      <c r="S2113" s="162"/>
    </row>
    <row r="2114" spans="1:19">
      <c r="A2114" s="63"/>
      <c r="B2114" s="63"/>
      <c r="C2114" s="63"/>
      <c r="D2114" s="63"/>
      <c r="E2114" s="63"/>
      <c r="F2114" s="63"/>
      <c r="G2114" s="63"/>
      <c r="I2114" s="296" t="s">
        <v>792</v>
      </c>
      <c r="J2114" s="296"/>
      <c r="K2114" s="170"/>
      <c r="L2114" s="171"/>
      <c r="M2114" s="50"/>
      <c r="N2114" s="171"/>
      <c r="O2114" s="202"/>
      <c r="P2114" s="202"/>
      <c r="Q2114" s="202"/>
      <c r="R2114" s="162"/>
      <c r="S2114" s="162"/>
    </row>
    <row r="2115" spans="1:19" ht="17.25" thickBot="1">
      <c r="A2115" s="63"/>
      <c r="B2115" s="63"/>
      <c r="C2115" s="63"/>
      <c r="D2115" s="63"/>
      <c r="E2115" s="63"/>
      <c r="F2115" s="63"/>
      <c r="G2115" s="63"/>
      <c r="I2115" s="297" t="s">
        <v>793</v>
      </c>
      <c r="J2115" s="297"/>
      <c r="K2115" s="172">
        <f t="shared" ref="K2115:S2115" si="969">SUM(K2104:K2114)</f>
        <v>0</v>
      </c>
      <c r="L2115" s="205">
        <f t="shared" si="969"/>
        <v>0</v>
      </c>
      <c r="M2115" s="205">
        <f t="shared" si="969"/>
        <v>0</v>
      </c>
      <c r="N2115" s="205">
        <f t="shared" si="969"/>
        <v>0</v>
      </c>
      <c r="O2115" s="174">
        <f t="shared" si="969"/>
        <v>0</v>
      </c>
      <c r="P2115" s="174">
        <f t="shared" si="969"/>
        <v>0</v>
      </c>
      <c r="Q2115" s="174">
        <f t="shared" si="969"/>
        <v>0</v>
      </c>
      <c r="R2115" s="175">
        <f t="shared" si="969"/>
        <v>0</v>
      </c>
      <c r="S2115" s="175">
        <f t="shared" si="969"/>
        <v>0</v>
      </c>
    </row>
    <row r="2116" spans="1:19" ht="17.25" thickBot="1">
      <c r="A2116" s="63"/>
      <c r="B2116" s="63"/>
      <c r="C2116" s="63"/>
      <c r="D2116" s="63"/>
      <c r="E2116" s="63"/>
      <c r="F2116" s="63"/>
      <c r="G2116" s="63"/>
      <c r="I2116" s="298" t="s">
        <v>794</v>
      </c>
      <c r="J2116" s="299"/>
      <c r="K2116" s="176">
        <f t="shared" ref="K2116" si="970">S2095-K2115</f>
        <v>0</v>
      </c>
      <c r="L2116" s="177">
        <f t="shared" ref="L2116" si="971">K2115-L2115</f>
        <v>0</v>
      </c>
      <c r="M2116" s="177">
        <f t="shared" ref="M2116" si="972">K2115-M2115</f>
        <v>0</v>
      </c>
      <c r="N2116" s="177">
        <f t="shared" ref="N2116" si="973">K2115-N2115</f>
        <v>0</v>
      </c>
      <c r="O2116" s="178">
        <f t="shared" ref="O2116" si="974">K2115-O2115</f>
        <v>0</v>
      </c>
      <c r="P2116" s="178">
        <f t="shared" ref="P2116" si="975">K2115-P2115</f>
        <v>0</v>
      </c>
      <c r="Q2116" s="178">
        <f t="shared" ref="Q2116" si="976">K2115-Q2115</f>
        <v>0</v>
      </c>
      <c r="R2116" s="179">
        <f t="shared" ref="R2116" si="977">K2115-R2115</f>
        <v>0</v>
      </c>
      <c r="S2116" s="180">
        <f t="shared" ref="S2116" si="978">L2115-S2115</f>
        <v>0</v>
      </c>
    </row>
    <row r="2117" spans="1:19">
      <c r="A2117" s="63"/>
      <c r="B2117" s="63"/>
      <c r="C2117" s="63"/>
      <c r="D2117" s="63"/>
      <c r="E2117" s="63"/>
      <c r="F2117" s="63"/>
      <c r="G2117" s="63"/>
      <c r="I2117" s="300" t="s">
        <v>795</v>
      </c>
      <c r="J2117" s="301"/>
      <c r="K2117" s="181"/>
      <c r="L2117" s="182"/>
      <c r="M2117" s="182"/>
      <c r="N2117" s="182"/>
      <c r="O2117" s="183"/>
      <c r="P2117" s="182"/>
      <c r="Q2117" s="182"/>
      <c r="R2117" s="182"/>
      <c r="S2117" s="182"/>
    </row>
    <row r="2118" spans="1:19">
      <c r="A2118" s="63"/>
      <c r="B2118" s="63"/>
      <c r="C2118" s="63"/>
      <c r="D2118" s="63"/>
      <c r="E2118" s="63"/>
      <c r="F2118" s="63"/>
      <c r="G2118" s="63"/>
      <c r="I2118" s="302" t="s">
        <v>796</v>
      </c>
      <c r="J2118" s="302"/>
      <c r="K2118" s="184"/>
      <c r="L2118" s="203"/>
      <c r="M2118" s="203"/>
      <c r="N2118" s="203"/>
      <c r="O2118" s="203"/>
      <c r="P2118" s="203"/>
      <c r="Q2118" s="203"/>
      <c r="R2118" s="203"/>
      <c r="S2118" s="203"/>
    </row>
    <row r="2119" spans="1:19">
      <c r="A2119" s="63"/>
      <c r="B2119" s="63"/>
      <c r="C2119" s="63"/>
      <c r="D2119" s="63"/>
      <c r="E2119" s="63"/>
      <c r="F2119" s="63"/>
      <c r="G2119" s="63"/>
      <c r="I2119" s="302" t="s">
        <v>797</v>
      </c>
      <c r="J2119" s="302"/>
      <c r="K2119" s="184"/>
      <c r="L2119" s="203"/>
      <c r="M2119" s="203"/>
      <c r="N2119" s="203"/>
      <c r="O2119" s="203"/>
      <c r="P2119" s="203"/>
      <c r="Q2119" s="203"/>
      <c r="R2119" s="203"/>
      <c r="S2119" s="203"/>
    </row>
    <row r="2120" spans="1:19">
      <c r="A2120" s="63"/>
      <c r="B2120" s="63"/>
      <c r="C2120" s="63"/>
      <c r="D2120" s="63"/>
      <c r="E2120" s="63"/>
      <c r="F2120" s="63"/>
      <c r="G2120" s="63"/>
      <c r="I2120" s="303" t="s">
        <v>798</v>
      </c>
      <c r="J2120" s="303"/>
      <c r="K2120" s="184"/>
      <c r="L2120" s="185"/>
      <c r="M2120" s="185"/>
      <c r="N2120" s="185"/>
      <c r="O2120" s="185"/>
      <c r="P2120" s="204"/>
      <c r="Q2120" s="204"/>
      <c r="R2120" s="204"/>
      <c r="S2120" s="204"/>
    </row>
    <row r="2121" spans="1:19">
      <c r="A2121" s="3" t="s">
        <v>801</v>
      </c>
      <c r="B2121" s="201" t="s">
        <v>802</v>
      </c>
      <c r="C2121" s="201" t="s">
        <v>803</v>
      </c>
      <c r="D2121" s="201" t="s">
        <v>119</v>
      </c>
      <c r="E2121" s="201" t="s">
        <v>148</v>
      </c>
      <c r="F2121" s="201" t="s">
        <v>806</v>
      </c>
      <c r="G2121" s="201" t="s">
        <v>81</v>
      </c>
      <c r="I2121" s="187"/>
      <c r="J2121" s="187"/>
      <c r="K2121" s="187"/>
      <c r="L2121" s="188"/>
      <c r="M2121" s="188"/>
      <c r="N2121" s="188"/>
      <c r="O2121" s="188"/>
      <c r="P2121" s="187"/>
      <c r="Q2121" s="187"/>
      <c r="R2121" s="187"/>
      <c r="S2121" s="187"/>
    </row>
    <row r="2122" spans="1:19">
      <c r="A2122" s="293">
        <v>44145</v>
      </c>
      <c r="B2122" s="161"/>
      <c r="C2122" s="162"/>
      <c r="D2122" s="162"/>
      <c r="E2122" s="162"/>
      <c r="F2122" s="162"/>
      <c r="G2122" s="163"/>
      <c r="I2122" s="191"/>
      <c r="J2122" s="190"/>
      <c r="K2122" s="190"/>
      <c r="L2122" s="190"/>
      <c r="M2122" s="190">
        <v>44145</v>
      </c>
      <c r="N2122" s="189" t="s">
        <v>864</v>
      </c>
      <c r="O2122" s="189"/>
      <c r="P2122" s="189"/>
      <c r="Q2122" s="189"/>
      <c r="R2122" s="189"/>
      <c r="S2122" s="189"/>
    </row>
    <row r="2123" spans="1:19">
      <c r="A2123" s="294"/>
      <c r="B2123" s="164"/>
      <c r="C2123" s="165"/>
      <c r="D2123" s="165"/>
      <c r="E2123" s="165"/>
      <c r="F2123" s="165"/>
      <c r="G2123" s="166"/>
      <c r="I2123" s="304"/>
      <c r="J2123" s="304"/>
      <c r="K2123" s="167"/>
      <c r="L2123" s="168"/>
      <c r="M2123" s="168"/>
      <c r="N2123" s="168"/>
      <c r="O2123" s="169"/>
      <c r="P2123" s="169"/>
      <c r="Q2123" s="169"/>
      <c r="R2123" s="161"/>
      <c r="S2123" s="161"/>
    </row>
    <row r="2124" spans="1:19">
      <c r="A2124" s="294"/>
      <c r="B2124" s="161"/>
      <c r="C2124" s="162"/>
      <c r="D2124" s="162"/>
      <c r="E2124" s="162"/>
      <c r="F2124" s="162"/>
      <c r="G2124" s="163"/>
      <c r="I2124" s="295" t="s">
        <v>782</v>
      </c>
      <c r="J2124" s="296"/>
      <c r="K2124" s="170"/>
      <c r="L2124" s="171"/>
      <c r="M2124" s="50"/>
      <c r="N2124" s="171"/>
      <c r="O2124" s="202"/>
      <c r="P2124" s="202"/>
      <c r="Q2124" s="202"/>
      <c r="R2124" s="162"/>
      <c r="S2124" s="162"/>
    </row>
    <row r="2125" spans="1:19">
      <c r="A2125" s="294"/>
      <c r="B2125" s="164"/>
      <c r="C2125" s="165"/>
      <c r="D2125" s="165"/>
      <c r="E2125" s="165"/>
      <c r="F2125" s="165"/>
      <c r="G2125" s="166"/>
      <c r="I2125" s="295" t="s">
        <v>783</v>
      </c>
      <c r="J2125" s="295"/>
      <c r="K2125" s="170"/>
      <c r="L2125" s="171"/>
      <c r="M2125" s="50"/>
      <c r="N2125" s="171"/>
      <c r="O2125" s="202"/>
      <c r="P2125" s="202"/>
      <c r="Q2125" s="202"/>
      <c r="R2125" s="162"/>
      <c r="S2125" s="162"/>
    </row>
    <row r="2126" spans="1:19">
      <c r="A2126" s="294"/>
      <c r="B2126" s="161"/>
      <c r="C2126" s="162"/>
      <c r="D2126" s="162"/>
      <c r="E2126" s="162"/>
      <c r="F2126" s="162"/>
      <c r="G2126" s="163"/>
      <c r="I2126" s="295" t="s">
        <v>784</v>
      </c>
      <c r="J2126" s="295"/>
      <c r="K2126" s="170"/>
      <c r="L2126" s="171"/>
      <c r="M2126" s="50"/>
      <c r="N2126" s="171"/>
      <c r="O2126" s="202"/>
      <c r="P2126" s="202"/>
      <c r="Q2126" s="202"/>
      <c r="R2126" s="162"/>
      <c r="S2126" s="162"/>
    </row>
    <row r="2127" spans="1:19">
      <c r="A2127" s="294"/>
      <c r="B2127" s="164"/>
      <c r="C2127" s="165"/>
      <c r="D2127" s="165"/>
      <c r="E2127" s="165"/>
      <c r="F2127" s="165"/>
      <c r="G2127" s="166"/>
      <c r="I2127" s="295" t="s">
        <v>785</v>
      </c>
      <c r="J2127" s="295"/>
      <c r="K2127" s="170"/>
      <c r="L2127" s="171"/>
      <c r="M2127" s="50"/>
      <c r="N2127" s="171"/>
      <c r="O2127" s="202"/>
      <c r="P2127" s="202"/>
      <c r="Q2127" s="202"/>
      <c r="R2127" s="162"/>
      <c r="S2127" s="162"/>
    </row>
    <row r="2128" spans="1:19">
      <c r="A2128" s="294"/>
      <c r="B2128" s="161"/>
      <c r="C2128" s="162"/>
      <c r="D2128" s="162"/>
      <c r="E2128" s="162"/>
      <c r="F2128" s="162"/>
      <c r="G2128" s="163"/>
      <c r="I2128" s="295" t="s">
        <v>786</v>
      </c>
      <c r="J2128" s="295"/>
      <c r="K2128" s="170"/>
      <c r="L2128" s="171"/>
      <c r="M2128" s="50"/>
      <c r="N2128" s="171"/>
      <c r="O2128" s="202"/>
      <c r="P2128" s="202"/>
      <c r="Q2128" s="202"/>
      <c r="R2128" s="162"/>
      <c r="S2128" s="162"/>
    </row>
    <row r="2129" spans="1:19">
      <c r="A2129" s="294"/>
      <c r="B2129" s="164"/>
      <c r="C2129" s="165"/>
      <c r="D2129" s="165"/>
      <c r="E2129" s="165"/>
      <c r="F2129" s="165"/>
      <c r="G2129" s="166"/>
      <c r="I2129" s="295" t="s">
        <v>787</v>
      </c>
      <c r="J2129" s="295"/>
      <c r="K2129" s="170"/>
      <c r="L2129" s="171"/>
      <c r="M2129" s="50"/>
      <c r="N2129" s="171"/>
      <c r="O2129" s="202"/>
      <c r="P2129" s="202"/>
      <c r="Q2129" s="202"/>
      <c r="R2129" s="162"/>
      <c r="S2129" s="162"/>
    </row>
    <row r="2130" spans="1:19">
      <c r="A2130" s="294"/>
      <c r="B2130" s="161"/>
      <c r="C2130" s="162"/>
      <c r="D2130" s="162"/>
      <c r="E2130" s="162"/>
      <c r="F2130" s="162"/>
      <c r="G2130" s="163"/>
      <c r="I2130" s="295" t="s">
        <v>788</v>
      </c>
      <c r="J2130" s="295"/>
      <c r="K2130" s="170"/>
      <c r="L2130" s="171"/>
      <c r="M2130" s="50"/>
      <c r="N2130" s="171"/>
      <c r="O2130" s="202"/>
      <c r="P2130" s="202"/>
      <c r="Q2130" s="202"/>
      <c r="R2130" s="162"/>
      <c r="S2130" s="162"/>
    </row>
    <row r="2131" spans="1:19">
      <c r="A2131" s="294"/>
      <c r="B2131" s="164"/>
      <c r="C2131" s="165"/>
      <c r="D2131" s="165"/>
      <c r="E2131" s="165"/>
      <c r="F2131" s="165"/>
      <c r="G2131" s="166"/>
      <c r="I2131" s="295" t="s">
        <v>789</v>
      </c>
      <c r="J2131" s="295"/>
      <c r="K2131" s="170"/>
      <c r="L2131" s="171"/>
      <c r="M2131" s="50"/>
      <c r="N2131" s="171"/>
      <c r="O2131" s="202"/>
      <c r="P2131" s="202"/>
      <c r="Q2131" s="202"/>
      <c r="R2131" s="162"/>
      <c r="S2131" s="162"/>
    </row>
    <row r="2132" spans="1:19">
      <c r="A2132" s="63"/>
      <c r="B2132" s="63"/>
      <c r="C2132" s="63"/>
      <c r="D2132" s="63"/>
      <c r="E2132" s="63"/>
      <c r="F2132" s="63"/>
      <c r="G2132" s="63"/>
      <c r="I2132" s="295" t="s">
        <v>790</v>
      </c>
      <c r="J2132" s="295"/>
      <c r="K2132" s="170"/>
      <c r="L2132" s="171"/>
      <c r="M2132" s="50"/>
      <c r="N2132" s="171"/>
      <c r="O2132" s="202"/>
      <c r="P2132" s="202"/>
      <c r="Q2132" s="202"/>
      <c r="R2132" s="162"/>
      <c r="S2132" s="162"/>
    </row>
    <row r="2133" spans="1:19">
      <c r="A2133" s="63"/>
      <c r="B2133" s="63"/>
      <c r="C2133" s="63"/>
      <c r="D2133" s="63"/>
      <c r="E2133" s="63"/>
      <c r="F2133" s="63"/>
      <c r="G2133" s="63"/>
      <c r="I2133" s="295" t="s">
        <v>791</v>
      </c>
      <c r="J2133" s="295"/>
      <c r="K2133" s="170"/>
      <c r="L2133" s="171"/>
      <c r="M2133" s="50"/>
      <c r="N2133" s="171"/>
      <c r="O2133" s="202"/>
      <c r="P2133" s="202"/>
      <c r="Q2133" s="202"/>
      <c r="R2133" s="162"/>
      <c r="S2133" s="162"/>
    </row>
    <row r="2134" spans="1:19">
      <c r="A2134" s="63"/>
      <c r="B2134" s="63"/>
      <c r="C2134" s="63"/>
      <c r="D2134" s="63"/>
      <c r="E2134" s="63"/>
      <c r="F2134" s="63"/>
      <c r="G2134" s="63"/>
      <c r="I2134" s="296" t="s">
        <v>792</v>
      </c>
      <c r="J2134" s="296"/>
      <c r="K2134" s="170"/>
      <c r="L2134" s="171"/>
      <c r="M2134" s="50"/>
      <c r="N2134" s="171"/>
      <c r="O2134" s="202"/>
      <c r="P2134" s="202"/>
      <c r="Q2134" s="202"/>
      <c r="R2134" s="162"/>
      <c r="S2134" s="162"/>
    </row>
    <row r="2135" spans="1:19" ht="17.25" thickBot="1">
      <c r="A2135" s="63"/>
      <c r="B2135" s="63"/>
      <c r="C2135" s="63"/>
      <c r="D2135" s="63"/>
      <c r="E2135" s="63"/>
      <c r="F2135" s="63"/>
      <c r="G2135" s="63"/>
      <c r="I2135" s="297" t="s">
        <v>793</v>
      </c>
      <c r="J2135" s="297"/>
      <c r="K2135" s="172">
        <f t="shared" ref="K2135:S2135" si="979">SUM(K2124:K2134)</f>
        <v>0</v>
      </c>
      <c r="L2135" s="205">
        <f t="shared" si="979"/>
        <v>0</v>
      </c>
      <c r="M2135" s="205">
        <f t="shared" si="979"/>
        <v>0</v>
      </c>
      <c r="N2135" s="205">
        <f t="shared" si="979"/>
        <v>0</v>
      </c>
      <c r="O2135" s="174">
        <f t="shared" si="979"/>
        <v>0</v>
      </c>
      <c r="P2135" s="174">
        <f t="shared" si="979"/>
        <v>0</v>
      </c>
      <c r="Q2135" s="174">
        <f t="shared" si="979"/>
        <v>0</v>
      </c>
      <c r="R2135" s="175">
        <f t="shared" si="979"/>
        <v>0</v>
      </c>
      <c r="S2135" s="175">
        <f t="shared" si="979"/>
        <v>0</v>
      </c>
    </row>
    <row r="2136" spans="1:19" ht="17.25" thickBot="1">
      <c r="A2136" s="63"/>
      <c r="B2136" s="63"/>
      <c r="C2136" s="63"/>
      <c r="D2136" s="63"/>
      <c r="E2136" s="63"/>
      <c r="F2136" s="63"/>
      <c r="G2136" s="63"/>
      <c r="I2136" s="298" t="s">
        <v>794</v>
      </c>
      <c r="J2136" s="299"/>
      <c r="K2136" s="176">
        <f t="shared" ref="K2136" si="980">S2115-K2135</f>
        <v>0</v>
      </c>
      <c r="L2136" s="177">
        <f t="shared" ref="L2136" si="981">K2135-L2135</f>
        <v>0</v>
      </c>
      <c r="M2136" s="177">
        <f t="shared" ref="M2136" si="982">K2135-M2135</f>
        <v>0</v>
      </c>
      <c r="N2136" s="177">
        <f t="shared" ref="N2136" si="983">K2135-N2135</f>
        <v>0</v>
      </c>
      <c r="O2136" s="178">
        <f t="shared" ref="O2136" si="984">K2135-O2135</f>
        <v>0</v>
      </c>
      <c r="P2136" s="178">
        <f t="shared" ref="P2136" si="985">K2135-P2135</f>
        <v>0</v>
      </c>
      <c r="Q2136" s="178">
        <f t="shared" ref="Q2136" si="986">K2135-Q2135</f>
        <v>0</v>
      </c>
      <c r="R2136" s="179">
        <f t="shared" ref="R2136" si="987">K2135-R2135</f>
        <v>0</v>
      </c>
      <c r="S2136" s="180">
        <f t="shared" ref="S2136" si="988">L2135-S2135</f>
        <v>0</v>
      </c>
    </row>
    <row r="2137" spans="1:19">
      <c r="A2137" s="63"/>
      <c r="B2137" s="63"/>
      <c r="C2137" s="63"/>
      <c r="D2137" s="63"/>
      <c r="E2137" s="63"/>
      <c r="F2137" s="63"/>
      <c r="G2137" s="63"/>
      <c r="I2137" s="300" t="s">
        <v>795</v>
      </c>
      <c r="J2137" s="301"/>
      <c r="K2137" s="181"/>
      <c r="L2137" s="182"/>
      <c r="M2137" s="182"/>
      <c r="N2137" s="182"/>
      <c r="O2137" s="183"/>
      <c r="P2137" s="182"/>
      <c r="Q2137" s="182"/>
      <c r="R2137" s="182"/>
      <c r="S2137" s="182"/>
    </row>
    <row r="2138" spans="1:19">
      <c r="A2138" s="63"/>
      <c r="B2138" s="63"/>
      <c r="C2138" s="63"/>
      <c r="D2138" s="63"/>
      <c r="E2138" s="63"/>
      <c r="F2138" s="63"/>
      <c r="G2138" s="63"/>
      <c r="I2138" s="302" t="s">
        <v>796</v>
      </c>
      <c r="J2138" s="302"/>
      <c r="K2138" s="184"/>
      <c r="L2138" s="203"/>
      <c r="M2138" s="203"/>
      <c r="N2138" s="203"/>
      <c r="O2138" s="203"/>
      <c r="P2138" s="203"/>
      <c r="Q2138" s="203"/>
      <c r="R2138" s="203"/>
      <c r="S2138" s="203"/>
    </row>
    <row r="2139" spans="1:19">
      <c r="A2139" s="63"/>
      <c r="B2139" s="63"/>
      <c r="C2139" s="63"/>
      <c r="D2139" s="63"/>
      <c r="E2139" s="63"/>
      <c r="F2139" s="63"/>
      <c r="G2139" s="63"/>
      <c r="I2139" s="302" t="s">
        <v>797</v>
      </c>
      <c r="J2139" s="302"/>
      <c r="K2139" s="184"/>
      <c r="L2139" s="203"/>
      <c r="M2139" s="203"/>
      <c r="N2139" s="203"/>
      <c r="O2139" s="203"/>
      <c r="P2139" s="203"/>
      <c r="Q2139" s="203"/>
      <c r="R2139" s="203"/>
      <c r="S2139" s="203"/>
    </row>
    <row r="2140" spans="1:19">
      <c r="A2140" s="63"/>
      <c r="B2140" s="63"/>
      <c r="C2140" s="63"/>
      <c r="D2140" s="63"/>
      <c r="E2140" s="63"/>
      <c r="F2140" s="63"/>
      <c r="G2140" s="63"/>
      <c r="I2140" s="303" t="s">
        <v>798</v>
      </c>
      <c r="J2140" s="303"/>
      <c r="K2140" s="184"/>
      <c r="L2140" s="185"/>
      <c r="M2140" s="185"/>
      <c r="N2140" s="185"/>
      <c r="O2140" s="185"/>
      <c r="P2140" s="204"/>
      <c r="Q2140" s="204"/>
      <c r="R2140" s="204"/>
      <c r="S2140" s="204"/>
    </row>
    <row r="2141" spans="1:19">
      <c r="A2141" s="3" t="s">
        <v>801</v>
      </c>
      <c r="B2141" s="201" t="s">
        <v>802</v>
      </c>
      <c r="C2141" s="201" t="s">
        <v>803</v>
      </c>
      <c r="D2141" s="201" t="s">
        <v>119</v>
      </c>
      <c r="E2141" s="201" t="s">
        <v>148</v>
      </c>
      <c r="F2141" s="201" t="s">
        <v>806</v>
      </c>
      <c r="G2141" s="201" t="s">
        <v>81</v>
      </c>
      <c r="I2141" s="187"/>
      <c r="J2141" s="187"/>
      <c r="K2141" s="187"/>
      <c r="L2141" s="188"/>
      <c r="M2141" s="188"/>
      <c r="N2141" s="188"/>
      <c r="O2141" s="188"/>
      <c r="P2141" s="187"/>
      <c r="Q2141" s="187"/>
      <c r="R2141" s="187"/>
      <c r="S2141" s="187"/>
    </row>
    <row r="2142" spans="1:19">
      <c r="A2142" s="293">
        <v>44146</v>
      </c>
      <c r="B2142" s="161"/>
      <c r="C2142" s="162"/>
      <c r="D2142" s="162"/>
      <c r="E2142" s="162"/>
      <c r="F2142" s="162"/>
      <c r="G2142" s="163"/>
      <c r="I2142" s="191"/>
      <c r="J2142" s="190"/>
      <c r="K2142" s="190"/>
      <c r="L2142" s="190"/>
      <c r="M2142" s="190">
        <v>44146</v>
      </c>
      <c r="N2142" s="189" t="s">
        <v>864</v>
      </c>
      <c r="O2142" s="189"/>
      <c r="P2142" s="189"/>
      <c r="Q2142" s="189"/>
      <c r="R2142" s="189"/>
      <c r="S2142" s="189"/>
    </row>
    <row r="2143" spans="1:19">
      <c r="A2143" s="294"/>
      <c r="B2143" s="164"/>
      <c r="C2143" s="165"/>
      <c r="D2143" s="165"/>
      <c r="E2143" s="165"/>
      <c r="F2143" s="165"/>
      <c r="G2143" s="166"/>
      <c r="I2143" s="304"/>
      <c r="J2143" s="304"/>
      <c r="K2143" s="167"/>
      <c r="L2143" s="168"/>
      <c r="M2143" s="168"/>
      <c r="N2143" s="168"/>
      <c r="O2143" s="169"/>
      <c r="P2143" s="169"/>
      <c r="Q2143" s="169"/>
      <c r="R2143" s="161"/>
      <c r="S2143" s="161"/>
    </row>
    <row r="2144" spans="1:19">
      <c r="A2144" s="294"/>
      <c r="B2144" s="161"/>
      <c r="C2144" s="162"/>
      <c r="D2144" s="162"/>
      <c r="E2144" s="162"/>
      <c r="F2144" s="162"/>
      <c r="G2144" s="163"/>
      <c r="I2144" s="295" t="s">
        <v>782</v>
      </c>
      <c r="J2144" s="296"/>
      <c r="K2144" s="170"/>
      <c r="L2144" s="171"/>
      <c r="M2144" s="50"/>
      <c r="N2144" s="171"/>
      <c r="O2144" s="202"/>
      <c r="P2144" s="202"/>
      <c r="Q2144" s="202"/>
      <c r="R2144" s="162"/>
      <c r="S2144" s="162"/>
    </row>
    <row r="2145" spans="1:19">
      <c r="A2145" s="294"/>
      <c r="B2145" s="164"/>
      <c r="C2145" s="165"/>
      <c r="D2145" s="165"/>
      <c r="E2145" s="165"/>
      <c r="F2145" s="165"/>
      <c r="G2145" s="166"/>
      <c r="I2145" s="295" t="s">
        <v>783</v>
      </c>
      <c r="J2145" s="295"/>
      <c r="K2145" s="170"/>
      <c r="L2145" s="171"/>
      <c r="M2145" s="50"/>
      <c r="N2145" s="171"/>
      <c r="O2145" s="202"/>
      <c r="P2145" s="202"/>
      <c r="Q2145" s="202"/>
      <c r="R2145" s="162"/>
      <c r="S2145" s="162"/>
    </row>
    <row r="2146" spans="1:19">
      <c r="A2146" s="294"/>
      <c r="B2146" s="161"/>
      <c r="C2146" s="162"/>
      <c r="D2146" s="162"/>
      <c r="E2146" s="162"/>
      <c r="F2146" s="162"/>
      <c r="G2146" s="163"/>
      <c r="I2146" s="295" t="s">
        <v>784</v>
      </c>
      <c r="J2146" s="295"/>
      <c r="K2146" s="170"/>
      <c r="L2146" s="171"/>
      <c r="M2146" s="50"/>
      <c r="N2146" s="171"/>
      <c r="O2146" s="202"/>
      <c r="P2146" s="202"/>
      <c r="Q2146" s="202"/>
      <c r="R2146" s="162"/>
      <c r="S2146" s="162"/>
    </row>
    <row r="2147" spans="1:19">
      <c r="A2147" s="294"/>
      <c r="B2147" s="164"/>
      <c r="C2147" s="165"/>
      <c r="D2147" s="165"/>
      <c r="E2147" s="165"/>
      <c r="F2147" s="165"/>
      <c r="G2147" s="166"/>
      <c r="I2147" s="295" t="s">
        <v>785</v>
      </c>
      <c r="J2147" s="295"/>
      <c r="K2147" s="170"/>
      <c r="L2147" s="171"/>
      <c r="M2147" s="50"/>
      <c r="N2147" s="171"/>
      <c r="O2147" s="202"/>
      <c r="P2147" s="202"/>
      <c r="Q2147" s="202"/>
      <c r="R2147" s="162"/>
      <c r="S2147" s="162"/>
    </row>
    <row r="2148" spans="1:19">
      <c r="A2148" s="294"/>
      <c r="B2148" s="161"/>
      <c r="C2148" s="162"/>
      <c r="D2148" s="162"/>
      <c r="E2148" s="162"/>
      <c r="F2148" s="162"/>
      <c r="G2148" s="163"/>
      <c r="I2148" s="295" t="s">
        <v>786</v>
      </c>
      <c r="J2148" s="295"/>
      <c r="K2148" s="170"/>
      <c r="L2148" s="171"/>
      <c r="M2148" s="50"/>
      <c r="N2148" s="171"/>
      <c r="O2148" s="202"/>
      <c r="P2148" s="202"/>
      <c r="Q2148" s="202"/>
      <c r="R2148" s="162"/>
      <c r="S2148" s="162"/>
    </row>
    <row r="2149" spans="1:19">
      <c r="A2149" s="294"/>
      <c r="B2149" s="164"/>
      <c r="C2149" s="165"/>
      <c r="D2149" s="165"/>
      <c r="E2149" s="165"/>
      <c r="F2149" s="165"/>
      <c r="G2149" s="166"/>
      <c r="I2149" s="295" t="s">
        <v>787</v>
      </c>
      <c r="J2149" s="295"/>
      <c r="K2149" s="170"/>
      <c r="L2149" s="171"/>
      <c r="M2149" s="50"/>
      <c r="N2149" s="171"/>
      <c r="O2149" s="202"/>
      <c r="P2149" s="202"/>
      <c r="Q2149" s="202"/>
      <c r="R2149" s="162"/>
      <c r="S2149" s="162"/>
    </row>
    <row r="2150" spans="1:19">
      <c r="A2150" s="294"/>
      <c r="B2150" s="161"/>
      <c r="C2150" s="162"/>
      <c r="D2150" s="162"/>
      <c r="E2150" s="162"/>
      <c r="F2150" s="162"/>
      <c r="G2150" s="163"/>
      <c r="I2150" s="295" t="s">
        <v>788</v>
      </c>
      <c r="J2150" s="295"/>
      <c r="K2150" s="170"/>
      <c r="L2150" s="171"/>
      <c r="M2150" s="50"/>
      <c r="N2150" s="171"/>
      <c r="O2150" s="202"/>
      <c r="P2150" s="202"/>
      <c r="Q2150" s="202"/>
      <c r="R2150" s="162"/>
      <c r="S2150" s="162"/>
    </row>
    <row r="2151" spans="1:19">
      <c r="A2151" s="294"/>
      <c r="B2151" s="164"/>
      <c r="C2151" s="165"/>
      <c r="D2151" s="165"/>
      <c r="E2151" s="165"/>
      <c r="F2151" s="165"/>
      <c r="G2151" s="166"/>
      <c r="I2151" s="295" t="s">
        <v>789</v>
      </c>
      <c r="J2151" s="295"/>
      <c r="K2151" s="170"/>
      <c r="L2151" s="171"/>
      <c r="M2151" s="50"/>
      <c r="N2151" s="171"/>
      <c r="O2151" s="202"/>
      <c r="P2151" s="202"/>
      <c r="Q2151" s="202"/>
      <c r="R2151" s="162"/>
      <c r="S2151" s="162"/>
    </row>
    <row r="2152" spans="1:19">
      <c r="A2152" s="63"/>
      <c r="B2152" s="63"/>
      <c r="C2152" s="63"/>
      <c r="D2152" s="63"/>
      <c r="E2152" s="63"/>
      <c r="F2152" s="63"/>
      <c r="G2152" s="63"/>
      <c r="I2152" s="295" t="s">
        <v>790</v>
      </c>
      <c r="J2152" s="295"/>
      <c r="K2152" s="170"/>
      <c r="L2152" s="171"/>
      <c r="M2152" s="50"/>
      <c r="N2152" s="171"/>
      <c r="O2152" s="202"/>
      <c r="P2152" s="202"/>
      <c r="Q2152" s="202"/>
      <c r="R2152" s="162"/>
      <c r="S2152" s="162"/>
    </row>
    <row r="2153" spans="1:19">
      <c r="A2153" s="63"/>
      <c r="B2153" s="63"/>
      <c r="C2153" s="63"/>
      <c r="D2153" s="63"/>
      <c r="E2153" s="63"/>
      <c r="F2153" s="63"/>
      <c r="G2153" s="63"/>
      <c r="I2153" s="295" t="s">
        <v>791</v>
      </c>
      <c r="J2153" s="295"/>
      <c r="K2153" s="170"/>
      <c r="L2153" s="171"/>
      <c r="M2153" s="50"/>
      <c r="N2153" s="171"/>
      <c r="O2153" s="202"/>
      <c r="P2153" s="202"/>
      <c r="Q2153" s="202"/>
      <c r="R2153" s="162"/>
      <c r="S2153" s="162"/>
    </row>
    <row r="2154" spans="1:19">
      <c r="A2154" s="63"/>
      <c r="B2154" s="63"/>
      <c r="C2154" s="63"/>
      <c r="D2154" s="63"/>
      <c r="E2154" s="63"/>
      <c r="F2154" s="63"/>
      <c r="G2154" s="63"/>
      <c r="I2154" s="296" t="s">
        <v>792</v>
      </c>
      <c r="J2154" s="296"/>
      <c r="K2154" s="170"/>
      <c r="L2154" s="171"/>
      <c r="M2154" s="50"/>
      <c r="N2154" s="171"/>
      <c r="O2154" s="202"/>
      <c r="P2154" s="202"/>
      <c r="Q2154" s="202"/>
      <c r="R2154" s="162"/>
      <c r="S2154" s="162"/>
    </row>
    <row r="2155" spans="1:19" ht="17.25" thickBot="1">
      <c r="A2155" s="63"/>
      <c r="B2155" s="63"/>
      <c r="C2155" s="63"/>
      <c r="D2155" s="63"/>
      <c r="E2155" s="63"/>
      <c r="F2155" s="63"/>
      <c r="G2155" s="63"/>
      <c r="I2155" s="297" t="s">
        <v>793</v>
      </c>
      <c r="J2155" s="297"/>
      <c r="K2155" s="172">
        <f t="shared" ref="K2155:S2155" si="989">SUM(K2144:K2154)</f>
        <v>0</v>
      </c>
      <c r="L2155" s="205">
        <f t="shared" si="989"/>
        <v>0</v>
      </c>
      <c r="M2155" s="205">
        <f t="shared" si="989"/>
        <v>0</v>
      </c>
      <c r="N2155" s="205">
        <f t="shared" si="989"/>
        <v>0</v>
      </c>
      <c r="O2155" s="174">
        <f t="shared" si="989"/>
        <v>0</v>
      </c>
      <c r="P2155" s="174">
        <f t="shared" si="989"/>
        <v>0</v>
      </c>
      <c r="Q2155" s="174">
        <f t="shared" si="989"/>
        <v>0</v>
      </c>
      <c r="R2155" s="175">
        <f t="shared" si="989"/>
        <v>0</v>
      </c>
      <c r="S2155" s="175">
        <f t="shared" si="989"/>
        <v>0</v>
      </c>
    </row>
    <row r="2156" spans="1:19" ht="17.25" thickBot="1">
      <c r="A2156" s="63"/>
      <c r="B2156" s="63"/>
      <c r="C2156" s="63"/>
      <c r="D2156" s="63"/>
      <c r="E2156" s="63"/>
      <c r="F2156" s="63"/>
      <c r="G2156" s="63"/>
      <c r="I2156" s="298" t="s">
        <v>794</v>
      </c>
      <c r="J2156" s="299"/>
      <c r="K2156" s="176">
        <f t="shared" ref="K2156" si="990">S2135-K2155</f>
        <v>0</v>
      </c>
      <c r="L2156" s="177">
        <f t="shared" ref="L2156" si="991">K2155-L2155</f>
        <v>0</v>
      </c>
      <c r="M2156" s="177">
        <f t="shared" ref="M2156" si="992">K2155-M2155</f>
        <v>0</v>
      </c>
      <c r="N2156" s="177">
        <f t="shared" ref="N2156" si="993">K2155-N2155</f>
        <v>0</v>
      </c>
      <c r="O2156" s="178">
        <f t="shared" ref="O2156" si="994">K2155-O2155</f>
        <v>0</v>
      </c>
      <c r="P2156" s="178">
        <f t="shared" ref="P2156" si="995">K2155-P2155</f>
        <v>0</v>
      </c>
      <c r="Q2156" s="178">
        <f t="shared" ref="Q2156" si="996">K2155-Q2155</f>
        <v>0</v>
      </c>
      <c r="R2156" s="179">
        <f t="shared" ref="R2156" si="997">K2155-R2155</f>
        <v>0</v>
      </c>
      <c r="S2156" s="180">
        <f t="shared" ref="S2156" si="998">L2155-S2155</f>
        <v>0</v>
      </c>
    </row>
    <row r="2157" spans="1:19">
      <c r="A2157" s="63"/>
      <c r="B2157" s="63"/>
      <c r="C2157" s="63"/>
      <c r="D2157" s="63"/>
      <c r="E2157" s="63"/>
      <c r="F2157" s="63"/>
      <c r="G2157" s="63"/>
      <c r="I2157" s="300" t="s">
        <v>795</v>
      </c>
      <c r="J2157" s="301"/>
      <c r="K2157" s="181"/>
      <c r="L2157" s="182"/>
      <c r="M2157" s="182"/>
      <c r="N2157" s="182"/>
      <c r="O2157" s="183"/>
      <c r="P2157" s="182"/>
      <c r="Q2157" s="182"/>
      <c r="R2157" s="182"/>
      <c r="S2157" s="182"/>
    </row>
    <row r="2158" spans="1:19">
      <c r="A2158" s="63"/>
      <c r="B2158" s="63"/>
      <c r="C2158" s="63"/>
      <c r="D2158" s="63"/>
      <c r="E2158" s="63"/>
      <c r="F2158" s="63"/>
      <c r="G2158" s="63"/>
      <c r="I2158" s="302" t="s">
        <v>796</v>
      </c>
      <c r="J2158" s="302"/>
      <c r="K2158" s="184"/>
      <c r="L2158" s="203"/>
      <c r="M2158" s="203"/>
      <c r="N2158" s="203"/>
      <c r="O2158" s="203"/>
      <c r="P2158" s="203"/>
      <c r="Q2158" s="203"/>
      <c r="R2158" s="203"/>
      <c r="S2158" s="203"/>
    </row>
    <row r="2159" spans="1:19">
      <c r="A2159" s="63"/>
      <c r="B2159" s="63"/>
      <c r="C2159" s="63"/>
      <c r="D2159" s="63"/>
      <c r="E2159" s="63"/>
      <c r="F2159" s="63"/>
      <c r="G2159" s="63"/>
      <c r="I2159" s="302" t="s">
        <v>797</v>
      </c>
      <c r="J2159" s="302"/>
      <c r="K2159" s="184"/>
      <c r="L2159" s="203"/>
      <c r="M2159" s="203"/>
      <c r="N2159" s="203"/>
      <c r="O2159" s="203"/>
      <c r="P2159" s="203"/>
      <c r="Q2159" s="203"/>
      <c r="R2159" s="203"/>
      <c r="S2159" s="203"/>
    </row>
    <row r="2160" spans="1:19">
      <c r="A2160" s="63"/>
      <c r="B2160" s="63"/>
      <c r="C2160" s="63"/>
      <c r="D2160" s="63"/>
      <c r="E2160" s="63"/>
      <c r="F2160" s="63"/>
      <c r="G2160" s="63"/>
      <c r="I2160" s="303" t="s">
        <v>798</v>
      </c>
      <c r="J2160" s="303"/>
      <c r="K2160" s="184"/>
      <c r="L2160" s="185"/>
      <c r="M2160" s="185"/>
      <c r="N2160" s="185"/>
      <c r="O2160" s="185"/>
      <c r="P2160" s="204"/>
      <c r="Q2160" s="204"/>
      <c r="R2160" s="204"/>
      <c r="S2160" s="204"/>
    </row>
    <row r="2161" spans="1:19">
      <c r="A2161" s="3" t="s">
        <v>801</v>
      </c>
      <c r="B2161" s="201" t="s">
        <v>802</v>
      </c>
      <c r="C2161" s="201" t="s">
        <v>803</v>
      </c>
      <c r="D2161" s="201" t="s">
        <v>119</v>
      </c>
      <c r="E2161" s="201" t="s">
        <v>148</v>
      </c>
      <c r="F2161" s="201" t="s">
        <v>806</v>
      </c>
      <c r="G2161" s="201" t="s">
        <v>81</v>
      </c>
      <c r="I2161" s="187"/>
      <c r="J2161" s="187"/>
      <c r="K2161" s="187"/>
      <c r="L2161" s="188"/>
      <c r="M2161" s="188"/>
      <c r="N2161" s="188"/>
      <c r="O2161" s="188"/>
      <c r="P2161" s="187"/>
      <c r="Q2161" s="187"/>
      <c r="R2161" s="187"/>
      <c r="S2161" s="187"/>
    </row>
    <row r="2162" spans="1:19">
      <c r="A2162" s="293">
        <v>44147</v>
      </c>
      <c r="B2162" s="161"/>
      <c r="C2162" s="162"/>
      <c r="D2162" s="162"/>
      <c r="E2162" s="162"/>
      <c r="F2162" s="162"/>
      <c r="G2162" s="163"/>
      <c r="I2162" s="191"/>
      <c r="J2162" s="190"/>
      <c r="K2162" s="190"/>
      <c r="L2162" s="190"/>
      <c r="M2162" s="190">
        <v>44147</v>
      </c>
      <c r="N2162" s="189" t="s">
        <v>864</v>
      </c>
      <c r="O2162" s="189"/>
      <c r="P2162" s="189"/>
      <c r="Q2162" s="189"/>
      <c r="R2162" s="189"/>
      <c r="S2162" s="189"/>
    </row>
    <row r="2163" spans="1:19">
      <c r="A2163" s="294"/>
      <c r="B2163" s="164"/>
      <c r="C2163" s="165"/>
      <c r="D2163" s="165"/>
      <c r="E2163" s="165"/>
      <c r="F2163" s="165"/>
      <c r="G2163" s="166"/>
      <c r="I2163" s="304"/>
      <c r="J2163" s="304"/>
      <c r="K2163" s="167"/>
      <c r="L2163" s="168"/>
      <c r="M2163" s="168"/>
      <c r="N2163" s="168"/>
      <c r="O2163" s="169"/>
      <c r="P2163" s="169"/>
      <c r="Q2163" s="169"/>
      <c r="R2163" s="161"/>
      <c r="S2163" s="161"/>
    </row>
    <row r="2164" spans="1:19">
      <c r="A2164" s="294"/>
      <c r="B2164" s="161"/>
      <c r="C2164" s="162"/>
      <c r="D2164" s="162"/>
      <c r="E2164" s="162"/>
      <c r="F2164" s="162"/>
      <c r="G2164" s="163"/>
      <c r="I2164" s="295" t="s">
        <v>782</v>
      </c>
      <c r="J2164" s="296"/>
      <c r="K2164" s="170"/>
      <c r="L2164" s="171"/>
      <c r="M2164" s="50"/>
      <c r="N2164" s="171"/>
      <c r="O2164" s="202"/>
      <c r="P2164" s="202"/>
      <c r="Q2164" s="202"/>
      <c r="R2164" s="162"/>
      <c r="S2164" s="162"/>
    </row>
    <row r="2165" spans="1:19">
      <c r="A2165" s="294"/>
      <c r="B2165" s="164"/>
      <c r="C2165" s="165"/>
      <c r="D2165" s="165"/>
      <c r="E2165" s="165"/>
      <c r="F2165" s="165"/>
      <c r="G2165" s="166"/>
      <c r="I2165" s="295" t="s">
        <v>783</v>
      </c>
      <c r="J2165" s="295"/>
      <c r="K2165" s="170"/>
      <c r="L2165" s="171"/>
      <c r="M2165" s="50"/>
      <c r="N2165" s="171"/>
      <c r="O2165" s="202"/>
      <c r="P2165" s="202"/>
      <c r="Q2165" s="202"/>
      <c r="R2165" s="162"/>
      <c r="S2165" s="162"/>
    </row>
    <row r="2166" spans="1:19">
      <c r="A2166" s="294"/>
      <c r="B2166" s="161"/>
      <c r="C2166" s="162"/>
      <c r="D2166" s="162"/>
      <c r="E2166" s="162"/>
      <c r="F2166" s="162"/>
      <c r="G2166" s="163"/>
      <c r="I2166" s="295" t="s">
        <v>784</v>
      </c>
      <c r="J2166" s="295"/>
      <c r="K2166" s="170"/>
      <c r="L2166" s="171"/>
      <c r="M2166" s="50"/>
      <c r="N2166" s="171"/>
      <c r="O2166" s="202"/>
      <c r="P2166" s="202"/>
      <c r="Q2166" s="202"/>
      <c r="R2166" s="162"/>
      <c r="S2166" s="162"/>
    </row>
    <row r="2167" spans="1:19">
      <c r="A2167" s="294"/>
      <c r="B2167" s="164"/>
      <c r="C2167" s="165"/>
      <c r="D2167" s="165"/>
      <c r="E2167" s="165"/>
      <c r="F2167" s="165"/>
      <c r="G2167" s="166"/>
      <c r="I2167" s="295" t="s">
        <v>785</v>
      </c>
      <c r="J2167" s="295"/>
      <c r="K2167" s="170"/>
      <c r="L2167" s="171"/>
      <c r="M2167" s="50"/>
      <c r="N2167" s="171"/>
      <c r="O2167" s="202"/>
      <c r="P2167" s="202"/>
      <c r="Q2167" s="202"/>
      <c r="R2167" s="162"/>
      <c r="S2167" s="162"/>
    </row>
    <row r="2168" spans="1:19">
      <c r="A2168" s="294"/>
      <c r="B2168" s="161"/>
      <c r="C2168" s="162"/>
      <c r="D2168" s="162"/>
      <c r="E2168" s="162"/>
      <c r="F2168" s="162"/>
      <c r="G2168" s="163"/>
      <c r="I2168" s="295" t="s">
        <v>786</v>
      </c>
      <c r="J2168" s="295"/>
      <c r="K2168" s="170"/>
      <c r="L2168" s="171"/>
      <c r="M2168" s="50"/>
      <c r="N2168" s="171"/>
      <c r="O2168" s="202"/>
      <c r="P2168" s="202"/>
      <c r="Q2168" s="202"/>
      <c r="R2168" s="162"/>
      <c r="S2168" s="162"/>
    </row>
    <row r="2169" spans="1:19">
      <c r="A2169" s="294"/>
      <c r="B2169" s="164"/>
      <c r="C2169" s="165"/>
      <c r="D2169" s="165"/>
      <c r="E2169" s="165"/>
      <c r="F2169" s="165"/>
      <c r="G2169" s="166"/>
      <c r="I2169" s="295" t="s">
        <v>787</v>
      </c>
      <c r="J2169" s="295"/>
      <c r="K2169" s="170"/>
      <c r="L2169" s="171"/>
      <c r="M2169" s="50"/>
      <c r="N2169" s="171"/>
      <c r="O2169" s="202"/>
      <c r="P2169" s="202"/>
      <c r="Q2169" s="202"/>
      <c r="R2169" s="162"/>
      <c r="S2169" s="162"/>
    </row>
    <row r="2170" spans="1:19">
      <c r="A2170" s="294"/>
      <c r="B2170" s="161"/>
      <c r="C2170" s="162"/>
      <c r="D2170" s="162"/>
      <c r="E2170" s="162"/>
      <c r="F2170" s="162"/>
      <c r="G2170" s="163"/>
      <c r="I2170" s="295" t="s">
        <v>788</v>
      </c>
      <c r="J2170" s="295"/>
      <c r="K2170" s="170"/>
      <c r="L2170" s="171"/>
      <c r="M2170" s="50"/>
      <c r="N2170" s="171"/>
      <c r="O2170" s="202"/>
      <c r="P2170" s="202"/>
      <c r="Q2170" s="202"/>
      <c r="R2170" s="162"/>
      <c r="S2170" s="162"/>
    </row>
    <row r="2171" spans="1:19">
      <c r="A2171" s="294"/>
      <c r="B2171" s="164"/>
      <c r="C2171" s="165"/>
      <c r="D2171" s="165"/>
      <c r="E2171" s="165"/>
      <c r="F2171" s="165"/>
      <c r="G2171" s="166"/>
      <c r="I2171" s="295" t="s">
        <v>789</v>
      </c>
      <c r="J2171" s="295"/>
      <c r="K2171" s="170"/>
      <c r="L2171" s="171"/>
      <c r="M2171" s="50"/>
      <c r="N2171" s="171"/>
      <c r="O2171" s="202"/>
      <c r="P2171" s="202"/>
      <c r="Q2171" s="202"/>
      <c r="R2171" s="162"/>
      <c r="S2171" s="162"/>
    </row>
    <row r="2172" spans="1:19">
      <c r="A2172" s="63"/>
      <c r="B2172" s="63"/>
      <c r="C2172" s="63"/>
      <c r="D2172" s="63"/>
      <c r="E2172" s="63"/>
      <c r="F2172" s="63"/>
      <c r="G2172" s="63"/>
      <c r="I2172" s="295" t="s">
        <v>790</v>
      </c>
      <c r="J2172" s="295"/>
      <c r="K2172" s="170"/>
      <c r="L2172" s="171"/>
      <c r="M2172" s="50"/>
      <c r="N2172" s="171"/>
      <c r="O2172" s="202"/>
      <c r="P2172" s="202"/>
      <c r="Q2172" s="202"/>
      <c r="R2172" s="162"/>
      <c r="S2172" s="162"/>
    </row>
    <row r="2173" spans="1:19">
      <c r="A2173" s="63"/>
      <c r="B2173" s="63"/>
      <c r="C2173" s="63"/>
      <c r="D2173" s="63"/>
      <c r="E2173" s="63"/>
      <c r="F2173" s="63"/>
      <c r="G2173" s="63"/>
      <c r="I2173" s="295" t="s">
        <v>791</v>
      </c>
      <c r="J2173" s="295"/>
      <c r="K2173" s="170"/>
      <c r="L2173" s="171"/>
      <c r="M2173" s="50"/>
      <c r="N2173" s="171"/>
      <c r="O2173" s="202"/>
      <c r="P2173" s="202"/>
      <c r="Q2173" s="202"/>
      <c r="R2173" s="162"/>
      <c r="S2173" s="162"/>
    </row>
    <row r="2174" spans="1:19">
      <c r="A2174" s="63"/>
      <c r="B2174" s="63"/>
      <c r="C2174" s="63"/>
      <c r="D2174" s="63"/>
      <c r="E2174" s="63"/>
      <c r="F2174" s="63"/>
      <c r="G2174" s="63"/>
      <c r="I2174" s="296" t="s">
        <v>792</v>
      </c>
      <c r="J2174" s="296"/>
      <c r="K2174" s="170"/>
      <c r="L2174" s="171"/>
      <c r="M2174" s="50"/>
      <c r="N2174" s="171"/>
      <c r="O2174" s="202"/>
      <c r="P2174" s="202"/>
      <c r="Q2174" s="202"/>
      <c r="R2174" s="162"/>
      <c r="S2174" s="162"/>
    </row>
    <row r="2175" spans="1:19" ht="17.25" thickBot="1">
      <c r="A2175" s="63"/>
      <c r="B2175" s="63"/>
      <c r="C2175" s="63"/>
      <c r="D2175" s="63"/>
      <c r="E2175" s="63"/>
      <c r="F2175" s="63"/>
      <c r="G2175" s="63"/>
      <c r="I2175" s="297" t="s">
        <v>793</v>
      </c>
      <c r="J2175" s="297"/>
      <c r="K2175" s="172">
        <f t="shared" ref="K2175:S2175" si="999">SUM(K2164:K2174)</f>
        <v>0</v>
      </c>
      <c r="L2175" s="205">
        <f t="shared" si="999"/>
        <v>0</v>
      </c>
      <c r="M2175" s="205">
        <f t="shared" si="999"/>
        <v>0</v>
      </c>
      <c r="N2175" s="205">
        <f t="shared" si="999"/>
        <v>0</v>
      </c>
      <c r="O2175" s="174">
        <f t="shared" si="999"/>
        <v>0</v>
      </c>
      <c r="P2175" s="174">
        <f t="shared" si="999"/>
        <v>0</v>
      </c>
      <c r="Q2175" s="174">
        <f t="shared" si="999"/>
        <v>0</v>
      </c>
      <c r="R2175" s="175">
        <f t="shared" si="999"/>
        <v>0</v>
      </c>
      <c r="S2175" s="175">
        <f t="shared" si="999"/>
        <v>0</v>
      </c>
    </row>
    <row r="2176" spans="1:19" ht="17.25" thickBot="1">
      <c r="A2176" s="63"/>
      <c r="B2176" s="63"/>
      <c r="C2176" s="63"/>
      <c r="D2176" s="63"/>
      <c r="E2176" s="63"/>
      <c r="F2176" s="63"/>
      <c r="G2176" s="63"/>
      <c r="I2176" s="298" t="s">
        <v>794</v>
      </c>
      <c r="J2176" s="299"/>
      <c r="K2176" s="176">
        <f t="shared" ref="K2176" si="1000">S2155-K2175</f>
        <v>0</v>
      </c>
      <c r="L2176" s="177">
        <f t="shared" ref="L2176" si="1001">K2175-L2175</f>
        <v>0</v>
      </c>
      <c r="M2176" s="177">
        <f t="shared" ref="M2176" si="1002">K2175-M2175</f>
        <v>0</v>
      </c>
      <c r="N2176" s="177">
        <f t="shared" ref="N2176" si="1003">K2175-N2175</f>
        <v>0</v>
      </c>
      <c r="O2176" s="178">
        <f t="shared" ref="O2176" si="1004">K2175-O2175</f>
        <v>0</v>
      </c>
      <c r="P2176" s="178">
        <f t="shared" ref="P2176" si="1005">K2175-P2175</f>
        <v>0</v>
      </c>
      <c r="Q2176" s="178">
        <f t="shared" ref="Q2176" si="1006">K2175-Q2175</f>
        <v>0</v>
      </c>
      <c r="R2176" s="179">
        <f t="shared" ref="R2176" si="1007">K2175-R2175</f>
        <v>0</v>
      </c>
      <c r="S2176" s="180">
        <f t="shared" ref="S2176" si="1008">L2175-S2175</f>
        <v>0</v>
      </c>
    </row>
    <row r="2177" spans="1:19">
      <c r="A2177" s="63"/>
      <c r="B2177" s="63"/>
      <c r="C2177" s="63"/>
      <c r="D2177" s="63"/>
      <c r="E2177" s="63"/>
      <c r="F2177" s="63"/>
      <c r="G2177" s="63"/>
      <c r="I2177" s="300" t="s">
        <v>795</v>
      </c>
      <c r="J2177" s="301"/>
      <c r="K2177" s="181"/>
      <c r="L2177" s="182"/>
      <c r="M2177" s="182"/>
      <c r="N2177" s="182"/>
      <c r="O2177" s="183"/>
      <c r="P2177" s="182"/>
      <c r="Q2177" s="182"/>
      <c r="R2177" s="182"/>
      <c r="S2177" s="182"/>
    </row>
    <row r="2178" spans="1:19">
      <c r="A2178" s="63"/>
      <c r="B2178" s="63"/>
      <c r="C2178" s="63"/>
      <c r="D2178" s="63"/>
      <c r="E2178" s="63"/>
      <c r="F2178" s="63"/>
      <c r="G2178" s="63"/>
      <c r="I2178" s="302" t="s">
        <v>796</v>
      </c>
      <c r="J2178" s="302"/>
      <c r="K2178" s="184"/>
      <c r="L2178" s="203"/>
      <c r="M2178" s="203"/>
      <c r="N2178" s="203"/>
      <c r="O2178" s="203"/>
      <c r="P2178" s="203"/>
      <c r="Q2178" s="203"/>
      <c r="R2178" s="203"/>
      <c r="S2178" s="203"/>
    </row>
    <row r="2179" spans="1:19">
      <c r="A2179" s="63"/>
      <c r="B2179" s="63"/>
      <c r="C2179" s="63"/>
      <c r="D2179" s="63"/>
      <c r="E2179" s="63"/>
      <c r="F2179" s="63"/>
      <c r="G2179" s="63"/>
      <c r="I2179" s="302" t="s">
        <v>797</v>
      </c>
      <c r="J2179" s="302"/>
      <c r="K2179" s="184"/>
      <c r="L2179" s="203"/>
      <c r="M2179" s="203"/>
      <c r="N2179" s="203"/>
      <c r="O2179" s="203"/>
      <c r="P2179" s="203"/>
      <c r="Q2179" s="203"/>
      <c r="R2179" s="203"/>
      <c r="S2179" s="203"/>
    </row>
    <row r="2180" spans="1:19">
      <c r="A2180" s="63"/>
      <c r="B2180" s="63"/>
      <c r="C2180" s="63"/>
      <c r="D2180" s="63"/>
      <c r="E2180" s="63"/>
      <c r="F2180" s="63"/>
      <c r="G2180" s="63"/>
      <c r="I2180" s="303" t="s">
        <v>798</v>
      </c>
      <c r="J2180" s="303"/>
      <c r="K2180" s="184"/>
      <c r="L2180" s="185"/>
      <c r="M2180" s="185"/>
      <c r="N2180" s="185"/>
      <c r="O2180" s="185"/>
      <c r="P2180" s="204"/>
      <c r="Q2180" s="204"/>
      <c r="R2180" s="204"/>
      <c r="S2180" s="204"/>
    </row>
    <row r="2181" spans="1:19">
      <c r="A2181" s="3" t="s">
        <v>801</v>
      </c>
      <c r="B2181" s="201" t="s">
        <v>802</v>
      </c>
      <c r="C2181" s="201" t="s">
        <v>803</v>
      </c>
      <c r="D2181" s="201" t="s">
        <v>119</v>
      </c>
      <c r="E2181" s="201" t="s">
        <v>148</v>
      </c>
      <c r="F2181" s="201" t="s">
        <v>806</v>
      </c>
      <c r="G2181" s="201" t="s">
        <v>81</v>
      </c>
      <c r="I2181" s="187"/>
      <c r="J2181" s="187"/>
      <c r="K2181" s="187"/>
      <c r="L2181" s="188"/>
      <c r="M2181" s="188"/>
      <c r="N2181" s="188"/>
      <c r="O2181" s="188"/>
      <c r="P2181" s="187"/>
      <c r="Q2181" s="187"/>
      <c r="R2181" s="187"/>
      <c r="S2181" s="187"/>
    </row>
    <row r="2182" spans="1:19">
      <c r="A2182" s="293">
        <v>44148</v>
      </c>
      <c r="B2182" s="161"/>
      <c r="C2182" s="162"/>
      <c r="D2182" s="162"/>
      <c r="E2182" s="162"/>
      <c r="F2182" s="162"/>
      <c r="G2182" s="163"/>
      <c r="I2182" s="191"/>
      <c r="J2182" s="190"/>
      <c r="K2182" s="190"/>
      <c r="L2182" s="190"/>
      <c r="M2182" s="190">
        <v>44148</v>
      </c>
      <c r="N2182" s="189" t="s">
        <v>864</v>
      </c>
      <c r="O2182" s="189"/>
      <c r="P2182" s="189"/>
      <c r="Q2182" s="189"/>
      <c r="R2182" s="189"/>
      <c r="S2182" s="189"/>
    </row>
    <row r="2183" spans="1:19">
      <c r="A2183" s="294"/>
      <c r="B2183" s="164"/>
      <c r="C2183" s="165"/>
      <c r="D2183" s="165"/>
      <c r="E2183" s="165"/>
      <c r="F2183" s="165"/>
      <c r="G2183" s="166"/>
      <c r="I2183" s="304"/>
      <c r="J2183" s="304"/>
      <c r="K2183" s="167"/>
      <c r="L2183" s="168"/>
      <c r="M2183" s="168"/>
      <c r="N2183" s="168"/>
      <c r="O2183" s="169"/>
      <c r="P2183" s="169"/>
      <c r="Q2183" s="169"/>
      <c r="R2183" s="161"/>
      <c r="S2183" s="161"/>
    </row>
    <row r="2184" spans="1:19">
      <c r="A2184" s="294"/>
      <c r="B2184" s="161"/>
      <c r="C2184" s="162"/>
      <c r="D2184" s="162"/>
      <c r="E2184" s="162"/>
      <c r="F2184" s="162"/>
      <c r="G2184" s="163"/>
      <c r="I2184" s="295" t="s">
        <v>782</v>
      </c>
      <c r="J2184" s="296"/>
      <c r="K2184" s="170"/>
      <c r="L2184" s="171"/>
      <c r="M2184" s="50"/>
      <c r="N2184" s="171"/>
      <c r="O2184" s="202"/>
      <c r="P2184" s="202"/>
      <c r="Q2184" s="202"/>
      <c r="R2184" s="162"/>
      <c r="S2184" s="162"/>
    </row>
    <row r="2185" spans="1:19">
      <c r="A2185" s="294"/>
      <c r="B2185" s="164"/>
      <c r="C2185" s="165"/>
      <c r="D2185" s="165"/>
      <c r="E2185" s="165"/>
      <c r="F2185" s="165"/>
      <c r="G2185" s="166"/>
      <c r="I2185" s="295" t="s">
        <v>783</v>
      </c>
      <c r="J2185" s="295"/>
      <c r="K2185" s="170"/>
      <c r="L2185" s="171"/>
      <c r="M2185" s="50"/>
      <c r="N2185" s="171"/>
      <c r="O2185" s="202"/>
      <c r="P2185" s="202"/>
      <c r="Q2185" s="202"/>
      <c r="R2185" s="162"/>
      <c r="S2185" s="162"/>
    </row>
    <row r="2186" spans="1:19">
      <c r="A2186" s="294"/>
      <c r="B2186" s="161"/>
      <c r="C2186" s="162"/>
      <c r="D2186" s="162"/>
      <c r="E2186" s="162"/>
      <c r="F2186" s="162"/>
      <c r="G2186" s="163"/>
      <c r="I2186" s="295" t="s">
        <v>784</v>
      </c>
      <c r="J2186" s="295"/>
      <c r="K2186" s="170"/>
      <c r="L2186" s="171"/>
      <c r="M2186" s="50"/>
      <c r="N2186" s="171"/>
      <c r="O2186" s="202"/>
      <c r="P2186" s="202"/>
      <c r="Q2186" s="202"/>
      <c r="R2186" s="162"/>
      <c r="S2186" s="162"/>
    </row>
    <row r="2187" spans="1:19">
      <c r="A2187" s="294"/>
      <c r="B2187" s="164"/>
      <c r="C2187" s="165"/>
      <c r="D2187" s="165"/>
      <c r="E2187" s="165"/>
      <c r="F2187" s="165"/>
      <c r="G2187" s="166"/>
      <c r="I2187" s="295" t="s">
        <v>785</v>
      </c>
      <c r="J2187" s="295"/>
      <c r="K2187" s="170"/>
      <c r="L2187" s="171"/>
      <c r="M2187" s="50"/>
      <c r="N2187" s="171"/>
      <c r="O2187" s="202"/>
      <c r="P2187" s="202"/>
      <c r="Q2187" s="202"/>
      <c r="R2187" s="162"/>
      <c r="S2187" s="162"/>
    </row>
    <row r="2188" spans="1:19">
      <c r="A2188" s="294"/>
      <c r="B2188" s="161"/>
      <c r="C2188" s="162"/>
      <c r="D2188" s="162"/>
      <c r="E2188" s="162"/>
      <c r="F2188" s="162"/>
      <c r="G2188" s="163"/>
      <c r="I2188" s="295" t="s">
        <v>786</v>
      </c>
      <c r="J2188" s="295"/>
      <c r="K2188" s="170"/>
      <c r="L2188" s="171"/>
      <c r="M2188" s="50"/>
      <c r="N2188" s="171"/>
      <c r="O2188" s="202"/>
      <c r="P2188" s="202"/>
      <c r="Q2188" s="202"/>
      <c r="R2188" s="162"/>
      <c r="S2188" s="162"/>
    </row>
    <row r="2189" spans="1:19">
      <c r="A2189" s="294"/>
      <c r="B2189" s="164"/>
      <c r="C2189" s="165"/>
      <c r="D2189" s="165"/>
      <c r="E2189" s="165"/>
      <c r="F2189" s="165"/>
      <c r="G2189" s="166"/>
      <c r="I2189" s="295" t="s">
        <v>787</v>
      </c>
      <c r="J2189" s="295"/>
      <c r="K2189" s="170"/>
      <c r="L2189" s="171"/>
      <c r="M2189" s="50"/>
      <c r="N2189" s="171"/>
      <c r="O2189" s="202"/>
      <c r="P2189" s="202"/>
      <c r="Q2189" s="202"/>
      <c r="R2189" s="162"/>
      <c r="S2189" s="162"/>
    </row>
    <row r="2190" spans="1:19">
      <c r="A2190" s="294"/>
      <c r="B2190" s="161"/>
      <c r="C2190" s="162"/>
      <c r="D2190" s="162"/>
      <c r="E2190" s="162"/>
      <c r="F2190" s="162"/>
      <c r="G2190" s="163"/>
      <c r="I2190" s="295" t="s">
        <v>788</v>
      </c>
      <c r="J2190" s="295"/>
      <c r="K2190" s="170"/>
      <c r="L2190" s="171"/>
      <c r="M2190" s="50"/>
      <c r="N2190" s="171"/>
      <c r="O2190" s="202"/>
      <c r="P2190" s="202"/>
      <c r="Q2190" s="202"/>
      <c r="R2190" s="162"/>
      <c r="S2190" s="162"/>
    </row>
    <row r="2191" spans="1:19">
      <c r="A2191" s="294"/>
      <c r="B2191" s="164"/>
      <c r="C2191" s="165"/>
      <c r="D2191" s="165"/>
      <c r="E2191" s="165"/>
      <c r="F2191" s="165"/>
      <c r="G2191" s="166"/>
      <c r="I2191" s="295" t="s">
        <v>789</v>
      </c>
      <c r="J2191" s="295"/>
      <c r="K2191" s="170"/>
      <c r="L2191" s="171"/>
      <c r="M2191" s="50"/>
      <c r="N2191" s="171"/>
      <c r="O2191" s="202"/>
      <c r="P2191" s="202"/>
      <c r="Q2191" s="202"/>
      <c r="R2191" s="162"/>
      <c r="S2191" s="162"/>
    </row>
    <row r="2192" spans="1:19">
      <c r="A2192" s="63"/>
      <c r="B2192" s="63"/>
      <c r="C2192" s="63"/>
      <c r="D2192" s="63"/>
      <c r="E2192" s="63"/>
      <c r="F2192" s="63"/>
      <c r="G2192" s="63"/>
      <c r="I2192" s="295" t="s">
        <v>790</v>
      </c>
      <c r="J2192" s="295"/>
      <c r="K2192" s="170"/>
      <c r="L2192" s="171"/>
      <c r="M2192" s="50"/>
      <c r="N2192" s="171"/>
      <c r="O2192" s="202"/>
      <c r="P2192" s="202"/>
      <c r="Q2192" s="202"/>
      <c r="R2192" s="162"/>
      <c r="S2192" s="162"/>
    </row>
    <row r="2193" spans="1:19">
      <c r="A2193" s="63"/>
      <c r="B2193" s="63"/>
      <c r="C2193" s="63"/>
      <c r="D2193" s="63"/>
      <c r="E2193" s="63"/>
      <c r="F2193" s="63"/>
      <c r="G2193" s="63"/>
      <c r="I2193" s="295" t="s">
        <v>791</v>
      </c>
      <c r="J2193" s="295"/>
      <c r="K2193" s="170"/>
      <c r="L2193" s="171"/>
      <c r="M2193" s="50"/>
      <c r="N2193" s="171"/>
      <c r="O2193" s="202"/>
      <c r="P2193" s="202"/>
      <c r="Q2193" s="202"/>
      <c r="R2193" s="162"/>
      <c r="S2193" s="162"/>
    </row>
    <row r="2194" spans="1:19">
      <c r="A2194" s="63"/>
      <c r="B2194" s="63"/>
      <c r="C2194" s="63"/>
      <c r="D2194" s="63"/>
      <c r="E2194" s="63"/>
      <c r="F2194" s="63"/>
      <c r="G2194" s="63"/>
      <c r="I2194" s="296" t="s">
        <v>792</v>
      </c>
      <c r="J2194" s="296"/>
      <c r="K2194" s="170"/>
      <c r="L2194" s="171"/>
      <c r="M2194" s="50"/>
      <c r="N2194" s="171"/>
      <c r="O2194" s="202"/>
      <c r="P2194" s="202"/>
      <c r="Q2194" s="202"/>
      <c r="R2194" s="162"/>
      <c r="S2194" s="162"/>
    </row>
    <row r="2195" spans="1:19" ht="17.25" thickBot="1">
      <c r="A2195" s="63"/>
      <c r="B2195" s="63"/>
      <c r="C2195" s="63"/>
      <c r="D2195" s="63"/>
      <c r="E2195" s="63"/>
      <c r="F2195" s="63"/>
      <c r="G2195" s="63"/>
      <c r="I2195" s="297" t="s">
        <v>793</v>
      </c>
      <c r="J2195" s="297"/>
      <c r="K2195" s="172">
        <f t="shared" ref="K2195:S2195" si="1009">SUM(K2184:K2194)</f>
        <v>0</v>
      </c>
      <c r="L2195" s="205">
        <f t="shared" si="1009"/>
        <v>0</v>
      </c>
      <c r="M2195" s="205">
        <f t="shared" si="1009"/>
        <v>0</v>
      </c>
      <c r="N2195" s="205">
        <f t="shared" si="1009"/>
        <v>0</v>
      </c>
      <c r="O2195" s="174">
        <f t="shared" si="1009"/>
        <v>0</v>
      </c>
      <c r="P2195" s="174">
        <f t="shared" si="1009"/>
        <v>0</v>
      </c>
      <c r="Q2195" s="174">
        <f t="shared" si="1009"/>
        <v>0</v>
      </c>
      <c r="R2195" s="175">
        <f t="shared" si="1009"/>
        <v>0</v>
      </c>
      <c r="S2195" s="175">
        <f t="shared" si="1009"/>
        <v>0</v>
      </c>
    </row>
    <row r="2196" spans="1:19" ht="17.25" thickBot="1">
      <c r="A2196" s="63"/>
      <c r="B2196" s="63"/>
      <c r="C2196" s="63"/>
      <c r="D2196" s="63"/>
      <c r="E2196" s="63"/>
      <c r="F2196" s="63"/>
      <c r="G2196" s="63"/>
      <c r="I2196" s="298" t="s">
        <v>794</v>
      </c>
      <c r="J2196" s="299"/>
      <c r="K2196" s="176">
        <f t="shared" ref="K2196" si="1010">S2175-K2195</f>
        <v>0</v>
      </c>
      <c r="L2196" s="177">
        <f t="shared" ref="L2196" si="1011">K2195-L2195</f>
        <v>0</v>
      </c>
      <c r="M2196" s="177">
        <f t="shared" ref="M2196" si="1012">K2195-M2195</f>
        <v>0</v>
      </c>
      <c r="N2196" s="177">
        <f t="shared" ref="N2196" si="1013">K2195-N2195</f>
        <v>0</v>
      </c>
      <c r="O2196" s="178">
        <f t="shared" ref="O2196" si="1014">K2195-O2195</f>
        <v>0</v>
      </c>
      <c r="P2196" s="178">
        <f t="shared" ref="P2196" si="1015">K2195-P2195</f>
        <v>0</v>
      </c>
      <c r="Q2196" s="178">
        <f t="shared" ref="Q2196" si="1016">K2195-Q2195</f>
        <v>0</v>
      </c>
      <c r="R2196" s="179">
        <f t="shared" ref="R2196" si="1017">K2195-R2195</f>
        <v>0</v>
      </c>
      <c r="S2196" s="180">
        <f t="shared" ref="S2196" si="1018">L2195-S2195</f>
        <v>0</v>
      </c>
    </row>
    <row r="2197" spans="1:19">
      <c r="A2197" s="63"/>
      <c r="B2197" s="63"/>
      <c r="C2197" s="63"/>
      <c r="D2197" s="63"/>
      <c r="E2197" s="63"/>
      <c r="F2197" s="63"/>
      <c r="G2197" s="63"/>
      <c r="I2197" s="300" t="s">
        <v>795</v>
      </c>
      <c r="J2197" s="301"/>
      <c r="K2197" s="181"/>
      <c r="L2197" s="182"/>
      <c r="M2197" s="182"/>
      <c r="N2197" s="182"/>
      <c r="O2197" s="183"/>
      <c r="P2197" s="182"/>
      <c r="Q2197" s="182"/>
      <c r="R2197" s="182"/>
      <c r="S2197" s="182"/>
    </row>
    <row r="2198" spans="1:19">
      <c r="A2198" s="63"/>
      <c r="B2198" s="63"/>
      <c r="C2198" s="63"/>
      <c r="D2198" s="63"/>
      <c r="E2198" s="63"/>
      <c r="F2198" s="63"/>
      <c r="G2198" s="63"/>
      <c r="I2198" s="302" t="s">
        <v>796</v>
      </c>
      <c r="J2198" s="302"/>
      <c r="K2198" s="184"/>
      <c r="L2198" s="203"/>
      <c r="M2198" s="203"/>
      <c r="N2198" s="203"/>
      <c r="O2198" s="203"/>
      <c r="P2198" s="203"/>
      <c r="Q2198" s="203"/>
      <c r="R2198" s="203"/>
      <c r="S2198" s="203"/>
    </row>
    <row r="2199" spans="1:19">
      <c r="A2199" s="63"/>
      <c r="B2199" s="63"/>
      <c r="C2199" s="63"/>
      <c r="D2199" s="63"/>
      <c r="E2199" s="63"/>
      <c r="F2199" s="63"/>
      <c r="G2199" s="63"/>
      <c r="I2199" s="302" t="s">
        <v>797</v>
      </c>
      <c r="J2199" s="302"/>
      <c r="K2199" s="184"/>
      <c r="L2199" s="203"/>
      <c r="M2199" s="203"/>
      <c r="N2199" s="203"/>
      <c r="O2199" s="203"/>
      <c r="P2199" s="203"/>
      <c r="Q2199" s="203"/>
      <c r="R2199" s="203"/>
      <c r="S2199" s="203"/>
    </row>
    <row r="2200" spans="1:19">
      <c r="A2200" s="63"/>
      <c r="B2200" s="63"/>
      <c r="C2200" s="63"/>
      <c r="D2200" s="63"/>
      <c r="E2200" s="63"/>
      <c r="F2200" s="63"/>
      <c r="G2200" s="63"/>
      <c r="I2200" s="303" t="s">
        <v>798</v>
      </c>
      <c r="J2200" s="303"/>
      <c r="K2200" s="184"/>
      <c r="L2200" s="185"/>
      <c r="M2200" s="185"/>
      <c r="N2200" s="185"/>
      <c r="O2200" s="185"/>
      <c r="P2200" s="204"/>
      <c r="Q2200" s="204"/>
      <c r="R2200" s="204"/>
      <c r="S2200" s="204"/>
    </row>
    <row r="2201" spans="1:19">
      <c r="A2201" s="3" t="s">
        <v>801</v>
      </c>
      <c r="B2201" s="201" t="s">
        <v>802</v>
      </c>
      <c r="C2201" s="201" t="s">
        <v>803</v>
      </c>
      <c r="D2201" s="201" t="s">
        <v>119</v>
      </c>
      <c r="E2201" s="201" t="s">
        <v>148</v>
      </c>
      <c r="F2201" s="201" t="s">
        <v>806</v>
      </c>
      <c r="G2201" s="201" t="s">
        <v>81</v>
      </c>
      <c r="I2201" s="187"/>
      <c r="J2201" s="187"/>
      <c r="K2201" s="187"/>
      <c r="L2201" s="188"/>
      <c r="M2201" s="188"/>
      <c r="N2201" s="188"/>
      <c r="O2201" s="188"/>
      <c r="P2201" s="187"/>
      <c r="Q2201" s="187"/>
      <c r="R2201" s="187"/>
      <c r="S2201" s="187"/>
    </row>
    <row r="2202" spans="1:19">
      <c r="A2202" s="293">
        <v>44149</v>
      </c>
      <c r="B2202" s="161"/>
      <c r="C2202" s="162"/>
      <c r="D2202" s="162"/>
      <c r="E2202" s="162"/>
      <c r="F2202" s="162"/>
      <c r="G2202" s="163"/>
      <c r="I2202" s="191"/>
      <c r="J2202" s="190"/>
      <c r="K2202" s="190"/>
      <c r="L2202" s="190"/>
      <c r="M2202" s="190">
        <v>44149</v>
      </c>
      <c r="N2202" s="189" t="s">
        <v>864</v>
      </c>
      <c r="O2202" s="189"/>
      <c r="P2202" s="189"/>
      <c r="Q2202" s="189"/>
      <c r="R2202" s="189"/>
      <c r="S2202" s="189"/>
    </row>
    <row r="2203" spans="1:19">
      <c r="A2203" s="294"/>
      <c r="B2203" s="164"/>
      <c r="C2203" s="165"/>
      <c r="D2203" s="165"/>
      <c r="E2203" s="165"/>
      <c r="F2203" s="165"/>
      <c r="G2203" s="166"/>
      <c r="I2203" s="304"/>
      <c r="J2203" s="304"/>
      <c r="K2203" s="167"/>
      <c r="L2203" s="168"/>
      <c r="M2203" s="168"/>
      <c r="N2203" s="168"/>
      <c r="O2203" s="169"/>
      <c r="P2203" s="169"/>
      <c r="Q2203" s="169"/>
      <c r="R2203" s="161"/>
      <c r="S2203" s="161"/>
    </row>
    <row r="2204" spans="1:19">
      <c r="A2204" s="294"/>
      <c r="B2204" s="161"/>
      <c r="C2204" s="162"/>
      <c r="D2204" s="162"/>
      <c r="E2204" s="162"/>
      <c r="F2204" s="162"/>
      <c r="G2204" s="163"/>
      <c r="I2204" s="295" t="s">
        <v>782</v>
      </c>
      <c r="J2204" s="296"/>
      <c r="K2204" s="170"/>
      <c r="L2204" s="171"/>
      <c r="M2204" s="50"/>
      <c r="N2204" s="171"/>
      <c r="O2204" s="202"/>
      <c r="P2204" s="202"/>
      <c r="Q2204" s="202"/>
      <c r="R2204" s="162"/>
      <c r="S2204" s="162"/>
    </row>
    <row r="2205" spans="1:19">
      <c r="A2205" s="294"/>
      <c r="B2205" s="164"/>
      <c r="C2205" s="165"/>
      <c r="D2205" s="165"/>
      <c r="E2205" s="165"/>
      <c r="F2205" s="165"/>
      <c r="G2205" s="166"/>
      <c r="I2205" s="295" t="s">
        <v>783</v>
      </c>
      <c r="J2205" s="295"/>
      <c r="K2205" s="170"/>
      <c r="L2205" s="171"/>
      <c r="M2205" s="50"/>
      <c r="N2205" s="171"/>
      <c r="O2205" s="202"/>
      <c r="P2205" s="202"/>
      <c r="Q2205" s="202"/>
      <c r="R2205" s="162"/>
      <c r="S2205" s="162"/>
    </row>
    <row r="2206" spans="1:19">
      <c r="A2206" s="294"/>
      <c r="B2206" s="161"/>
      <c r="C2206" s="162"/>
      <c r="D2206" s="162"/>
      <c r="E2206" s="162"/>
      <c r="F2206" s="162"/>
      <c r="G2206" s="163"/>
      <c r="I2206" s="295" t="s">
        <v>784</v>
      </c>
      <c r="J2206" s="295"/>
      <c r="K2206" s="170"/>
      <c r="L2206" s="171"/>
      <c r="M2206" s="50"/>
      <c r="N2206" s="171"/>
      <c r="O2206" s="202"/>
      <c r="P2206" s="202"/>
      <c r="Q2206" s="202"/>
      <c r="R2206" s="162"/>
      <c r="S2206" s="162"/>
    </row>
    <row r="2207" spans="1:19">
      <c r="A2207" s="294"/>
      <c r="B2207" s="164"/>
      <c r="C2207" s="165"/>
      <c r="D2207" s="165"/>
      <c r="E2207" s="165"/>
      <c r="F2207" s="165"/>
      <c r="G2207" s="166"/>
      <c r="I2207" s="295" t="s">
        <v>785</v>
      </c>
      <c r="J2207" s="295"/>
      <c r="K2207" s="170"/>
      <c r="L2207" s="171"/>
      <c r="M2207" s="50"/>
      <c r="N2207" s="171"/>
      <c r="O2207" s="202"/>
      <c r="P2207" s="202"/>
      <c r="Q2207" s="202"/>
      <c r="R2207" s="162"/>
      <c r="S2207" s="162"/>
    </row>
    <row r="2208" spans="1:19">
      <c r="A2208" s="294"/>
      <c r="B2208" s="161"/>
      <c r="C2208" s="162"/>
      <c r="D2208" s="162"/>
      <c r="E2208" s="162"/>
      <c r="F2208" s="162"/>
      <c r="G2208" s="163"/>
      <c r="I2208" s="295" t="s">
        <v>786</v>
      </c>
      <c r="J2208" s="295"/>
      <c r="K2208" s="170"/>
      <c r="L2208" s="171"/>
      <c r="M2208" s="50"/>
      <c r="N2208" s="171"/>
      <c r="O2208" s="202"/>
      <c r="P2208" s="202"/>
      <c r="Q2208" s="202"/>
      <c r="R2208" s="162"/>
      <c r="S2208" s="162"/>
    </row>
    <row r="2209" spans="1:19">
      <c r="A2209" s="294"/>
      <c r="B2209" s="164"/>
      <c r="C2209" s="165"/>
      <c r="D2209" s="165"/>
      <c r="E2209" s="165"/>
      <c r="F2209" s="165"/>
      <c r="G2209" s="166"/>
      <c r="I2209" s="295" t="s">
        <v>787</v>
      </c>
      <c r="J2209" s="295"/>
      <c r="K2209" s="170"/>
      <c r="L2209" s="171"/>
      <c r="M2209" s="50"/>
      <c r="N2209" s="171"/>
      <c r="O2209" s="202"/>
      <c r="P2209" s="202"/>
      <c r="Q2209" s="202"/>
      <c r="R2209" s="162"/>
      <c r="S2209" s="162"/>
    </row>
    <row r="2210" spans="1:19">
      <c r="A2210" s="294"/>
      <c r="B2210" s="161"/>
      <c r="C2210" s="162"/>
      <c r="D2210" s="162"/>
      <c r="E2210" s="162"/>
      <c r="F2210" s="162"/>
      <c r="G2210" s="163"/>
      <c r="I2210" s="295" t="s">
        <v>788</v>
      </c>
      <c r="J2210" s="295"/>
      <c r="K2210" s="170"/>
      <c r="L2210" s="171"/>
      <c r="M2210" s="50"/>
      <c r="N2210" s="171"/>
      <c r="O2210" s="202"/>
      <c r="P2210" s="202"/>
      <c r="Q2210" s="202"/>
      <c r="R2210" s="162"/>
      <c r="S2210" s="162"/>
    </row>
    <row r="2211" spans="1:19">
      <c r="A2211" s="294"/>
      <c r="B2211" s="164"/>
      <c r="C2211" s="165"/>
      <c r="D2211" s="165"/>
      <c r="E2211" s="165"/>
      <c r="F2211" s="165"/>
      <c r="G2211" s="166"/>
      <c r="I2211" s="295" t="s">
        <v>789</v>
      </c>
      <c r="J2211" s="295"/>
      <c r="K2211" s="170"/>
      <c r="L2211" s="171"/>
      <c r="M2211" s="50"/>
      <c r="N2211" s="171"/>
      <c r="O2211" s="202"/>
      <c r="P2211" s="202"/>
      <c r="Q2211" s="202"/>
      <c r="R2211" s="162"/>
      <c r="S2211" s="162"/>
    </row>
    <row r="2212" spans="1:19">
      <c r="A2212" s="63"/>
      <c r="B2212" s="63"/>
      <c r="C2212" s="63"/>
      <c r="D2212" s="63"/>
      <c r="E2212" s="63"/>
      <c r="F2212" s="63"/>
      <c r="G2212" s="63"/>
      <c r="I2212" s="295" t="s">
        <v>790</v>
      </c>
      <c r="J2212" s="295"/>
      <c r="K2212" s="170"/>
      <c r="L2212" s="171"/>
      <c r="M2212" s="50"/>
      <c r="N2212" s="171"/>
      <c r="O2212" s="202"/>
      <c r="P2212" s="202"/>
      <c r="Q2212" s="202"/>
      <c r="R2212" s="162"/>
      <c r="S2212" s="162"/>
    </row>
    <row r="2213" spans="1:19">
      <c r="A2213" s="63"/>
      <c r="B2213" s="63"/>
      <c r="C2213" s="63"/>
      <c r="D2213" s="63"/>
      <c r="E2213" s="63"/>
      <c r="F2213" s="63"/>
      <c r="G2213" s="63"/>
      <c r="I2213" s="295" t="s">
        <v>791</v>
      </c>
      <c r="J2213" s="295"/>
      <c r="K2213" s="170"/>
      <c r="L2213" s="171"/>
      <c r="M2213" s="50"/>
      <c r="N2213" s="171"/>
      <c r="O2213" s="202"/>
      <c r="P2213" s="202"/>
      <c r="Q2213" s="202"/>
      <c r="R2213" s="162"/>
      <c r="S2213" s="162"/>
    </row>
    <row r="2214" spans="1:19">
      <c r="A2214" s="63"/>
      <c r="B2214" s="63"/>
      <c r="C2214" s="63"/>
      <c r="D2214" s="63"/>
      <c r="E2214" s="63"/>
      <c r="F2214" s="63"/>
      <c r="G2214" s="63"/>
      <c r="I2214" s="296" t="s">
        <v>792</v>
      </c>
      <c r="J2214" s="296"/>
      <c r="K2214" s="170"/>
      <c r="L2214" s="171"/>
      <c r="M2214" s="50"/>
      <c r="N2214" s="171"/>
      <c r="O2214" s="202"/>
      <c r="P2214" s="202"/>
      <c r="Q2214" s="202"/>
      <c r="R2214" s="162"/>
      <c r="S2214" s="162"/>
    </row>
    <row r="2215" spans="1:19" ht="17.25" thickBot="1">
      <c r="A2215" s="63"/>
      <c r="B2215" s="63"/>
      <c r="C2215" s="63"/>
      <c r="D2215" s="63"/>
      <c r="E2215" s="63"/>
      <c r="F2215" s="63"/>
      <c r="G2215" s="63"/>
      <c r="I2215" s="297" t="s">
        <v>793</v>
      </c>
      <c r="J2215" s="297"/>
      <c r="K2215" s="172">
        <f t="shared" ref="K2215:S2215" si="1019">SUM(K2204:K2214)</f>
        <v>0</v>
      </c>
      <c r="L2215" s="205">
        <f t="shared" si="1019"/>
        <v>0</v>
      </c>
      <c r="M2215" s="205">
        <f t="shared" si="1019"/>
        <v>0</v>
      </c>
      <c r="N2215" s="205">
        <f t="shared" si="1019"/>
        <v>0</v>
      </c>
      <c r="O2215" s="174">
        <f t="shared" si="1019"/>
        <v>0</v>
      </c>
      <c r="P2215" s="174">
        <f t="shared" si="1019"/>
        <v>0</v>
      </c>
      <c r="Q2215" s="174">
        <f t="shared" si="1019"/>
        <v>0</v>
      </c>
      <c r="R2215" s="175">
        <f t="shared" si="1019"/>
        <v>0</v>
      </c>
      <c r="S2215" s="175">
        <f t="shared" si="1019"/>
        <v>0</v>
      </c>
    </row>
    <row r="2216" spans="1:19" ht="17.25" thickBot="1">
      <c r="A2216" s="63"/>
      <c r="B2216" s="63"/>
      <c r="C2216" s="63"/>
      <c r="D2216" s="63"/>
      <c r="E2216" s="63"/>
      <c r="F2216" s="63"/>
      <c r="G2216" s="63"/>
      <c r="I2216" s="298" t="s">
        <v>794</v>
      </c>
      <c r="J2216" s="299"/>
      <c r="K2216" s="176">
        <f t="shared" ref="K2216" si="1020">S2195-K2215</f>
        <v>0</v>
      </c>
      <c r="L2216" s="177">
        <f t="shared" ref="L2216" si="1021">K2215-L2215</f>
        <v>0</v>
      </c>
      <c r="M2216" s="177">
        <f t="shared" ref="M2216" si="1022">K2215-M2215</f>
        <v>0</v>
      </c>
      <c r="N2216" s="177">
        <f t="shared" ref="N2216" si="1023">K2215-N2215</f>
        <v>0</v>
      </c>
      <c r="O2216" s="178">
        <f t="shared" ref="O2216" si="1024">K2215-O2215</f>
        <v>0</v>
      </c>
      <c r="P2216" s="178">
        <f t="shared" ref="P2216" si="1025">K2215-P2215</f>
        <v>0</v>
      </c>
      <c r="Q2216" s="178">
        <f t="shared" ref="Q2216" si="1026">K2215-Q2215</f>
        <v>0</v>
      </c>
      <c r="R2216" s="179">
        <f t="shared" ref="R2216" si="1027">K2215-R2215</f>
        <v>0</v>
      </c>
      <c r="S2216" s="180">
        <f t="shared" ref="S2216" si="1028">L2215-S2215</f>
        <v>0</v>
      </c>
    </row>
    <row r="2217" spans="1:19">
      <c r="A2217" s="63"/>
      <c r="B2217" s="63"/>
      <c r="C2217" s="63"/>
      <c r="D2217" s="63"/>
      <c r="E2217" s="63"/>
      <c r="F2217" s="63"/>
      <c r="G2217" s="63"/>
      <c r="I2217" s="300" t="s">
        <v>795</v>
      </c>
      <c r="J2217" s="301"/>
      <c r="K2217" s="181"/>
      <c r="L2217" s="182"/>
      <c r="M2217" s="182"/>
      <c r="N2217" s="182"/>
      <c r="O2217" s="183"/>
      <c r="P2217" s="182"/>
      <c r="Q2217" s="182"/>
      <c r="R2217" s="182"/>
      <c r="S2217" s="182"/>
    </row>
    <row r="2218" spans="1:19">
      <c r="A2218" s="63"/>
      <c r="B2218" s="63"/>
      <c r="C2218" s="63"/>
      <c r="D2218" s="63"/>
      <c r="E2218" s="63"/>
      <c r="F2218" s="63"/>
      <c r="G2218" s="63"/>
      <c r="I2218" s="302" t="s">
        <v>796</v>
      </c>
      <c r="J2218" s="302"/>
      <c r="K2218" s="184"/>
      <c r="L2218" s="203"/>
      <c r="M2218" s="203"/>
      <c r="N2218" s="203"/>
      <c r="O2218" s="203"/>
      <c r="P2218" s="203"/>
      <c r="Q2218" s="203"/>
      <c r="R2218" s="203"/>
      <c r="S2218" s="203"/>
    </row>
    <row r="2219" spans="1:19">
      <c r="A2219" s="63"/>
      <c r="B2219" s="63"/>
      <c r="C2219" s="63"/>
      <c r="D2219" s="63"/>
      <c r="E2219" s="63"/>
      <c r="F2219" s="63"/>
      <c r="G2219" s="63"/>
      <c r="I2219" s="302" t="s">
        <v>797</v>
      </c>
      <c r="J2219" s="302"/>
      <c r="K2219" s="184"/>
      <c r="L2219" s="203"/>
      <c r="M2219" s="203"/>
      <c r="N2219" s="203"/>
      <c r="O2219" s="203"/>
      <c r="P2219" s="203"/>
      <c r="Q2219" s="203"/>
      <c r="R2219" s="203"/>
      <c r="S2219" s="203"/>
    </row>
    <row r="2220" spans="1:19">
      <c r="A2220" s="63"/>
      <c r="B2220" s="63"/>
      <c r="C2220" s="63"/>
      <c r="D2220" s="63"/>
      <c r="E2220" s="63"/>
      <c r="F2220" s="63"/>
      <c r="G2220" s="63"/>
      <c r="I2220" s="303" t="s">
        <v>798</v>
      </c>
      <c r="J2220" s="303"/>
      <c r="K2220" s="184"/>
      <c r="L2220" s="185"/>
      <c r="M2220" s="185"/>
      <c r="N2220" s="185"/>
      <c r="O2220" s="185"/>
      <c r="P2220" s="204"/>
      <c r="Q2220" s="204"/>
      <c r="R2220" s="204"/>
      <c r="S2220" s="204"/>
    </row>
    <row r="2221" spans="1:19">
      <c r="A2221" s="3" t="s">
        <v>801</v>
      </c>
      <c r="B2221" s="201" t="s">
        <v>802</v>
      </c>
      <c r="C2221" s="201" t="s">
        <v>803</v>
      </c>
      <c r="D2221" s="201" t="s">
        <v>119</v>
      </c>
      <c r="E2221" s="201" t="s">
        <v>148</v>
      </c>
      <c r="F2221" s="201" t="s">
        <v>806</v>
      </c>
      <c r="G2221" s="201" t="s">
        <v>81</v>
      </c>
      <c r="I2221" s="187"/>
      <c r="J2221" s="187"/>
      <c r="K2221" s="187"/>
      <c r="L2221" s="188"/>
      <c r="M2221" s="188"/>
      <c r="N2221" s="188"/>
      <c r="O2221" s="188"/>
      <c r="P2221" s="187"/>
      <c r="Q2221" s="187"/>
      <c r="R2221" s="187"/>
      <c r="S2221" s="187"/>
    </row>
    <row r="2222" spans="1:19">
      <c r="A2222" s="293">
        <v>44150</v>
      </c>
      <c r="B2222" s="161"/>
      <c r="C2222" s="162"/>
      <c r="D2222" s="162"/>
      <c r="E2222" s="162"/>
      <c r="F2222" s="162"/>
      <c r="G2222" s="163"/>
      <c r="I2222" s="191"/>
      <c r="J2222" s="190"/>
      <c r="K2222" s="190"/>
      <c r="L2222" s="190"/>
      <c r="M2222" s="190">
        <v>44150</v>
      </c>
      <c r="N2222" s="189" t="s">
        <v>864</v>
      </c>
      <c r="O2222" s="189"/>
      <c r="P2222" s="189"/>
      <c r="Q2222" s="189"/>
      <c r="R2222" s="189"/>
      <c r="S2222" s="189"/>
    </row>
    <row r="2223" spans="1:19">
      <c r="A2223" s="294"/>
      <c r="B2223" s="164"/>
      <c r="C2223" s="165"/>
      <c r="D2223" s="165"/>
      <c r="E2223" s="165"/>
      <c r="F2223" s="165"/>
      <c r="G2223" s="166"/>
      <c r="I2223" s="304"/>
      <c r="J2223" s="304"/>
      <c r="K2223" s="167"/>
      <c r="L2223" s="168"/>
      <c r="M2223" s="168"/>
      <c r="N2223" s="168"/>
      <c r="O2223" s="169"/>
      <c r="P2223" s="169"/>
      <c r="Q2223" s="169"/>
      <c r="R2223" s="161"/>
      <c r="S2223" s="161"/>
    </row>
    <row r="2224" spans="1:19">
      <c r="A2224" s="294"/>
      <c r="B2224" s="161"/>
      <c r="C2224" s="162"/>
      <c r="D2224" s="162"/>
      <c r="E2224" s="162"/>
      <c r="F2224" s="162"/>
      <c r="G2224" s="163"/>
      <c r="I2224" s="295" t="s">
        <v>782</v>
      </c>
      <c r="J2224" s="296"/>
      <c r="K2224" s="170"/>
      <c r="L2224" s="171"/>
      <c r="M2224" s="50"/>
      <c r="N2224" s="171"/>
      <c r="O2224" s="202"/>
      <c r="P2224" s="202"/>
      <c r="Q2224" s="202"/>
      <c r="R2224" s="162"/>
      <c r="S2224" s="162"/>
    </row>
    <row r="2225" spans="1:19">
      <c r="A2225" s="294"/>
      <c r="B2225" s="164"/>
      <c r="C2225" s="165"/>
      <c r="D2225" s="165"/>
      <c r="E2225" s="165"/>
      <c r="F2225" s="165"/>
      <c r="G2225" s="166"/>
      <c r="I2225" s="295" t="s">
        <v>783</v>
      </c>
      <c r="J2225" s="295"/>
      <c r="K2225" s="170"/>
      <c r="L2225" s="171"/>
      <c r="M2225" s="50"/>
      <c r="N2225" s="171"/>
      <c r="O2225" s="202"/>
      <c r="P2225" s="202"/>
      <c r="Q2225" s="202"/>
      <c r="R2225" s="162"/>
      <c r="S2225" s="162"/>
    </row>
    <row r="2226" spans="1:19">
      <c r="A2226" s="294"/>
      <c r="B2226" s="161"/>
      <c r="C2226" s="162"/>
      <c r="D2226" s="162"/>
      <c r="E2226" s="162"/>
      <c r="F2226" s="162"/>
      <c r="G2226" s="163"/>
      <c r="I2226" s="295" t="s">
        <v>784</v>
      </c>
      <c r="J2226" s="295"/>
      <c r="K2226" s="170"/>
      <c r="L2226" s="171"/>
      <c r="M2226" s="50"/>
      <c r="N2226" s="171"/>
      <c r="O2226" s="202"/>
      <c r="P2226" s="202"/>
      <c r="Q2226" s="202"/>
      <c r="R2226" s="162"/>
      <c r="S2226" s="162"/>
    </row>
    <row r="2227" spans="1:19">
      <c r="A2227" s="294"/>
      <c r="B2227" s="164"/>
      <c r="C2227" s="165"/>
      <c r="D2227" s="165"/>
      <c r="E2227" s="165"/>
      <c r="F2227" s="165"/>
      <c r="G2227" s="166"/>
      <c r="I2227" s="295" t="s">
        <v>785</v>
      </c>
      <c r="J2227" s="295"/>
      <c r="K2227" s="170"/>
      <c r="L2227" s="171"/>
      <c r="M2227" s="50"/>
      <c r="N2227" s="171"/>
      <c r="O2227" s="202"/>
      <c r="P2227" s="202"/>
      <c r="Q2227" s="202"/>
      <c r="R2227" s="162"/>
      <c r="S2227" s="162"/>
    </row>
    <row r="2228" spans="1:19">
      <c r="A2228" s="294"/>
      <c r="B2228" s="161"/>
      <c r="C2228" s="162"/>
      <c r="D2228" s="162"/>
      <c r="E2228" s="162"/>
      <c r="F2228" s="162"/>
      <c r="G2228" s="163"/>
      <c r="I2228" s="295" t="s">
        <v>786</v>
      </c>
      <c r="J2228" s="295"/>
      <c r="K2228" s="170"/>
      <c r="L2228" s="171"/>
      <c r="M2228" s="50"/>
      <c r="N2228" s="171"/>
      <c r="O2228" s="202"/>
      <c r="P2228" s="202"/>
      <c r="Q2228" s="202"/>
      <c r="R2228" s="162"/>
      <c r="S2228" s="162"/>
    </row>
    <row r="2229" spans="1:19">
      <c r="A2229" s="294"/>
      <c r="B2229" s="164"/>
      <c r="C2229" s="165"/>
      <c r="D2229" s="165"/>
      <c r="E2229" s="165"/>
      <c r="F2229" s="165"/>
      <c r="G2229" s="166"/>
      <c r="I2229" s="295" t="s">
        <v>787</v>
      </c>
      <c r="J2229" s="295"/>
      <c r="K2229" s="170"/>
      <c r="L2229" s="171"/>
      <c r="M2229" s="50"/>
      <c r="N2229" s="171"/>
      <c r="O2229" s="202"/>
      <c r="P2229" s="202"/>
      <c r="Q2229" s="202"/>
      <c r="R2229" s="162"/>
      <c r="S2229" s="162"/>
    </row>
    <row r="2230" spans="1:19">
      <c r="A2230" s="294"/>
      <c r="B2230" s="161"/>
      <c r="C2230" s="162"/>
      <c r="D2230" s="162"/>
      <c r="E2230" s="162"/>
      <c r="F2230" s="162"/>
      <c r="G2230" s="163"/>
      <c r="I2230" s="295" t="s">
        <v>788</v>
      </c>
      <c r="J2230" s="295"/>
      <c r="K2230" s="170"/>
      <c r="L2230" s="171"/>
      <c r="M2230" s="50"/>
      <c r="N2230" s="171"/>
      <c r="O2230" s="202"/>
      <c r="P2230" s="202"/>
      <c r="Q2230" s="202"/>
      <c r="R2230" s="162"/>
      <c r="S2230" s="162"/>
    </row>
    <row r="2231" spans="1:19">
      <c r="A2231" s="294"/>
      <c r="B2231" s="164"/>
      <c r="C2231" s="165"/>
      <c r="D2231" s="165"/>
      <c r="E2231" s="165"/>
      <c r="F2231" s="165"/>
      <c r="G2231" s="166"/>
      <c r="I2231" s="295" t="s">
        <v>789</v>
      </c>
      <c r="J2231" s="295"/>
      <c r="K2231" s="170"/>
      <c r="L2231" s="171"/>
      <c r="M2231" s="50"/>
      <c r="N2231" s="171"/>
      <c r="O2231" s="202"/>
      <c r="P2231" s="202"/>
      <c r="Q2231" s="202"/>
      <c r="R2231" s="162"/>
      <c r="S2231" s="162"/>
    </row>
    <row r="2232" spans="1:19">
      <c r="A2232" s="63"/>
      <c r="B2232" s="63"/>
      <c r="C2232" s="63"/>
      <c r="D2232" s="63"/>
      <c r="E2232" s="63"/>
      <c r="F2232" s="63"/>
      <c r="G2232" s="63"/>
      <c r="I2232" s="295" t="s">
        <v>790</v>
      </c>
      <c r="J2232" s="295"/>
      <c r="K2232" s="170"/>
      <c r="L2232" s="171"/>
      <c r="M2232" s="50"/>
      <c r="N2232" s="171"/>
      <c r="O2232" s="202"/>
      <c r="P2232" s="202"/>
      <c r="Q2232" s="202"/>
      <c r="R2232" s="162"/>
      <c r="S2232" s="162"/>
    </row>
    <row r="2233" spans="1:19">
      <c r="A2233" s="63"/>
      <c r="B2233" s="63"/>
      <c r="C2233" s="63"/>
      <c r="D2233" s="63"/>
      <c r="E2233" s="63"/>
      <c r="F2233" s="63"/>
      <c r="G2233" s="63"/>
      <c r="I2233" s="295" t="s">
        <v>791</v>
      </c>
      <c r="J2233" s="295"/>
      <c r="K2233" s="170"/>
      <c r="L2233" s="171"/>
      <c r="M2233" s="50"/>
      <c r="N2233" s="171"/>
      <c r="O2233" s="202"/>
      <c r="P2233" s="202"/>
      <c r="Q2233" s="202"/>
      <c r="R2233" s="162"/>
      <c r="S2233" s="162"/>
    </row>
    <row r="2234" spans="1:19">
      <c r="A2234" s="63"/>
      <c r="B2234" s="63"/>
      <c r="C2234" s="63"/>
      <c r="D2234" s="63"/>
      <c r="E2234" s="63"/>
      <c r="F2234" s="63"/>
      <c r="G2234" s="63"/>
      <c r="I2234" s="296" t="s">
        <v>792</v>
      </c>
      <c r="J2234" s="296"/>
      <c r="K2234" s="170"/>
      <c r="L2234" s="171"/>
      <c r="M2234" s="50"/>
      <c r="N2234" s="171"/>
      <c r="O2234" s="202"/>
      <c r="P2234" s="202"/>
      <c r="Q2234" s="202"/>
      <c r="R2234" s="162"/>
      <c r="S2234" s="162"/>
    </row>
    <row r="2235" spans="1:19" ht="17.25" thickBot="1">
      <c r="A2235" s="63"/>
      <c r="B2235" s="63"/>
      <c r="C2235" s="63"/>
      <c r="D2235" s="63"/>
      <c r="E2235" s="63"/>
      <c r="F2235" s="63"/>
      <c r="G2235" s="63"/>
      <c r="I2235" s="297" t="s">
        <v>793</v>
      </c>
      <c r="J2235" s="297"/>
      <c r="K2235" s="172">
        <f t="shared" ref="K2235:S2235" si="1029">SUM(K2224:K2234)</f>
        <v>0</v>
      </c>
      <c r="L2235" s="205">
        <f t="shared" si="1029"/>
        <v>0</v>
      </c>
      <c r="M2235" s="205">
        <f t="shared" si="1029"/>
        <v>0</v>
      </c>
      <c r="N2235" s="205">
        <f t="shared" si="1029"/>
        <v>0</v>
      </c>
      <c r="O2235" s="174">
        <f t="shared" si="1029"/>
        <v>0</v>
      </c>
      <c r="P2235" s="174">
        <f t="shared" si="1029"/>
        <v>0</v>
      </c>
      <c r="Q2235" s="174">
        <f t="shared" si="1029"/>
        <v>0</v>
      </c>
      <c r="R2235" s="175">
        <f t="shared" si="1029"/>
        <v>0</v>
      </c>
      <c r="S2235" s="175">
        <f t="shared" si="1029"/>
        <v>0</v>
      </c>
    </row>
    <row r="2236" spans="1:19" ht="17.25" thickBot="1">
      <c r="A2236" s="63"/>
      <c r="B2236" s="63"/>
      <c r="C2236" s="63"/>
      <c r="D2236" s="63"/>
      <c r="E2236" s="63"/>
      <c r="F2236" s="63"/>
      <c r="G2236" s="63"/>
      <c r="I2236" s="298" t="s">
        <v>794</v>
      </c>
      <c r="J2236" s="299"/>
      <c r="K2236" s="176">
        <f t="shared" ref="K2236" si="1030">S2215-K2235</f>
        <v>0</v>
      </c>
      <c r="L2236" s="177">
        <f t="shared" ref="L2236" si="1031">K2235-L2235</f>
        <v>0</v>
      </c>
      <c r="M2236" s="177">
        <f t="shared" ref="M2236" si="1032">K2235-M2235</f>
        <v>0</v>
      </c>
      <c r="N2236" s="177">
        <f t="shared" ref="N2236" si="1033">K2235-N2235</f>
        <v>0</v>
      </c>
      <c r="O2236" s="178">
        <f t="shared" ref="O2236" si="1034">K2235-O2235</f>
        <v>0</v>
      </c>
      <c r="P2236" s="178">
        <f t="shared" ref="P2236" si="1035">K2235-P2235</f>
        <v>0</v>
      </c>
      <c r="Q2236" s="178">
        <f t="shared" ref="Q2236" si="1036">K2235-Q2235</f>
        <v>0</v>
      </c>
      <c r="R2236" s="179">
        <f t="shared" ref="R2236" si="1037">K2235-R2235</f>
        <v>0</v>
      </c>
      <c r="S2236" s="180">
        <f t="shared" ref="S2236" si="1038">L2235-S2235</f>
        <v>0</v>
      </c>
    </row>
    <row r="2237" spans="1:19">
      <c r="A2237" s="63"/>
      <c r="B2237" s="63"/>
      <c r="C2237" s="63"/>
      <c r="D2237" s="63"/>
      <c r="E2237" s="63"/>
      <c r="F2237" s="63"/>
      <c r="G2237" s="63"/>
      <c r="I2237" s="300" t="s">
        <v>795</v>
      </c>
      <c r="J2237" s="301"/>
      <c r="K2237" s="181"/>
      <c r="L2237" s="182"/>
      <c r="M2237" s="182"/>
      <c r="N2237" s="182"/>
      <c r="O2237" s="183"/>
      <c r="P2237" s="182"/>
      <c r="Q2237" s="182"/>
      <c r="R2237" s="182"/>
      <c r="S2237" s="182"/>
    </row>
    <row r="2238" spans="1:19">
      <c r="A2238" s="63"/>
      <c r="B2238" s="63"/>
      <c r="C2238" s="63"/>
      <c r="D2238" s="63"/>
      <c r="E2238" s="63"/>
      <c r="F2238" s="63"/>
      <c r="G2238" s="63"/>
      <c r="I2238" s="302" t="s">
        <v>796</v>
      </c>
      <c r="J2238" s="302"/>
      <c r="K2238" s="184"/>
      <c r="L2238" s="203"/>
      <c r="M2238" s="203"/>
      <c r="N2238" s="203"/>
      <c r="O2238" s="203"/>
      <c r="P2238" s="203"/>
      <c r="Q2238" s="203"/>
      <c r="R2238" s="203"/>
      <c r="S2238" s="203"/>
    </row>
    <row r="2239" spans="1:19">
      <c r="A2239" s="63"/>
      <c r="B2239" s="63"/>
      <c r="C2239" s="63"/>
      <c r="D2239" s="63"/>
      <c r="E2239" s="63"/>
      <c r="F2239" s="63"/>
      <c r="G2239" s="63"/>
      <c r="I2239" s="302" t="s">
        <v>797</v>
      </c>
      <c r="J2239" s="302"/>
      <c r="K2239" s="184"/>
      <c r="L2239" s="203"/>
      <c r="M2239" s="203"/>
      <c r="N2239" s="203"/>
      <c r="O2239" s="203"/>
      <c r="P2239" s="203"/>
      <c r="Q2239" s="203"/>
      <c r="R2239" s="203"/>
      <c r="S2239" s="203"/>
    </row>
    <row r="2240" spans="1:19">
      <c r="A2240" s="63"/>
      <c r="B2240" s="63"/>
      <c r="C2240" s="63"/>
      <c r="D2240" s="63"/>
      <c r="E2240" s="63"/>
      <c r="F2240" s="63"/>
      <c r="G2240" s="63"/>
      <c r="I2240" s="303" t="s">
        <v>798</v>
      </c>
      <c r="J2240" s="303"/>
      <c r="K2240" s="184"/>
      <c r="L2240" s="185"/>
      <c r="M2240" s="185"/>
      <c r="N2240" s="185"/>
      <c r="O2240" s="185"/>
      <c r="P2240" s="204"/>
      <c r="Q2240" s="204"/>
      <c r="R2240" s="204"/>
      <c r="S2240" s="204"/>
    </row>
    <row r="2241" spans="1:19">
      <c r="A2241" s="3" t="s">
        <v>801</v>
      </c>
      <c r="B2241" s="201" t="s">
        <v>802</v>
      </c>
      <c r="C2241" s="201" t="s">
        <v>803</v>
      </c>
      <c r="D2241" s="201" t="s">
        <v>119</v>
      </c>
      <c r="E2241" s="201" t="s">
        <v>148</v>
      </c>
      <c r="F2241" s="201" t="s">
        <v>806</v>
      </c>
      <c r="G2241" s="201" t="s">
        <v>81</v>
      </c>
      <c r="I2241" s="187"/>
      <c r="J2241" s="187"/>
      <c r="K2241" s="187"/>
      <c r="L2241" s="188"/>
      <c r="M2241" s="188"/>
      <c r="N2241" s="188"/>
      <c r="O2241" s="188"/>
      <c r="P2241" s="187"/>
      <c r="Q2241" s="187"/>
      <c r="R2241" s="187"/>
      <c r="S2241" s="187"/>
    </row>
    <row r="2242" spans="1:19">
      <c r="A2242" s="293">
        <v>44151</v>
      </c>
      <c r="B2242" s="161">
        <v>0.62430555555555556</v>
      </c>
      <c r="C2242" s="162">
        <v>28</v>
      </c>
      <c r="D2242" s="162">
        <v>34</v>
      </c>
      <c r="E2242" s="162">
        <v>36</v>
      </c>
      <c r="F2242" s="162">
        <v>2</v>
      </c>
      <c r="G2242" s="163">
        <v>0.84609999999999996</v>
      </c>
      <c r="I2242" s="191"/>
      <c r="J2242" s="190"/>
      <c r="K2242" s="190"/>
      <c r="L2242" s="190"/>
      <c r="M2242" s="190">
        <v>44151</v>
      </c>
      <c r="N2242" s="189" t="s">
        <v>864</v>
      </c>
      <c r="O2242" s="189"/>
      <c r="P2242" s="189"/>
      <c r="Q2242" s="189"/>
      <c r="R2242" s="189"/>
      <c r="S2242" s="189"/>
    </row>
    <row r="2243" spans="1:19">
      <c r="A2243" s="294"/>
      <c r="B2243" s="164"/>
      <c r="C2243" s="165"/>
      <c r="D2243" s="165"/>
      <c r="E2243" s="165"/>
      <c r="F2243" s="165"/>
      <c r="G2243" s="166"/>
      <c r="I2243" s="304"/>
      <c r="J2243" s="304"/>
      <c r="K2243" s="167"/>
      <c r="L2243" s="168">
        <v>0.62430555555555556</v>
      </c>
      <c r="M2243" s="168"/>
      <c r="N2243" s="168"/>
      <c r="O2243" s="169"/>
      <c r="P2243" s="169"/>
      <c r="Q2243" s="169"/>
      <c r="R2243" s="161"/>
      <c r="S2243" s="161"/>
    </row>
    <row r="2244" spans="1:19">
      <c r="A2244" s="294"/>
      <c r="B2244" s="161"/>
      <c r="C2244" s="162"/>
      <c r="D2244" s="162"/>
      <c r="E2244" s="162"/>
      <c r="F2244" s="162"/>
      <c r="G2244" s="163"/>
      <c r="I2244" s="295" t="s">
        <v>782</v>
      </c>
      <c r="J2244" s="296"/>
      <c r="K2244" s="170"/>
      <c r="L2244" s="171">
        <v>5</v>
      </c>
      <c r="M2244" s="50"/>
      <c r="N2244" s="171"/>
      <c r="O2244" s="202"/>
      <c r="P2244" s="202"/>
      <c r="Q2244" s="202"/>
      <c r="R2244" s="162"/>
      <c r="S2244" s="162"/>
    </row>
    <row r="2245" spans="1:19">
      <c r="A2245" s="294"/>
      <c r="B2245" s="164"/>
      <c r="C2245" s="165"/>
      <c r="D2245" s="165"/>
      <c r="E2245" s="165"/>
      <c r="F2245" s="165"/>
      <c r="G2245" s="166"/>
      <c r="I2245" s="295" t="s">
        <v>783</v>
      </c>
      <c r="J2245" s="295"/>
      <c r="K2245" s="170"/>
      <c r="L2245" s="171">
        <v>1</v>
      </c>
      <c r="M2245" s="50"/>
      <c r="N2245" s="171"/>
      <c r="O2245" s="202"/>
      <c r="P2245" s="202"/>
      <c r="Q2245" s="202"/>
      <c r="R2245" s="162"/>
      <c r="S2245" s="162"/>
    </row>
    <row r="2246" spans="1:19">
      <c r="A2246" s="294"/>
      <c r="B2246" s="161"/>
      <c r="C2246" s="162"/>
      <c r="D2246" s="162"/>
      <c r="E2246" s="162"/>
      <c r="F2246" s="162"/>
      <c r="G2246" s="163"/>
      <c r="I2246" s="295" t="s">
        <v>784</v>
      </c>
      <c r="J2246" s="295"/>
      <c r="K2246" s="170"/>
      <c r="L2246" s="171">
        <v>5</v>
      </c>
      <c r="M2246" s="50"/>
      <c r="N2246" s="171"/>
      <c r="O2246" s="202"/>
      <c r="P2246" s="202"/>
      <c r="Q2246" s="202"/>
      <c r="R2246" s="162"/>
      <c r="S2246" s="162"/>
    </row>
    <row r="2247" spans="1:19">
      <c r="A2247" s="294"/>
      <c r="B2247" s="164"/>
      <c r="C2247" s="165"/>
      <c r="D2247" s="165"/>
      <c r="E2247" s="165"/>
      <c r="F2247" s="165"/>
      <c r="G2247" s="166"/>
      <c r="I2247" s="295" t="s">
        <v>785</v>
      </c>
      <c r="J2247" s="295"/>
      <c r="K2247" s="170"/>
      <c r="L2247" s="171">
        <v>3</v>
      </c>
      <c r="M2247" s="50"/>
      <c r="N2247" s="171"/>
      <c r="O2247" s="202"/>
      <c r="P2247" s="202"/>
      <c r="Q2247" s="202"/>
      <c r="R2247" s="162"/>
      <c r="S2247" s="162"/>
    </row>
    <row r="2248" spans="1:19">
      <c r="A2248" s="294"/>
      <c r="B2248" s="161"/>
      <c r="C2248" s="162"/>
      <c r="D2248" s="162"/>
      <c r="E2248" s="162"/>
      <c r="F2248" s="162"/>
      <c r="G2248" s="163"/>
      <c r="I2248" s="295" t="s">
        <v>786</v>
      </c>
      <c r="J2248" s="295"/>
      <c r="K2248" s="170"/>
      <c r="L2248" s="171">
        <v>1</v>
      </c>
      <c r="M2248" s="50"/>
      <c r="N2248" s="171"/>
      <c r="O2248" s="202"/>
      <c r="P2248" s="202"/>
      <c r="Q2248" s="202"/>
      <c r="R2248" s="162"/>
      <c r="S2248" s="162"/>
    </row>
    <row r="2249" spans="1:19">
      <c r="A2249" s="294"/>
      <c r="B2249" s="164"/>
      <c r="C2249" s="165"/>
      <c r="D2249" s="165"/>
      <c r="E2249" s="165"/>
      <c r="F2249" s="165"/>
      <c r="G2249" s="166"/>
      <c r="I2249" s="295" t="s">
        <v>787</v>
      </c>
      <c r="J2249" s="295"/>
      <c r="K2249" s="170"/>
      <c r="L2249" s="171">
        <v>13</v>
      </c>
      <c r="M2249" s="50"/>
      <c r="N2249" s="171"/>
      <c r="O2249" s="202"/>
      <c r="P2249" s="202"/>
      <c r="Q2249" s="202"/>
      <c r="R2249" s="162"/>
      <c r="S2249" s="162"/>
    </row>
    <row r="2250" spans="1:19">
      <c r="A2250" s="294"/>
      <c r="B2250" s="161"/>
      <c r="C2250" s="162"/>
      <c r="D2250" s="162"/>
      <c r="E2250" s="162"/>
      <c r="F2250" s="162"/>
      <c r="G2250" s="163"/>
      <c r="I2250" s="295" t="s">
        <v>788</v>
      </c>
      <c r="J2250" s="295"/>
      <c r="K2250" s="170"/>
      <c r="L2250" s="171">
        <v>1</v>
      </c>
      <c r="M2250" s="50"/>
      <c r="N2250" s="171"/>
      <c r="O2250" s="202"/>
      <c r="P2250" s="202"/>
      <c r="Q2250" s="202"/>
      <c r="R2250" s="162"/>
      <c r="S2250" s="162"/>
    </row>
    <row r="2251" spans="1:19">
      <c r="A2251" s="294"/>
      <c r="B2251" s="164"/>
      <c r="C2251" s="165"/>
      <c r="D2251" s="165"/>
      <c r="E2251" s="165"/>
      <c r="F2251" s="165"/>
      <c r="G2251" s="166"/>
      <c r="I2251" s="295" t="s">
        <v>789</v>
      </c>
      <c r="J2251" s="295"/>
      <c r="K2251" s="170"/>
      <c r="L2251" s="171">
        <v>8</v>
      </c>
      <c r="M2251" s="50"/>
      <c r="N2251" s="171"/>
      <c r="O2251" s="202"/>
      <c r="P2251" s="202"/>
      <c r="Q2251" s="202"/>
      <c r="R2251" s="162"/>
      <c r="S2251" s="162"/>
    </row>
    <row r="2252" spans="1:19">
      <c r="A2252" s="63"/>
      <c r="B2252" s="63"/>
      <c r="C2252" s="63"/>
      <c r="D2252" s="63"/>
      <c r="E2252" s="63"/>
      <c r="F2252" s="63"/>
      <c r="G2252" s="63"/>
      <c r="I2252" s="295" t="s">
        <v>790</v>
      </c>
      <c r="J2252" s="295"/>
      <c r="K2252" s="170"/>
      <c r="L2252" s="171">
        <v>9</v>
      </c>
      <c r="M2252" s="50"/>
      <c r="N2252" s="171"/>
      <c r="O2252" s="202"/>
      <c r="P2252" s="202"/>
      <c r="Q2252" s="202"/>
      <c r="R2252" s="162"/>
      <c r="S2252" s="162"/>
    </row>
    <row r="2253" spans="1:19">
      <c r="A2253" s="63"/>
      <c r="B2253" s="63"/>
      <c r="C2253" s="63"/>
      <c r="D2253" s="63"/>
      <c r="E2253" s="63"/>
      <c r="F2253" s="63"/>
      <c r="G2253" s="63"/>
      <c r="I2253" s="295" t="s">
        <v>791</v>
      </c>
      <c r="J2253" s="295"/>
      <c r="K2253" s="170"/>
      <c r="L2253" s="171">
        <v>35</v>
      </c>
      <c r="M2253" s="50"/>
      <c r="N2253" s="171"/>
      <c r="O2253" s="202"/>
      <c r="P2253" s="202"/>
      <c r="Q2253" s="202"/>
      <c r="R2253" s="162"/>
      <c r="S2253" s="162"/>
    </row>
    <row r="2254" spans="1:19">
      <c r="A2254" s="63"/>
      <c r="B2254" s="63"/>
      <c r="C2254" s="63"/>
      <c r="D2254" s="63"/>
      <c r="E2254" s="63"/>
      <c r="F2254" s="63"/>
      <c r="G2254" s="63"/>
      <c r="I2254" s="296" t="s">
        <v>792</v>
      </c>
      <c r="J2254" s="296"/>
      <c r="K2254" s="170"/>
      <c r="L2254" s="171">
        <v>0</v>
      </c>
      <c r="M2254" s="50"/>
      <c r="N2254" s="171"/>
      <c r="O2254" s="202"/>
      <c r="P2254" s="202"/>
      <c r="Q2254" s="202"/>
      <c r="R2254" s="162"/>
      <c r="S2254" s="162"/>
    </row>
    <row r="2255" spans="1:19" ht="17.25" thickBot="1">
      <c r="A2255" s="63"/>
      <c r="B2255" s="63"/>
      <c r="C2255" s="63"/>
      <c r="D2255" s="63"/>
      <c r="E2255" s="63"/>
      <c r="F2255" s="63"/>
      <c r="G2255" s="63"/>
      <c r="I2255" s="297" t="s">
        <v>793</v>
      </c>
      <c r="J2255" s="297"/>
      <c r="K2255" s="172">
        <f t="shared" ref="K2255:S2255" si="1039">SUM(K2244:K2254)</f>
        <v>0</v>
      </c>
      <c r="L2255" s="205">
        <f t="shared" si="1039"/>
        <v>81</v>
      </c>
      <c r="M2255" s="205">
        <f t="shared" si="1039"/>
        <v>0</v>
      </c>
      <c r="N2255" s="205">
        <f t="shared" si="1039"/>
        <v>0</v>
      </c>
      <c r="O2255" s="174">
        <f t="shared" si="1039"/>
        <v>0</v>
      </c>
      <c r="P2255" s="174">
        <f t="shared" si="1039"/>
        <v>0</v>
      </c>
      <c r="Q2255" s="174">
        <f t="shared" si="1039"/>
        <v>0</v>
      </c>
      <c r="R2255" s="175">
        <f t="shared" si="1039"/>
        <v>0</v>
      </c>
      <c r="S2255" s="175">
        <f t="shared" si="1039"/>
        <v>0</v>
      </c>
    </row>
    <row r="2256" spans="1:19" ht="17.25" thickBot="1">
      <c r="A2256" s="63"/>
      <c r="B2256" s="63"/>
      <c r="C2256" s="63"/>
      <c r="D2256" s="63"/>
      <c r="E2256" s="63"/>
      <c r="F2256" s="63"/>
      <c r="G2256" s="63"/>
      <c r="I2256" s="298" t="s">
        <v>794</v>
      </c>
      <c r="J2256" s="299"/>
      <c r="K2256" s="176">
        <f t="shared" ref="K2256" si="1040">S2235-K2255</f>
        <v>0</v>
      </c>
      <c r="L2256" s="177">
        <f t="shared" ref="L2256" si="1041">K2255-L2255</f>
        <v>-81</v>
      </c>
      <c r="M2256" s="177">
        <f t="shared" ref="M2256" si="1042">K2255-M2255</f>
        <v>0</v>
      </c>
      <c r="N2256" s="177">
        <f t="shared" ref="N2256" si="1043">K2255-N2255</f>
        <v>0</v>
      </c>
      <c r="O2256" s="178">
        <f t="shared" ref="O2256" si="1044">K2255-O2255</f>
        <v>0</v>
      </c>
      <c r="P2256" s="178">
        <f t="shared" ref="P2256" si="1045">K2255-P2255</f>
        <v>0</v>
      </c>
      <c r="Q2256" s="178">
        <f t="shared" ref="Q2256" si="1046">K2255-Q2255</f>
        <v>0</v>
      </c>
      <c r="R2256" s="179">
        <f t="shared" ref="R2256" si="1047">K2255-R2255</f>
        <v>0</v>
      </c>
      <c r="S2256" s="180">
        <f t="shared" ref="S2256" si="1048">L2255-S2255</f>
        <v>81</v>
      </c>
    </row>
    <row r="2257" spans="1:19">
      <c r="A2257" s="63"/>
      <c r="B2257" s="63"/>
      <c r="C2257" s="63"/>
      <c r="D2257" s="63"/>
      <c r="E2257" s="63"/>
      <c r="F2257" s="63"/>
      <c r="G2257" s="63"/>
      <c r="I2257" s="300" t="s">
        <v>795</v>
      </c>
      <c r="J2257" s="301"/>
      <c r="K2257" s="181"/>
      <c r="L2257" s="182">
        <v>174</v>
      </c>
      <c r="M2257" s="182"/>
      <c r="N2257" s="182"/>
      <c r="O2257" s="183"/>
      <c r="P2257" s="182"/>
      <c r="Q2257" s="182"/>
      <c r="R2257" s="182"/>
      <c r="S2257" s="182"/>
    </row>
    <row r="2258" spans="1:19">
      <c r="A2258" s="63"/>
      <c r="B2258" s="63"/>
      <c r="C2258" s="63"/>
      <c r="D2258" s="63"/>
      <c r="E2258" s="63"/>
      <c r="F2258" s="63"/>
      <c r="G2258" s="63"/>
      <c r="I2258" s="302" t="s">
        <v>796</v>
      </c>
      <c r="J2258" s="302"/>
      <c r="K2258" s="184"/>
      <c r="L2258" s="203">
        <v>28</v>
      </c>
      <c r="M2258" s="203"/>
      <c r="N2258" s="203"/>
      <c r="O2258" s="203"/>
      <c r="P2258" s="203"/>
      <c r="Q2258" s="203"/>
      <c r="R2258" s="203"/>
      <c r="S2258" s="203"/>
    </row>
    <row r="2259" spans="1:19">
      <c r="A2259" s="63"/>
      <c r="B2259" s="63"/>
      <c r="C2259" s="63"/>
      <c r="D2259" s="63"/>
      <c r="E2259" s="63"/>
      <c r="F2259" s="63"/>
      <c r="G2259" s="63"/>
      <c r="I2259" s="302" t="s">
        <v>797</v>
      </c>
      <c r="J2259" s="302"/>
      <c r="K2259" s="184"/>
      <c r="L2259" s="203">
        <v>146</v>
      </c>
      <c r="M2259" s="203"/>
      <c r="N2259" s="203"/>
      <c r="O2259" s="203"/>
      <c r="P2259" s="203"/>
      <c r="Q2259" s="203"/>
      <c r="R2259" s="203"/>
      <c r="S2259" s="203"/>
    </row>
    <row r="2260" spans="1:19">
      <c r="A2260" s="63"/>
      <c r="B2260" s="63"/>
      <c r="C2260" s="63"/>
      <c r="D2260" s="63"/>
      <c r="E2260" s="63"/>
      <c r="F2260" s="63"/>
      <c r="G2260" s="63"/>
      <c r="I2260" s="303" t="s">
        <v>798</v>
      </c>
      <c r="J2260" s="303"/>
      <c r="K2260" s="184"/>
      <c r="L2260" s="185"/>
      <c r="M2260" s="185"/>
      <c r="N2260" s="185"/>
      <c r="O2260" s="185"/>
      <c r="P2260" s="204"/>
      <c r="Q2260" s="204"/>
      <c r="R2260" s="204"/>
      <c r="S2260" s="204"/>
    </row>
    <row r="2261" spans="1:19">
      <c r="A2261" s="3" t="s">
        <v>801</v>
      </c>
      <c r="B2261" s="201" t="s">
        <v>802</v>
      </c>
      <c r="C2261" s="201" t="s">
        <v>803</v>
      </c>
      <c r="D2261" s="201" t="s">
        <v>119</v>
      </c>
      <c r="E2261" s="201" t="s">
        <v>148</v>
      </c>
      <c r="F2261" s="201" t="s">
        <v>806</v>
      </c>
      <c r="G2261" s="201" t="s">
        <v>81</v>
      </c>
      <c r="I2261" s="187"/>
      <c r="J2261" s="187"/>
      <c r="K2261" s="187"/>
      <c r="L2261" s="188"/>
      <c r="M2261" s="188"/>
      <c r="N2261" s="188"/>
      <c r="O2261" s="188"/>
      <c r="P2261" s="187"/>
      <c r="Q2261" s="187"/>
      <c r="R2261" s="187"/>
      <c r="S2261" s="187"/>
    </row>
    <row r="2262" spans="1:19">
      <c r="A2262" s="293">
        <v>44152</v>
      </c>
      <c r="B2262" s="161"/>
      <c r="C2262" s="162"/>
      <c r="D2262" s="162"/>
      <c r="E2262" s="162"/>
      <c r="F2262" s="162"/>
      <c r="G2262" s="163"/>
      <c r="I2262" s="191"/>
      <c r="J2262" s="190"/>
      <c r="K2262" s="190"/>
      <c r="L2262" s="190"/>
      <c r="M2262" s="190">
        <v>44152</v>
      </c>
      <c r="N2262" s="189" t="s">
        <v>864</v>
      </c>
      <c r="O2262" s="189"/>
      <c r="P2262" s="189"/>
      <c r="Q2262" s="189"/>
      <c r="R2262" s="189"/>
      <c r="S2262" s="189"/>
    </row>
    <row r="2263" spans="1:19">
      <c r="A2263" s="294"/>
      <c r="B2263" s="164"/>
      <c r="C2263" s="165"/>
      <c r="D2263" s="165"/>
      <c r="E2263" s="165"/>
      <c r="F2263" s="165"/>
      <c r="G2263" s="166"/>
      <c r="I2263" s="304"/>
      <c r="J2263" s="304"/>
      <c r="K2263" s="167"/>
      <c r="L2263" s="168"/>
      <c r="M2263" s="168"/>
      <c r="N2263" s="168"/>
      <c r="O2263" s="169"/>
      <c r="P2263" s="169"/>
      <c r="Q2263" s="169"/>
      <c r="R2263" s="161"/>
      <c r="S2263" s="161"/>
    </row>
    <row r="2264" spans="1:19">
      <c r="A2264" s="294"/>
      <c r="B2264" s="161"/>
      <c r="C2264" s="162"/>
      <c r="D2264" s="162"/>
      <c r="E2264" s="162"/>
      <c r="F2264" s="162"/>
      <c r="G2264" s="163"/>
      <c r="I2264" s="295" t="s">
        <v>782</v>
      </c>
      <c r="J2264" s="296"/>
      <c r="K2264" s="170"/>
      <c r="L2264" s="171"/>
      <c r="M2264" s="50"/>
      <c r="N2264" s="171"/>
      <c r="O2264" s="202"/>
      <c r="P2264" s="202"/>
      <c r="Q2264" s="202"/>
      <c r="R2264" s="162"/>
      <c r="S2264" s="162"/>
    </row>
    <row r="2265" spans="1:19">
      <c r="A2265" s="294"/>
      <c r="B2265" s="164"/>
      <c r="C2265" s="165"/>
      <c r="D2265" s="165"/>
      <c r="E2265" s="165"/>
      <c r="F2265" s="165"/>
      <c r="G2265" s="166"/>
      <c r="I2265" s="295" t="s">
        <v>783</v>
      </c>
      <c r="J2265" s="295"/>
      <c r="K2265" s="170"/>
      <c r="L2265" s="171"/>
      <c r="M2265" s="50"/>
      <c r="N2265" s="171"/>
      <c r="O2265" s="202"/>
      <c r="P2265" s="202"/>
      <c r="Q2265" s="202"/>
      <c r="R2265" s="162"/>
      <c r="S2265" s="162"/>
    </row>
    <row r="2266" spans="1:19">
      <c r="A2266" s="294"/>
      <c r="B2266" s="161"/>
      <c r="C2266" s="162"/>
      <c r="D2266" s="162"/>
      <c r="E2266" s="162"/>
      <c r="F2266" s="162"/>
      <c r="G2266" s="163"/>
      <c r="I2266" s="295" t="s">
        <v>784</v>
      </c>
      <c r="J2266" s="295"/>
      <c r="K2266" s="170"/>
      <c r="L2266" s="171"/>
      <c r="M2266" s="50"/>
      <c r="N2266" s="171"/>
      <c r="O2266" s="202"/>
      <c r="P2266" s="202"/>
      <c r="Q2266" s="202"/>
      <c r="R2266" s="162"/>
      <c r="S2266" s="162"/>
    </row>
    <row r="2267" spans="1:19">
      <c r="A2267" s="294"/>
      <c r="B2267" s="164"/>
      <c r="C2267" s="165"/>
      <c r="D2267" s="165"/>
      <c r="E2267" s="165"/>
      <c r="F2267" s="165"/>
      <c r="G2267" s="166"/>
      <c r="I2267" s="295" t="s">
        <v>785</v>
      </c>
      <c r="J2267" s="295"/>
      <c r="K2267" s="170"/>
      <c r="L2267" s="171"/>
      <c r="M2267" s="50"/>
      <c r="N2267" s="171"/>
      <c r="O2267" s="202"/>
      <c r="P2267" s="202"/>
      <c r="Q2267" s="202"/>
      <c r="R2267" s="162"/>
      <c r="S2267" s="162"/>
    </row>
    <row r="2268" spans="1:19">
      <c r="A2268" s="294"/>
      <c r="B2268" s="161"/>
      <c r="C2268" s="162"/>
      <c r="D2268" s="162"/>
      <c r="E2268" s="162"/>
      <c r="F2268" s="162"/>
      <c r="G2268" s="163"/>
      <c r="I2268" s="295" t="s">
        <v>786</v>
      </c>
      <c r="J2268" s="295"/>
      <c r="K2268" s="170"/>
      <c r="L2268" s="171"/>
      <c r="M2268" s="50"/>
      <c r="N2268" s="171"/>
      <c r="O2268" s="202"/>
      <c r="P2268" s="202"/>
      <c r="Q2268" s="202"/>
      <c r="R2268" s="162"/>
      <c r="S2268" s="162"/>
    </row>
    <row r="2269" spans="1:19">
      <c r="A2269" s="294"/>
      <c r="B2269" s="164"/>
      <c r="C2269" s="165"/>
      <c r="D2269" s="165"/>
      <c r="E2269" s="165"/>
      <c r="F2269" s="165"/>
      <c r="G2269" s="166"/>
      <c r="I2269" s="295" t="s">
        <v>787</v>
      </c>
      <c r="J2269" s="295"/>
      <c r="K2269" s="170"/>
      <c r="L2269" s="171"/>
      <c r="M2269" s="50"/>
      <c r="N2269" s="171"/>
      <c r="O2269" s="202"/>
      <c r="P2269" s="202"/>
      <c r="Q2269" s="202"/>
      <c r="R2269" s="162"/>
      <c r="S2269" s="162"/>
    </row>
    <row r="2270" spans="1:19">
      <c r="A2270" s="294"/>
      <c r="B2270" s="161"/>
      <c r="C2270" s="162"/>
      <c r="D2270" s="162"/>
      <c r="E2270" s="162"/>
      <c r="F2270" s="162"/>
      <c r="G2270" s="163"/>
      <c r="I2270" s="295" t="s">
        <v>788</v>
      </c>
      <c r="J2270" s="295"/>
      <c r="K2270" s="170"/>
      <c r="L2270" s="171"/>
      <c r="M2270" s="50"/>
      <c r="N2270" s="171"/>
      <c r="O2270" s="202"/>
      <c r="P2270" s="202"/>
      <c r="Q2270" s="202"/>
      <c r="R2270" s="162"/>
      <c r="S2270" s="162"/>
    </row>
    <row r="2271" spans="1:19">
      <c r="A2271" s="294"/>
      <c r="B2271" s="164"/>
      <c r="C2271" s="165"/>
      <c r="D2271" s="165"/>
      <c r="E2271" s="165"/>
      <c r="F2271" s="165"/>
      <c r="G2271" s="166"/>
      <c r="I2271" s="295" t="s">
        <v>789</v>
      </c>
      <c r="J2271" s="295"/>
      <c r="K2271" s="170"/>
      <c r="L2271" s="171"/>
      <c r="M2271" s="50"/>
      <c r="N2271" s="171"/>
      <c r="O2271" s="202"/>
      <c r="P2271" s="202"/>
      <c r="Q2271" s="202"/>
      <c r="R2271" s="162"/>
      <c r="S2271" s="162"/>
    </row>
    <row r="2272" spans="1:19">
      <c r="A2272" s="63"/>
      <c r="B2272" s="63"/>
      <c r="C2272" s="63"/>
      <c r="D2272" s="63"/>
      <c r="E2272" s="63"/>
      <c r="F2272" s="63"/>
      <c r="G2272" s="63"/>
      <c r="I2272" s="295" t="s">
        <v>790</v>
      </c>
      <c r="J2272" s="295"/>
      <c r="K2272" s="170"/>
      <c r="L2272" s="171"/>
      <c r="M2272" s="50"/>
      <c r="N2272" s="171"/>
      <c r="O2272" s="202"/>
      <c r="P2272" s="202"/>
      <c r="Q2272" s="202"/>
      <c r="R2272" s="162"/>
      <c r="S2272" s="162"/>
    </row>
    <row r="2273" spans="1:19">
      <c r="A2273" s="63"/>
      <c r="B2273" s="63"/>
      <c r="C2273" s="63"/>
      <c r="D2273" s="63"/>
      <c r="E2273" s="63"/>
      <c r="F2273" s="63"/>
      <c r="G2273" s="63"/>
      <c r="I2273" s="295" t="s">
        <v>791</v>
      </c>
      <c r="J2273" s="295"/>
      <c r="K2273" s="170"/>
      <c r="L2273" s="171"/>
      <c r="M2273" s="50"/>
      <c r="N2273" s="171"/>
      <c r="O2273" s="202"/>
      <c r="P2273" s="202"/>
      <c r="Q2273" s="202"/>
      <c r="R2273" s="162"/>
      <c r="S2273" s="162"/>
    </row>
    <row r="2274" spans="1:19">
      <c r="A2274" s="63"/>
      <c r="B2274" s="63"/>
      <c r="C2274" s="63"/>
      <c r="D2274" s="63"/>
      <c r="E2274" s="63"/>
      <c r="F2274" s="63"/>
      <c r="G2274" s="63"/>
      <c r="I2274" s="296" t="s">
        <v>792</v>
      </c>
      <c r="J2274" s="296"/>
      <c r="K2274" s="170"/>
      <c r="L2274" s="171"/>
      <c r="M2274" s="50"/>
      <c r="N2274" s="171"/>
      <c r="O2274" s="202"/>
      <c r="P2274" s="202"/>
      <c r="Q2274" s="202"/>
      <c r="R2274" s="162"/>
      <c r="S2274" s="162"/>
    </row>
    <row r="2275" spans="1:19" ht="17.25" thickBot="1">
      <c r="A2275" s="63"/>
      <c r="B2275" s="63"/>
      <c r="C2275" s="63"/>
      <c r="D2275" s="63"/>
      <c r="E2275" s="63"/>
      <c r="F2275" s="63"/>
      <c r="G2275" s="63"/>
      <c r="I2275" s="297" t="s">
        <v>793</v>
      </c>
      <c r="J2275" s="297"/>
      <c r="K2275" s="172">
        <f t="shared" ref="K2275:S2275" si="1049">SUM(K2264:K2274)</f>
        <v>0</v>
      </c>
      <c r="L2275" s="205">
        <f t="shared" si="1049"/>
        <v>0</v>
      </c>
      <c r="M2275" s="205">
        <f t="shared" si="1049"/>
        <v>0</v>
      </c>
      <c r="N2275" s="205">
        <f t="shared" si="1049"/>
        <v>0</v>
      </c>
      <c r="O2275" s="174">
        <f t="shared" si="1049"/>
        <v>0</v>
      </c>
      <c r="P2275" s="174">
        <f t="shared" si="1049"/>
        <v>0</v>
      </c>
      <c r="Q2275" s="174">
        <f t="shared" si="1049"/>
        <v>0</v>
      </c>
      <c r="R2275" s="175">
        <f t="shared" si="1049"/>
        <v>0</v>
      </c>
      <c r="S2275" s="175">
        <f t="shared" si="1049"/>
        <v>0</v>
      </c>
    </row>
    <row r="2276" spans="1:19" ht="17.25" thickBot="1">
      <c r="A2276" s="63"/>
      <c r="B2276" s="63"/>
      <c r="C2276" s="63"/>
      <c r="D2276" s="63"/>
      <c r="E2276" s="63"/>
      <c r="F2276" s="63"/>
      <c r="G2276" s="63"/>
      <c r="I2276" s="298" t="s">
        <v>794</v>
      </c>
      <c r="J2276" s="299"/>
      <c r="K2276" s="176">
        <f t="shared" ref="K2276" si="1050">S2255-K2275</f>
        <v>0</v>
      </c>
      <c r="L2276" s="177">
        <f t="shared" ref="L2276" si="1051">K2275-L2275</f>
        <v>0</v>
      </c>
      <c r="M2276" s="177">
        <f t="shared" ref="M2276" si="1052">K2275-M2275</f>
        <v>0</v>
      </c>
      <c r="N2276" s="177">
        <f t="shared" ref="N2276" si="1053">K2275-N2275</f>
        <v>0</v>
      </c>
      <c r="O2276" s="178">
        <f t="shared" ref="O2276" si="1054">K2275-O2275</f>
        <v>0</v>
      </c>
      <c r="P2276" s="178">
        <f t="shared" ref="P2276" si="1055">K2275-P2275</f>
        <v>0</v>
      </c>
      <c r="Q2276" s="178">
        <f t="shared" ref="Q2276" si="1056">K2275-Q2275</f>
        <v>0</v>
      </c>
      <c r="R2276" s="179">
        <f t="shared" ref="R2276" si="1057">K2275-R2275</f>
        <v>0</v>
      </c>
      <c r="S2276" s="180">
        <f t="shared" ref="S2276" si="1058">L2275-S2275</f>
        <v>0</v>
      </c>
    </row>
    <row r="2277" spans="1:19">
      <c r="A2277" s="63"/>
      <c r="B2277" s="63"/>
      <c r="C2277" s="63"/>
      <c r="D2277" s="63"/>
      <c r="E2277" s="63"/>
      <c r="F2277" s="63"/>
      <c r="G2277" s="63"/>
      <c r="I2277" s="300" t="s">
        <v>795</v>
      </c>
      <c r="J2277" s="301"/>
      <c r="K2277" s="181"/>
      <c r="L2277" s="182"/>
      <c r="M2277" s="182"/>
      <c r="N2277" s="182"/>
      <c r="O2277" s="183"/>
      <c r="P2277" s="182"/>
      <c r="Q2277" s="182"/>
      <c r="R2277" s="182"/>
      <c r="S2277" s="182"/>
    </row>
    <row r="2278" spans="1:19">
      <c r="A2278" s="63"/>
      <c r="B2278" s="63"/>
      <c r="C2278" s="63"/>
      <c r="D2278" s="63"/>
      <c r="E2278" s="63"/>
      <c r="F2278" s="63"/>
      <c r="G2278" s="63"/>
      <c r="I2278" s="302" t="s">
        <v>796</v>
      </c>
      <c r="J2278" s="302"/>
      <c r="K2278" s="184"/>
      <c r="L2278" s="203"/>
      <c r="M2278" s="203"/>
      <c r="N2278" s="203"/>
      <c r="O2278" s="203"/>
      <c r="P2278" s="203"/>
      <c r="Q2278" s="203"/>
      <c r="R2278" s="203"/>
      <c r="S2278" s="203"/>
    </row>
    <row r="2279" spans="1:19">
      <c r="A2279" s="63"/>
      <c r="B2279" s="63"/>
      <c r="C2279" s="63"/>
      <c r="D2279" s="63"/>
      <c r="E2279" s="63"/>
      <c r="F2279" s="63"/>
      <c r="G2279" s="63"/>
      <c r="I2279" s="302" t="s">
        <v>797</v>
      </c>
      <c r="J2279" s="302"/>
      <c r="K2279" s="184"/>
      <c r="L2279" s="203"/>
      <c r="M2279" s="203"/>
      <c r="N2279" s="203"/>
      <c r="O2279" s="203"/>
      <c r="P2279" s="203"/>
      <c r="Q2279" s="203"/>
      <c r="R2279" s="203"/>
      <c r="S2279" s="203"/>
    </row>
    <row r="2280" spans="1:19">
      <c r="A2280" s="63"/>
      <c r="B2280" s="63"/>
      <c r="C2280" s="63"/>
      <c r="D2280" s="63"/>
      <c r="E2280" s="63"/>
      <c r="F2280" s="63"/>
      <c r="G2280" s="63"/>
      <c r="I2280" s="303" t="s">
        <v>798</v>
      </c>
      <c r="J2280" s="303"/>
      <c r="K2280" s="184"/>
      <c r="L2280" s="185"/>
      <c r="M2280" s="185"/>
      <c r="N2280" s="185"/>
      <c r="O2280" s="185"/>
      <c r="P2280" s="204"/>
      <c r="Q2280" s="204"/>
      <c r="R2280" s="204"/>
      <c r="S2280" s="204"/>
    </row>
    <row r="2281" spans="1:19">
      <c r="A2281" s="3" t="s">
        <v>801</v>
      </c>
      <c r="B2281" s="201" t="s">
        <v>802</v>
      </c>
      <c r="C2281" s="201" t="s">
        <v>803</v>
      </c>
      <c r="D2281" s="201" t="s">
        <v>119</v>
      </c>
      <c r="E2281" s="201" t="s">
        <v>148</v>
      </c>
      <c r="F2281" s="201" t="s">
        <v>806</v>
      </c>
      <c r="G2281" s="201" t="s">
        <v>81</v>
      </c>
      <c r="I2281" s="187"/>
      <c r="J2281" s="187"/>
      <c r="K2281" s="187"/>
      <c r="L2281" s="188"/>
      <c r="M2281" s="188"/>
      <c r="N2281" s="188"/>
      <c r="O2281" s="188"/>
      <c r="P2281" s="187"/>
      <c r="Q2281" s="187"/>
      <c r="R2281" s="187"/>
      <c r="S2281" s="187"/>
    </row>
    <row r="2282" spans="1:19">
      <c r="A2282" s="293">
        <v>44153</v>
      </c>
      <c r="B2282" s="161"/>
      <c r="C2282" s="162"/>
      <c r="D2282" s="162"/>
      <c r="E2282" s="162"/>
      <c r="F2282" s="162"/>
      <c r="G2282" s="163"/>
      <c r="I2282" s="191"/>
      <c r="J2282" s="190"/>
      <c r="K2282" s="190"/>
      <c r="L2282" s="190"/>
      <c r="M2282" s="190">
        <v>44153</v>
      </c>
      <c r="N2282" s="189" t="s">
        <v>864</v>
      </c>
      <c r="O2282" s="189"/>
      <c r="P2282" s="189"/>
      <c r="Q2282" s="189"/>
      <c r="R2282" s="189"/>
      <c r="S2282" s="189"/>
    </row>
    <row r="2283" spans="1:19">
      <c r="A2283" s="294"/>
      <c r="B2283" s="164"/>
      <c r="C2283" s="165"/>
      <c r="D2283" s="165"/>
      <c r="E2283" s="165"/>
      <c r="F2283" s="165"/>
      <c r="G2283" s="166"/>
      <c r="I2283" s="304"/>
      <c r="J2283" s="304"/>
      <c r="K2283" s="167"/>
      <c r="L2283" s="168"/>
      <c r="M2283" s="168"/>
      <c r="N2283" s="168"/>
      <c r="O2283" s="169"/>
      <c r="P2283" s="169"/>
      <c r="Q2283" s="169"/>
      <c r="R2283" s="161"/>
      <c r="S2283" s="161"/>
    </row>
    <row r="2284" spans="1:19">
      <c r="A2284" s="294"/>
      <c r="B2284" s="161"/>
      <c r="C2284" s="162"/>
      <c r="D2284" s="162"/>
      <c r="E2284" s="162"/>
      <c r="F2284" s="162"/>
      <c r="G2284" s="163"/>
      <c r="I2284" s="295" t="s">
        <v>782</v>
      </c>
      <c r="J2284" s="296"/>
      <c r="K2284" s="170"/>
      <c r="L2284" s="171"/>
      <c r="M2284" s="50"/>
      <c r="N2284" s="171"/>
      <c r="O2284" s="202"/>
      <c r="P2284" s="202"/>
      <c r="Q2284" s="202"/>
      <c r="R2284" s="162"/>
      <c r="S2284" s="162"/>
    </row>
    <row r="2285" spans="1:19">
      <c r="A2285" s="294"/>
      <c r="B2285" s="164"/>
      <c r="C2285" s="165"/>
      <c r="D2285" s="165"/>
      <c r="E2285" s="165"/>
      <c r="F2285" s="165"/>
      <c r="G2285" s="166"/>
      <c r="I2285" s="295" t="s">
        <v>783</v>
      </c>
      <c r="J2285" s="295"/>
      <c r="K2285" s="170"/>
      <c r="L2285" s="171"/>
      <c r="M2285" s="50"/>
      <c r="N2285" s="171"/>
      <c r="O2285" s="202"/>
      <c r="P2285" s="202"/>
      <c r="Q2285" s="202"/>
      <c r="R2285" s="162"/>
      <c r="S2285" s="162"/>
    </row>
    <row r="2286" spans="1:19">
      <c r="A2286" s="294"/>
      <c r="B2286" s="161"/>
      <c r="C2286" s="162"/>
      <c r="D2286" s="162"/>
      <c r="E2286" s="162"/>
      <c r="F2286" s="162"/>
      <c r="G2286" s="163"/>
      <c r="I2286" s="295" t="s">
        <v>784</v>
      </c>
      <c r="J2286" s="295"/>
      <c r="K2286" s="170"/>
      <c r="L2286" s="171"/>
      <c r="M2286" s="50"/>
      <c r="N2286" s="171"/>
      <c r="O2286" s="202"/>
      <c r="P2286" s="202"/>
      <c r="Q2286" s="202"/>
      <c r="R2286" s="162"/>
      <c r="S2286" s="162"/>
    </row>
    <row r="2287" spans="1:19">
      <c r="A2287" s="294"/>
      <c r="B2287" s="164"/>
      <c r="C2287" s="165"/>
      <c r="D2287" s="165"/>
      <c r="E2287" s="165"/>
      <c r="F2287" s="165"/>
      <c r="G2287" s="166"/>
      <c r="I2287" s="295" t="s">
        <v>785</v>
      </c>
      <c r="J2287" s="295"/>
      <c r="K2287" s="170"/>
      <c r="L2287" s="171"/>
      <c r="M2287" s="50"/>
      <c r="N2287" s="171"/>
      <c r="O2287" s="202"/>
      <c r="P2287" s="202"/>
      <c r="Q2287" s="202"/>
      <c r="R2287" s="162"/>
      <c r="S2287" s="162"/>
    </row>
    <row r="2288" spans="1:19">
      <c r="A2288" s="294"/>
      <c r="B2288" s="161"/>
      <c r="C2288" s="162"/>
      <c r="D2288" s="162"/>
      <c r="E2288" s="162"/>
      <c r="F2288" s="162"/>
      <c r="G2288" s="163"/>
      <c r="I2288" s="295" t="s">
        <v>786</v>
      </c>
      <c r="J2288" s="295"/>
      <c r="K2288" s="170"/>
      <c r="L2288" s="171"/>
      <c r="M2288" s="50"/>
      <c r="N2288" s="171"/>
      <c r="O2288" s="202"/>
      <c r="P2288" s="202"/>
      <c r="Q2288" s="202"/>
      <c r="R2288" s="162"/>
      <c r="S2288" s="162"/>
    </row>
    <row r="2289" spans="1:19">
      <c r="A2289" s="294"/>
      <c r="B2289" s="164"/>
      <c r="C2289" s="165"/>
      <c r="D2289" s="165"/>
      <c r="E2289" s="165"/>
      <c r="F2289" s="165"/>
      <c r="G2289" s="166"/>
      <c r="I2289" s="295" t="s">
        <v>787</v>
      </c>
      <c r="J2289" s="295"/>
      <c r="K2289" s="170"/>
      <c r="L2289" s="171"/>
      <c r="M2289" s="50"/>
      <c r="N2289" s="171"/>
      <c r="O2289" s="202"/>
      <c r="P2289" s="202"/>
      <c r="Q2289" s="202"/>
      <c r="R2289" s="162"/>
      <c r="S2289" s="162"/>
    </row>
    <row r="2290" spans="1:19">
      <c r="A2290" s="294"/>
      <c r="B2290" s="161"/>
      <c r="C2290" s="162"/>
      <c r="D2290" s="162"/>
      <c r="E2290" s="162"/>
      <c r="F2290" s="162"/>
      <c r="G2290" s="163"/>
      <c r="I2290" s="295" t="s">
        <v>788</v>
      </c>
      <c r="J2290" s="295"/>
      <c r="K2290" s="170"/>
      <c r="L2290" s="171"/>
      <c r="M2290" s="50"/>
      <c r="N2290" s="171"/>
      <c r="O2290" s="202"/>
      <c r="P2290" s="202"/>
      <c r="Q2290" s="202"/>
      <c r="R2290" s="162"/>
      <c r="S2290" s="162"/>
    </row>
    <row r="2291" spans="1:19">
      <c r="A2291" s="294"/>
      <c r="B2291" s="164"/>
      <c r="C2291" s="165"/>
      <c r="D2291" s="165"/>
      <c r="E2291" s="165"/>
      <c r="F2291" s="165"/>
      <c r="G2291" s="166"/>
      <c r="I2291" s="295" t="s">
        <v>789</v>
      </c>
      <c r="J2291" s="295"/>
      <c r="K2291" s="170"/>
      <c r="L2291" s="171"/>
      <c r="M2291" s="50"/>
      <c r="N2291" s="171"/>
      <c r="O2291" s="202"/>
      <c r="P2291" s="202"/>
      <c r="Q2291" s="202"/>
      <c r="R2291" s="162"/>
      <c r="S2291" s="162"/>
    </row>
    <row r="2292" spans="1:19">
      <c r="A2292" s="63"/>
      <c r="B2292" s="63"/>
      <c r="C2292" s="63"/>
      <c r="D2292" s="63"/>
      <c r="E2292" s="63"/>
      <c r="F2292" s="63"/>
      <c r="G2292" s="63"/>
      <c r="I2292" s="295" t="s">
        <v>790</v>
      </c>
      <c r="J2292" s="295"/>
      <c r="K2292" s="170"/>
      <c r="L2292" s="171"/>
      <c r="M2292" s="50"/>
      <c r="N2292" s="171"/>
      <c r="O2292" s="202"/>
      <c r="P2292" s="202"/>
      <c r="Q2292" s="202"/>
      <c r="R2292" s="162"/>
      <c r="S2292" s="162"/>
    </row>
    <row r="2293" spans="1:19">
      <c r="A2293" s="63"/>
      <c r="B2293" s="63"/>
      <c r="C2293" s="63"/>
      <c r="D2293" s="63"/>
      <c r="E2293" s="63"/>
      <c r="F2293" s="63"/>
      <c r="G2293" s="63"/>
      <c r="I2293" s="295" t="s">
        <v>791</v>
      </c>
      <c r="J2293" s="295"/>
      <c r="K2293" s="170"/>
      <c r="L2293" s="171"/>
      <c r="M2293" s="50"/>
      <c r="N2293" s="171"/>
      <c r="O2293" s="202"/>
      <c r="P2293" s="202"/>
      <c r="Q2293" s="202"/>
      <c r="R2293" s="162"/>
      <c r="S2293" s="162"/>
    </row>
    <row r="2294" spans="1:19">
      <c r="A2294" s="63"/>
      <c r="B2294" s="63"/>
      <c r="C2294" s="63"/>
      <c r="D2294" s="63"/>
      <c r="E2294" s="63"/>
      <c r="F2294" s="63"/>
      <c r="G2294" s="63"/>
      <c r="I2294" s="296" t="s">
        <v>792</v>
      </c>
      <c r="J2294" s="296"/>
      <c r="K2294" s="170"/>
      <c r="L2294" s="171"/>
      <c r="M2294" s="50"/>
      <c r="N2294" s="171"/>
      <c r="O2294" s="202"/>
      <c r="P2294" s="202"/>
      <c r="Q2294" s="202"/>
      <c r="R2294" s="162"/>
      <c r="S2294" s="162"/>
    </row>
    <row r="2295" spans="1:19" ht="17.25" thickBot="1">
      <c r="A2295" s="63"/>
      <c r="B2295" s="63"/>
      <c r="C2295" s="63"/>
      <c r="D2295" s="63"/>
      <c r="E2295" s="63"/>
      <c r="F2295" s="63"/>
      <c r="G2295" s="63"/>
      <c r="I2295" s="297" t="s">
        <v>793</v>
      </c>
      <c r="J2295" s="297"/>
      <c r="K2295" s="172">
        <f t="shared" ref="K2295:S2295" si="1059">SUM(K2284:K2294)</f>
        <v>0</v>
      </c>
      <c r="L2295" s="205">
        <f t="shared" si="1059"/>
        <v>0</v>
      </c>
      <c r="M2295" s="205">
        <f t="shared" si="1059"/>
        <v>0</v>
      </c>
      <c r="N2295" s="205">
        <f t="shared" si="1059"/>
        <v>0</v>
      </c>
      <c r="O2295" s="174">
        <f t="shared" si="1059"/>
        <v>0</v>
      </c>
      <c r="P2295" s="174">
        <f t="shared" si="1059"/>
        <v>0</v>
      </c>
      <c r="Q2295" s="174">
        <f t="shared" si="1059"/>
        <v>0</v>
      </c>
      <c r="R2295" s="175">
        <f t="shared" si="1059"/>
        <v>0</v>
      </c>
      <c r="S2295" s="175">
        <f t="shared" si="1059"/>
        <v>0</v>
      </c>
    </row>
    <row r="2296" spans="1:19" ht="17.25" thickBot="1">
      <c r="A2296" s="63"/>
      <c r="B2296" s="63"/>
      <c r="C2296" s="63"/>
      <c r="D2296" s="63"/>
      <c r="E2296" s="63"/>
      <c r="F2296" s="63"/>
      <c r="G2296" s="63"/>
      <c r="I2296" s="298" t="s">
        <v>794</v>
      </c>
      <c r="J2296" s="299"/>
      <c r="K2296" s="176">
        <f t="shared" ref="K2296" si="1060">S2275-K2295</f>
        <v>0</v>
      </c>
      <c r="L2296" s="177">
        <f t="shared" ref="L2296" si="1061">K2295-L2295</f>
        <v>0</v>
      </c>
      <c r="M2296" s="177">
        <f t="shared" ref="M2296" si="1062">K2295-M2295</f>
        <v>0</v>
      </c>
      <c r="N2296" s="177">
        <f t="shared" ref="N2296" si="1063">K2295-N2295</f>
        <v>0</v>
      </c>
      <c r="O2296" s="178">
        <f t="shared" ref="O2296" si="1064">K2295-O2295</f>
        <v>0</v>
      </c>
      <c r="P2296" s="178">
        <f t="shared" ref="P2296" si="1065">K2295-P2295</f>
        <v>0</v>
      </c>
      <c r="Q2296" s="178">
        <f t="shared" ref="Q2296" si="1066">K2295-Q2295</f>
        <v>0</v>
      </c>
      <c r="R2296" s="179">
        <f t="shared" ref="R2296" si="1067">K2295-R2295</f>
        <v>0</v>
      </c>
      <c r="S2296" s="180">
        <f t="shared" ref="S2296" si="1068">L2295-S2295</f>
        <v>0</v>
      </c>
    </row>
    <row r="2297" spans="1:19">
      <c r="A2297" s="63"/>
      <c r="B2297" s="63"/>
      <c r="C2297" s="63"/>
      <c r="D2297" s="63"/>
      <c r="E2297" s="63"/>
      <c r="F2297" s="63"/>
      <c r="G2297" s="63"/>
      <c r="I2297" s="300" t="s">
        <v>795</v>
      </c>
      <c r="J2297" s="301"/>
      <c r="K2297" s="181"/>
      <c r="L2297" s="182"/>
      <c r="M2297" s="182"/>
      <c r="N2297" s="182"/>
      <c r="O2297" s="183"/>
      <c r="P2297" s="182"/>
      <c r="Q2297" s="182"/>
      <c r="R2297" s="182"/>
      <c r="S2297" s="182"/>
    </row>
    <row r="2298" spans="1:19">
      <c r="A2298" s="63"/>
      <c r="B2298" s="63"/>
      <c r="C2298" s="63"/>
      <c r="D2298" s="63"/>
      <c r="E2298" s="63"/>
      <c r="F2298" s="63"/>
      <c r="G2298" s="63"/>
      <c r="I2298" s="302" t="s">
        <v>796</v>
      </c>
      <c r="J2298" s="302"/>
      <c r="K2298" s="184"/>
      <c r="L2298" s="203"/>
      <c r="M2298" s="203"/>
      <c r="N2298" s="203"/>
      <c r="O2298" s="203"/>
      <c r="P2298" s="203"/>
      <c r="Q2298" s="203"/>
      <c r="R2298" s="203"/>
      <c r="S2298" s="203"/>
    </row>
    <row r="2299" spans="1:19">
      <c r="A2299" s="63"/>
      <c r="B2299" s="63"/>
      <c r="C2299" s="63"/>
      <c r="D2299" s="63"/>
      <c r="E2299" s="63"/>
      <c r="F2299" s="63"/>
      <c r="G2299" s="63"/>
      <c r="I2299" s="302" t="s">
        <v>797</v>
      </c>
      <c r="J2299" s="302"/>
      <c r="K2299" s="184"/>
      <c r="L2299" s="203"/>
      <c r="M2299" s="203"/>
      <c r="N2299" s="203"/>
      <c r="O2299" s="203"/>
      <c r="P2299" s="203"/>
      <c r="Q2299" s="203"/>
      <c r="R2299" s="203"/>
      <c r="S2299" s="203"/>
    </row>
    <row r="2300" spans="1:19">
      <c r="A2300" s="63"/>
      <c r="B2300" s="63"/>
      <c r="C2300" s="63"/>
      <c r="D2300" s="63"/>
      <c r="E2300" s="63"/>
      <c r="F2300" s="63"/>
      <c r="G2300" s="63"/>
      <c r="I2300" s="303" t="s">
        <v>798</v>
      </c>
      <c r="J2300" s="303"/>
      <c r="K2300" s="184"/>
      <c r="L2300" s="185"/>
      <c r="M2300" s="185"/>
      <c r="N2300" s="185"/>
      <c r="O2300" s="185"/>
      <c r="P2300" s="204"/>
      <c r="Q2300" s="204"/>
      <c r="R2300" s="204"/>
      <c r="S2300" s="204"/>
    </row>
    <row r="2301" spans="1:19">
      <c r="A2301" s="3" t="s">
        <v>801</v>
      </c>
      <c r="B2301" s="201" t="s">
        <v>802</v>
      </c>
      <c r="C2301" s="201" t="s">
        <v>803</v>
      </c>
      <c r="D2301" s="201" t="s">
        <v>119</v>
      </c>
      <c r="E2301" s="201" t="s">
        <v>148</v>
      </c>
      <c r="F2301" s="201" t="s">
        <v>806</v>
      </c>
      <c r="G2301" s="201" t="s">
        <v>81</v>
      </c>
      <c r="I2301" s="187"/>
      <c r="J2301" s="187"/>
      <c r="K2301" s="187"/>
      <c r="L2301" s="188"/>
      <c r="M2301" s="188"/>
      <c r="N2301" s="188"/>
      <c r="O2301" s="188"/>
      <c r="P2301" s="187"/>
      <c r="Q2301" s="187"/>
      <c r="R2301" s="187"/>
      <c r="S2301" s="187"/>
    </row>
    <row r="2302" spans="1:19">
      <c r="A2302" s="293">
        <v>44154</v>
      </c>
      <c r="B2302" s="161"/>
      <c r="C2302" s="162"/>
      <c r="D2302" s="162"/>
      <c r="E2302" s="162"/>
      <c r="F2302" s="162"/>
      <c r="G2302" s="163"/>
      <c r="I2302" s="191"/>
      <c r="J2302" s="190"/>
      <c r="K2302" s="190"/>
      <c r="L2302" s="190"/>
      <c r="M2302" s="190">
        <v>44154</v>
      </c>
      <c r="N2302" s="189" t="s">
        <v>864</v>
      </c>
      <c r="O2302" s="189"/>
      <c r="P2302" s="189"/>
      <c r="Q2302" s="189"/>
      <c r="R2302" s="189"/>
      <c r="S2302" s="189"/>
    </row>
    <row r="2303" spans="1:19">
      <c r="A2303" s="294"/>
      <c r="B2303" s="164"/>
      <c r="C2303" s="165"/>
      <c r="D2303" s="165"/>
      <c r="E2303" s="165"/>
      <c r="F2303" s="165"/>
      <c r="G2303" s="166"/>
      <c r="I2303" s="304"/>
      <c r="J2303" s="304"/>
      <c r="K2303" s="167"/>
      <c r="L2303" s="168"/>
      <c r="M2303" s="168"/>
      <c r="N2303" s="168"/>
      <c r="O2303" s="169"/>
      <c r="P2303" s="169"/>
      <c r="Q2303" s="169"/>
      <c r="R2303" s="161"/>
      <c r="S2303" s="161"/>
    </row>
    <row r="2304" spans="1:19">
      <c r="A2304" s="294"/>
      <c r="B2304" s="161"/>
      <c r="C2304" s="162"/>
      <c r="D2304" s="162"/>
      <c r="E2304" s="162"/>
      <c r="F2304" s="162"/>
      <c r="G2304" s="163"/>
      <c r="I2304" s="295" t="s">
        <v>782</v>
      </c>
      <c r="J2304" s="296"/>
      <c r="K2304" s="170"/>
      <c r="L2304" s="171"/>
      <c r="M2304" s="50"/>
      <c r="N2304" s="171"/>
      <c r="O2304" s="202"/>
      <c r="P2304" s="202"/>
      <c r="Q2304" s="202"/>
      <c r="R2304" s="162"/>
      <c r="S2304" s="162"/>
    </row>
    <row r="2305" spans="1:19">
      <c r="A2305" s="294"/>
      <c r="B2305" s="164"/>
      <c r="C2305" s="165"/>
      <c r="D2305" s="165"/>
      <c r="E2305" s="165"/>
      <c r="F2305" s="165"/>
      <c r="G2305" s="166"/>
      <c r="I2305" s="295" t="s">
        <v>783</v>
      </c>
      <c r="J2305" s="295"/>
      <c r="K2305" s="170"/>
      <c r="L2305" s="171"/>
      <c r="M2305" s="50"/>
      <c r="N2305" s="171"/>
      <c r="O2305" s="202"/>
      <c r="P2305" s="202"/>
      <c r="Q2305" s="202"/>
      <c r="R2305" s="162"/>
      <c r="S2305" s="162"/>
    </row>
    <row r="2306" spans="1:19">
      <c r="A2306" s="294"/>
      <c r="B2306" s="161"/>
      <c r="C2306" s="162"/>
      <c r="D2306" s="162"/>
      <c r="E2306" s="162"/>
      <c r="F2306" s="162"/>
      <c r="G2306" s="163"/>
      <c r="I2306" s="295" t="s">
        <v>784</v>
      </c>
      <c r="J2306" s="295"/>
      <c r="K2306" s="170"/>
      <c r="L2306" s="171"/>
      <c r="M2306" s="50"/>
      <c r="N2306" s="171"/>
      <c r="O2306" s="202"/>
      <c r="P2306" s="202"/>
      <c r="Q2306" s="202"/>
      <c r="R2306" s="162"/>
      <c r="S2306" s="162"/>
    </row>
    <row r="2307" spans="1:19">
      <c r="A2307" s="294"/>
      <c r="B2307" s="164"/>
      <c r="C2307" s="165"/>
      <c r="D2307" s="165"/>
      <c r="E2307" s="165"/>
      <c r="F2307" s="165"/>
      <c r="G2307" s="166"/>
      <c r="I2307" s="295" t="s">
        <v>785</v>
      </c>
      <c r="J2307" s="295"/>
      <c r="K2307" s="170"/>
      <c r="L2307" s="171"/>
      <c r="M2307" s="50"/>
      <c r="N2307" s="171"/>
      <c r="O2307" s="202"/>
      <c r="P2307" s="202"/>
      <c r="Q2307" s="202"/>
      <c r="R2307" s="162"/>
      <c r="S2307" s="162"/>
    </row>
    <row r="2308" spans="1:19">
      <c r="A2308" s="294"/>
      <c r="B2308" s="161"/>
      <c r="C2308" s="162"/>
      <c r="D2308" s="162"/>
      <c r="E2308" s="162"/>
      <c r="F2308" s="162"/>
      <c r="G2308" s="163"/>
      <c r="I2308" s="295" t="s">
        <v>786</v>
      </c>
      <c r="J2308" s="295"/>
      <c r="K2308" s="170"/>
      <c r="L2308" s="171"/>
      <c r="M2308" s="50"/>
      <c r="N2308" s="171"/>
      <c r="O2308" s="202"/>
      <c r="P2308" s="202"/>
      <c r="Q2308" s="202"/>
      <c r="R2308" s="162"/>
      <c r="S2308" s="162"/>
    </row>
    <row r="2309" spans="1:19">
      <c r="A2309" s="294"/>
      <c r="B2309" s="164"/>
      <c r="C2309" s="165"/>
      <c r="D2309" s="165"/>
      <c r="E2309" s="165"/>
      <c r="F2309" s="165"/>
      <c r="G2309" s="166"/>
      <c r="I2309" s="295" t="s">
        <v>787</v>
      </c>
      <c r="J2309" s="295"/>
      <c r="K2309" s="170"/>
      <c r="L2309" s="171"/>
      <c r="M2309" s="50"/>
      <c r="N2309" s="171"/>
      <c r="O2309" s="202"/>
      <c r="P2309" s="202"/>
      <c r="Q2309" s="202"/>
      <c r="R2309" s="162"/>
      <c r="S2309" s="162"/>
    </row>
    <row r="2310" spans="1:19">
      <c r="A2310" s="294"/>
      <c r="B2310" s="161"/>
      <c r="C2310" s="162"/>
      <c r="D2310" s="162"/>
      <c r="E2310" s="162"/>
      <c r="F2310" s="162"/>
      <c r="G2310" s="163"/>
      <c r="I2310" s="295" t="s">
        <v>788</v>
      </c>
      <c r="J2310" s="295"/>
      <c r="K2310" s="170"/>
      <c r="L2310" s="171"/>
      <c r="M2310" s="50"/>
      <c r="N2310" s="171"/>
      <c r="O2310" s="202"/>
      <c r="P2310" s="202"/>
      <c r="Q2310" s="202"/>
      <c r="R2310" s="162"/>
      <c r="S2310" s="162"/>
    </row>
    <row r="2311" spans="1:19">
      <c r="A2311" s="294"/>
      <c r="B2311" s="164"/>
      <c r="C2311" s="165"/>
      <c r="D2311" s="165"/>
      <c r="E2311" s="165"/>
      <c r="F2311" s="165"/>
      <c r="G2311" s="166"/>
      <c r="I2311" s="295" t="s">
        <v>789</v>
      </c>
      <c r="J2311" s="295"/>
      <c r="K2311" s="170"/>
      <c r="L2311" s="171"/>
      <c r="M2311" s="50"/>
      <c r="N2311" s="171"/>
      <c r="O2311" s="202"/>
      <c r="P2311" s="202"/>
      <c r="Q2311" s="202"/>
      <c r="R2311" s="162"/>
      <c r="S2311" s="162"/>
    </row>
    <row r="2312" spans="1:19">
      <c r="A2312" s="63"/>
      <c r="B2312" s="63"/>
      <c r="C2312" s="63"/>
      <c r="D2312" s="63"/>
      <c r="E2312" s="63"/>
      <c r="F2312" s="63"/>
      <c r="G2312" s="63"/>
      <c r="I2312" s="295" t="s">
        <v>790</v>
      </c>
      <c r="J2312" s="295"/>
      <c r="K2312" s="170"/>
      <c r="L2312" s="171"/>
      <c r="M2312" s="50"/>
      <c r="N2312" s="171"/>
      <c r="O2312" s="202"/>
      <c r="P2312" s="202"/>
      <c r="Q2312" s="202"/>
      <c r="R2312" s="162"/>
      <c r="S2312" s="162"/>
    </row>
    <row r="2313" spans="1:19">
      <c r="A2313" s="63"/>
      <c r="B2313" s="63"/>
      <c r="C2313" s="63"/>
      <c r="D2313" s="63"/>
      <c r="E2313" s="63"/>
      <c r="F2313" s="63"/>
      <c r="G2313" s="63"/>
      <c r="I2313" s="295" t="s">
        <v>791</v>
      </c>
      <c r="J2313" s="295"/>
      <c r="K2313" s="170"/>
      <c r="L2313" s="171"/>
      <c r="M2313" s="50"/>
      <c r="N2313" s="171"/>
      <c r="O2313" s="202"/>
      <c r="P2313" s="202"/>
      <c r="Q2313" s="202"/>
      <c r="R2313" s="162"/>
      <c r="S2313" s="162"/>
    </row>
    <row r="2314" spans="1:19">
      <c r="A2314" s="63"/>
      <c r="B2314" s="63"/>
      <c r="C2314" s="63"/>
      <c r="D2314" s="63"/>
      <c r="E2314" s="63"/>
      <c r="F2314" s="63"/>
      <c r="G2314" s="63"/>
      <c r="I2314" s="296" t="s">
        <v>792</v>
      </c>
      <c r="J2314" s="296"/>
      <c r="K2314" s="170"/>
      <c r="L2314" s="171"/>
      <c r="M2314" s="50"/>
      <c r="N2314" s="171"/>
      <c r="O2314" s="202"/>
      <c r="P2314" s="202"/>
      <c r="Q2314" s="202"/>
      <c r="R2314" s="162"/>
      <c r="S2314" s="162"/>
    </row>
    <row r="2315" spans="1:19" ht="17.25" thickBot="1">
      <c r="A2315" s="63"/>
      <c r="B2315" s="63"/>
      <c r="C2315" s="63"/>
      <c r="D2315" s="63"/>
      <c r="E2315" s="63"/>
      <c r="F2315" s="63"/>
      <c r="G2315" s="63"/>
      <c r="I2315" s="297" t="s">
        <v>793</v>
      </c>
      <c r="J2315" s="297"/>
      <c r="K2315" s="172">
        <f t="shared" ref="K2315:S2315" si="1069">SUM(K2304:K2314)</f>
        <v>0</v>
      </c>
      <c r="L2315" s="205">
        <f t="shared" si="1069"/>
        <v>0</v>
      </c>
      <c r="M2315" s="205">
        <f t="shared" si="1069"/>
        <v>0</v>
      </c>
      <c r="N2315" s="205">
        <f t="shared" si="1069"/>
        <v>0</v>
      </c>
      <c r="O2315" s="174">
        <f t="shared" si="1069"/>
        <v>0</v>
      </c>
      <c r="P2315" s="174">
        <f t="shared" si="1069"/>
        <v>0</v>
      </c>
      <c r="Q2315" s="174">
        <f t="shared" si="1069"/>
        <v>0</v>
      </c>
      <c r="R2315" s="175">
        <f t="shared" si="1069"/>
        <v>0</v>
      </c>
      <c r="S2315" s="175">
        <f t="shared" si="1069"/>
        <v>0</v>
      </c>
    </row>
    <row r="2316" spans="1:19" ht="17.25" thickBot="1">
      <c r="A2316" s="63"/>
      <c r="B2316" s="63"/>
      <c r="C2316" s="63"/>
      <c r="D2316" s="63"/>
      <c r="E2316" s="63"/>
      <c r="F2316" s="63"/>
      <c r="G2316" s="63"/>
      <c r="I2316" s="298" t="s">
        <v>794</v>
      </c>
      <c r="J2316" s="299"/>
      <c r="K2316" s="176">
        <f t="shared" ref="K2316" si="1070">S2295-K2315</f>
        <v>0</v>
      </c>
      <c r="L2316" s="177">
        <f t="shared" ref="L2316" si="1071">K2315-L2315</f>
        <v>0</v>
      </c>
      <c r="M2316" s="177">
        <f t="shared" ref="M2316" si="1072">K2315-M2315</f>
        <v>0</v>
      </c>
      <c r="N2316" s="177">
        <f t="shared" ref="N2316" si="1073">K2315-N2315</f>
        <v>0</v>
      </c>
      <c r="O2316" s="178">
        <f t="shared" ref="O2316" si="1074">K2315-O2315</f>
        <v>0</v>
      </c>
      <c r="P2316" s="178">
        <f t="shared" ref="P2316" si="1075">K2315-P2315</f>
        <v>0</v>
      </c>
      <c r="Q2316" s="178">
        <f t="shared" ref="Q2316" si="1076">K2315-Q2315</f>
        <v>0</v>
      </c>
      <c r="R2316" s="179">
        <f t="shared" ref="R2316" si="1077">K2315-R2315</f>
        <v>0</v>
      </c>
      <c r="S2316" s="180">
        <f t="shared" ref="S2316" si="1078">L2315-S2315</f>
        <v>0</v>
      </c>
    </row>
    <row r="2317" spans="1:19">
      <c r="A2317" s="63"/>
      <c r="B2317" s="63"/>
      <c r="C2317" s="63"/>
      <c r="D2317" s="63"/>
      <c r="E2317" s="63"/>
      <c r="F2317" s="63"/>
      <c r="G2317" s="63"/>
      <c r="I2317" s="300" t="s">
        <v>795</v>
      </c>
      <c r="J2317" s="301"/>
      <c r="K2317" s="181"/>
      <c r="L2317" s="182"/>
      <c r="M2317" s="182"/>
      <c r="N2317" s="182"/>
      <c r="O2317" s="183"/>
      <c r="P2317" s="182"/>
      <c r="Q2317" s="182"/>
      <c r="R2317" s="182"/>
      <c r="S2317" s="182"/>
    </row>
    <row r="2318" spans="1:19">
      <c r="A2318" s="63"/>
      <c r="B2318" s="63"/>
      <c r="C2318" s="63"/>
      <c r="D2318" s="63"/>
      <c r="E2318" s="63"/>
      <c r="F2318" s="63"/>
      <c r="G2318" s="63"/>
      <c r="I2318" s="302" t="s">
        <v>796</v>
      </c>
      <c r="J2318" s="302"/>
      <c r="K2318" s="184"/>
      <c r="L2318" s="203"/>
      <c r="M2318" s="203"/>
      <c r="N2318" s="203"/>
      <c r="O2318" s="203"/>
      <c r="P2318" s="203"/>
      <c r="Q2318" s="203"/>
      <c r="R2318" s="203"/>
      <c r="S2318" s="203"/>
    </row>
    <row r="2319" spans="1:19">
      <c r="A2319" s="63"/>
      <c r="B2319" s="63"/>
      <c r="C2319" s="63"/>
      <c r="D2319" s="63"/>
      <c r="E2319" s="63"/>
      <c r="F2319" s="63"/>
      <c r="G2319" s="63"/>
      <c r="I2319" s="302" t="s">
        <v>797</v>
      </c>
      <c r="J2319" s="302"/>
      <c r="K2319" s="184"/>
      <c r="L2319" s="203"/>
      <c r="M2319" s="203"/>
      <c r="N2319" s="203"/>
      <c r="O2319" s="203"/>
      <c r="P2319" s="203"/>
      <c r="Q2319" s="203"/>
      <c r="R2319" s="203"/>
      <c r="S2319" s="203"/>
    </row>
    <row r="2320" spans="1:19">
      <c r="A2320" s="63"/>
      <c r="B2320" s="63"/>
      <c r="C2320" s="63"/>
      <c r="D2320" s="63"/>
      <c r="E2320" s="63"/>
      <c r="F2320" s="63"/>
      <c r="G2320" s="63"/>
      <c r="I2320" s="303" t="s">
        <v>798</v>
      </c>
      <c r="J2320" s="303"/>
      <c r="K2320" s="184"/>
      <c r="L2320" s="185"/>
      <c r="M2320" s="185"/>
      <c r="N2320" s="185"/>
      <c r="O2320" s="185"/>
      <c r="P2320" s="204"/>
      <c r="Q2320" s="204"/>
      <c r="R2320" s="204"/>
      <c r="S2320" s="204"/>
    </row>
    <row r="2321" spans="1:19">
      <c r="A2321" s="3" t="s">
        <v>801</v>
      </c>
      <c r="B2321" s="201" t="s">
        <v>802</v>
      </c>
      <c r="C2321" s="201" t="s">
        <v>803</v>
      </c>
      <c r="D2321" s="201" t="s">
        <v>119</v>
      </c>
      <c r="E2321" s="201" t="s">
        <v>148</v>
      </c>
      <c r="F2321" s="201" t="s">
        <v>806</v>
      </c>
      <c r="G2321" s="201" t="s">
        <v>81</v>
      </c>
      <c r="I2321" s="187"/>
      <c r="J2321" s="187"/>
      <c r="K2321" s="187"/>
      <c r="L2321" s="188"/>
      <c r="M2321" s="188"/>
      <c r="N2321" s="188"/>
      <c r="O2321" s="188"/>
      <c r="P2321" s="187"/>
      <c r="Q2321" s="187"/>
      <c r="R2321" s="187"/>
      <c r="S2321" s="187"/>
    </row>
    <row r="2322" spans="1:19">
      <c r="A2322" s="293">
        <v>44155</v>
      </c>
      <c r="B2322" s="161"/>
      <c r="C2322" s="162"/>
      <c r="D2322" s="162"/>
      <c r="E2322" s="162"/>
      <c r="F2322" s="162"/>
      <c r="G2322" s="163"/>
      <c r="I2322" s="191"/>
      <c r="J2322" s="190"/>
      <c r="K2322" s="190"/>
      <c r="L2322" s="190"/>
      <c r="M2322" s="190">
        <v>44155</v>
      </c>
      <c r="N2322" s="189" t="s">
        <v>864</v>
      </c>
      <c r="O2322" s="189"/>
      <c r="P2322" s="189"/>
      <c r="Q2322" s="189"/>
      <c r="R2322" s="189"/>
      <c r="S2322" s="189"/>
    </row>
    <row r="2323" spans="1:19">
      <c r="A2323" s="294"/>
      <c r="B2323" s="164"/>
      <c r="C2323" s="165"/>
      <c r="D2323" s="165"/>
      <c r="E2323" s="165"/>
      <c r="F2323" s="165"/>
      <c r="G2323" s="166"/>
      <c r="I2323" s="304"/>
      <c r="J2323" s="304"/>
      <c r="K2323" s="167"/>
      <c r="L2323" s="168"/>
      <c r="M2323" s="168"/>
      <c r="N2323" s="168"/>
      <c r="O2323" s="169"/>
      <c r="P2323" s="169"/>
      <c r="Q2323" s="169"/>
      <c r="R2323" s="161"/>
      <c r="S2323" s="161"/>
    </row>
    <row r="2324" spans="1:19">
      <c r="A2324" s="294"/>
      <c r="B2324" s="161"/>
      <c r="C2324" s="162"/>
      <c r="D2324" s="162"/>
      <c r="E2324" s="162"/>
      <c r="F2324" s="162"/>
      <c r="G2324" s="163"/>
      <c r="I2324" s="295" t="s">
        <v>782</v>
      </c>
      <c r="J2324" s="296"/>
      <c r="K2324" s="170"/>
      <c r="L2324" s="171"/>
      <c r="M2324" s="50"/>
      <c r="N2324" s="171"/>
      <c r="O2324" s="202"/>
      <c r="P2324" s="202"/>
      <c r="Q2324" s="202"/>
      <c r="R2324" s="162"/>
      <c r="S2324" s="162"/>
    </row>
    <row r="2325" spans="1:19">
      <c r="A2325" s="294"/>
      <c r="B2325" s="164"/>
      <c r="C2325" s="165"/>
      <c r="D2325" s="165"/>
      <c r="E2325" s="165"/>
      <c r="F2325" s="165"/>
      <c r="G2325" s="166"/>
      <c r="I2325" s="295" t="s">
        <v>783</v>
      </c>
      <c r="J2325" s="295"/>
      <c r="K2325" s="170"/>
      <c r="L2325" s="171"/>
      <c r="M2325" s="50"/>
      <c r="N2325" s="171"/>
      <c r="O2325" s="202"/>
      <c r="P2325" s="202"/>
      <c r="Q2325" s="202"/>
      <c r="R2325" s="162"/>
      <c r="S2325" s="162"/>
    </row>
    <row r="2326" spans="1:19">
      <c r="A2326" s="294"/>
      <c r="B2326" s="161"/>
      <c r="C2326" s="162"/>
      <c r="D2326" s="162"/>
      <c r="E2326" s="162"/>
      <c r="F2326" s="162"/>
      <c r="G2326" s="163"/>
      <c r="I2326" s="295" t="s">
        <v>784</v>
      </c>
      <c r="J2326" s="295"/>
      <c r="K2326" s="170"/>
      <c r="L2326" s="171"/>
      <c r="M2326" s="50"/>
      <c r="N2326" s="171"/>
      <c r="O2326" s="202"/>
      <c r="P2326" s="202"/>
      <c r="Q2326" s="202"/>
      <c r="R2326" s="162"/>
      <c r="S2326" s="162"/>
    </row>
    <row r="2327" spans="1:19">
      <c r="A2327" s="294"/>
      <c r="B2327" s="164"/>
      <c r="C2327" s="165"/>
      <c r="D2327" s="165"/>
      <c r="E2327" s="165"/>
      <c r="F2327" s="165"/>
      <c r="G2327" s="166"/>
      <c r="I2327" s="295" t="s">
        <v>785</v>
      </c>
      <c r="J2327" s="295"/>
      <c r="K2327" s="170"/>
      <c r="L2327" s="171"/>
      <c r="M2327" s="50"/>
      <c r="N2327" s="171"/>
      <c r="O2327" s="202"/>
      <c r="P2327" s="202"/>
      <c r="Q2327" s="202"/>
      <c r="R2327" s="162"/>
      <c r="S2327" s="162"/>
    </row>
    <row r="2328" spans="1:19">
      <c r="A2328" s="294"/>
      <c r="B2328" s="161"/>
      <c r="C2328" s="162"/>
      <c r="D2328" s="162"/>
      <c r="E2328" s="162"/>
      <c r="F2328" s="162"/>
      <c r="G2328" s="163"/>
      <c r="I2328" s="295" t="s">
        <v>786</v>
      </c>
      <c r="J2328" s="295"/>
      <c r="K2328" s="170"/>
      <c r="L2328" s="171"/>
      <c r="M2328" s="50"/>
      <c r="N2328" s="171"/>
      <c r="O2328" s="202"/>
      <c r="P2328" s="202"/>
      <c r="Q2328" s="202"/>
      <c r="R2328" s="162"/>
      <c r="S2328" s="162"/>
    </row>
    <row r="2329" spans="1:19">
      <c r="A2329" s="294"/>
      <c r="B2329" s="164"/>
      <c r="C2329" s="165"/>
      <c r="D2329" s="165"/>
      <c r="E2329" s="165"/>
      <c r="F2329" s="165"/>
      <c r="G2329" s="166"/>
      <c r="I2329" s="295" t="s">
        <v>787</v>
      </c>
      <c r="J2329" s="295"/>
      <c r="K2329" s="170"/>
      <c r="L2329" s="171"/>
      <c r="M2329" s="50"/>
      <c r="N2329" s="171"/>
      <c r="O2329" s="202"/>
      <c r="P2329" s="202"/>
      <c r="Q2329" s="202"/>
      <c r="R2329" s="162"/>
      <c r="S2329" s="162"/>
    </row>
    <row r="2330" spans="1:19">
      <c r="A2330" s="294"/>
      <c r="B2330" s="161"/>
      <c r="C2330" s="162"/>
      <c r="D2330" s="162"/>
      <c r="E2330" s="162"/>
      <c r="F2330" s="162"/>
      <c r="G2330" s="163"/>
      <c r="I2330" s="295" t="s">
        <v>788</v>
      </c>
      <c r="J2330" s="295"/>
      <c r="K2330" s="170"/>
      <c r="L2330" s="171"/>
      <c r="M2330" s="50"/>
      <c r="N2330" s="171"/>
      <c r="O2330" s="202"/>
      <c r="P2330" s="202"/>
      <c r="Q2330" s="202"/>
      <c r="R2330" s="162"/>
      <c r="S2330" s="162"/>
    </row>
    <row r="2331" spans="1:19">
      <c r="A2331" s="294"/>
      <c r="B2331" s="164"/>
      <c r="C2331" s="165"/>
      <c r="D2331" s="165"/>
      <c r="E2331" s="165"/>
      <c r="F2331" s="165"/>
      <c r="G2331" s="166"/>
      <c r="I2331" s="295" t="s">
        <v>789</v>
      </c>
      <c r="J2331" s="295"/>
      <c r="K2331" s="170"/>
      <c r="L2331" s="171"/>
      <c r="M2331" s="50"/>
      <c r="N2331" s="171"/>
      <c r="O2331" s="202"/>
      <c r="P2331" s="202"/>
      <c r="Q2331" s="202"/>
      <c r="R2331" s="162"/>
      <c r="S2331" s="162"/>
    </row>
    <row r="2332" spans="1:19">
      <c r="A2332" s="63"/>
      <c r="B2332" s="63"/>
      <c r="C2332" s="63"/>
      <c r="D2332" s="63"/>
      <c r="E2332" s="63"/>
      <c r="F2332" s="63"/>
      <c r="G2332" s="63"/>
      <c r="I2332" s="295" t="s">
        <v>790</v>
      </c>
      <c r="J2332" s="295"/>
      <c r="K2332" s="170"/>
      <c r="L2332" s="171"/>
      <c r="M2332" s="50"/>
      <c r="N2332" s="171"/>
      <c r="O2332" s="202"/>
      <c r="P2332" s="202"/>
      <c r="Q2332" s="202"/>
      <c r="R2332" s="162"/>
      <c r="S2332" s="162"/>
    </row>
    <row r="2333" spans="1:19">
      <c r="A2333" s="63"/>
      <c r="B2333" s="63"/>
      <c r="C2333" s="63"/>
      <c r="D2333" s="63"/>
      <c r="E2333" s="63"/>
      <c r="F2333" s="63"/>
      <c r="G2333" s="63"/>
      <c r="I2333" s="295" t="s">
        <v>791</v>
      </c>
      <c r="J2333" s="295"/>
      <c r="K2333" s="170"/>
      <c r="L2333" s="171"/>
      <c r="M2333" s="50"/>
      <c r="N2333" s="171"/>
      <c r="O2333" s="202"/>
      <c r="P2333" s="202"/>
      <c r="Q2333" s="202"/>
      <c r="R2333" s="162"/>
      <c r="S2333" s="162"/>
    </row>
    <row r="2334" spans="1:19">
      <c r="A2334" s="63"/>
      <c r="B2334" s="63"/>
      <c r="C2334" s="63"/>
      <c r="D2334" s="63"/>
      <c r="E2334" s="63"/>
      <c r="F2334" s="63"/>
      <c r="G2334" s="63"/>
      <c r="I2334" s="296" t="s">
        <v>792</v>
      </c>
      <c r="J2334" s="296"/>
      <c r="K2334" s="170"/>
      <c r="L2334" s="171"/>
      <c r="M2334" s="50"/>
      <c r="N2334" s="171"/>
      <c r="O2334" s="202"/>
      <c r="P2334" s="202"/>
      <c r="Q2334" s="202"/>
      <c r="R2334" s="162"/>
      <c r="S2334" s="162"/>
    </row>
    <row r="2335" spans="1:19" ht="17.25" thickBot="1">
      <c r="A2335" s="63"/>
      <c r="B2335" s="63"/>
      <c r="C2335" s="63"/>
      <c r="D2335" s="63"/>
      <c r="E2335" s="63"/>
      <c r="F2335" s="63"/>
      <c r="G2335" s="63"/>
      <c r="I2335" s="297" t="s">
        <v>793</v>
      </c>
      <c r="J2335" s="297"/>
      <c r="K2335" s="172">
        <f t="shared" ref="K2335:S2335" si="1079">SUM(K2324:K2334)</f>
        <v>0</v>
      </c>
      <c r="L2335" s="205">
        <f t="shared" si="1079"/>
        <v>0</v>
      </c>
      <c r="M2335" s="205">
        <f t="shared" si="1079"/>
        <v>0</v>
      </c>
      <c r="N2335" s="205">
        <f t="shared" si="1079"/>
        <v>0</v>
      </c>
      <c r="O2335" s="174">
        <f t="shared" si="1079"/>
        <v>0</v>
      </c>
      <c r="P2335" s="174">
        <f t="shared" si="1079"/>
        <v>0</v>
      </c>
      <c r="Q2335" s="174">
        <f t="shared" si="1079"/>
        <v>0</v>
      </c>
      <c r="R2335" s="175">
        <f t="shared" si="1079"/>
        <v>0</v>
      </c>
      <c r="S2335" s="175">
        <f t="shared" si="1079"/>
        <v>0</v>
      </c>
    </row>
    <row r="2336" spans="1:19" ht="17.25" thickBot="1">
      <c r="A2336" s="63"/>
      <c r="B2336" s="63"/>
      <c r="C2336" s="63"/>
      <c r="D2336" s="63"/>
      <c r="E2336" s="63"/>
      <c r="F2336" s="63"/>
      <c r="G2336" s="63"/>
      <c r="I2336" s="298" t="s">
        <v>794</v>
      </c>
      <c r="J2336" s="299"/>
      <c r="K2336" s="176">
        <f t="shared" ref="K2336" si="1080">S2315-K2335</f>
        <v>0</v>
      </c>
      <c r="L2336" s="177">
        <f t="shared" ref="L2336" si="1081">K2335-L2335</f>
        <v>0</v>
      </c>
      <c r="M2336" s="177">
        <f t="shared" ref="M2336" si="1082">K2335-M2335</f>
        <v>0</v>
      </c>
      <c r="N2336" s="177">
        <f t="shared" ref="N2336" si="1083">K2335-N2335</f>
        <v>0</v>
      </c>
      <c r="O2336" s="178">
        <f t="shared" ref="O2336" si="1084">K2335-O2335</f>
        <v>0</v>
      </c>
      <c r="P2336" s="178">
        <f t="shared" ref="P2336" si="1085">K2335-P2335</f>
        <v>0</v>
      </c>
      <c r="Q2336" s="178">
        <f t="shared" ref="Q2336" si="1086">K2335-Q2335</f>
        <v>0</v>
      </c>
      <c r="R2336" s="179">
        <f t="shared" ref="R2336" si="1087">K2335-R2335</f>
        <v>0</v>
      </c>
      <c r="S2336" s="180">
        <f t="shared" ref="S2336" si="1088">L2335-S2335</f>
        <v>0</v>
      </c>
    </row>
    <row r="2337" spans="1:19">
      <c r="A2337" s="63"/>
      <c r="B2337" s="63"/>
      <c r="C2337" s="63"/>
      <c r="D2337" s="63"/>
      <c r="E2337" s="63"/>
      <c r="F2337" s="63"/>
      <c r="G2337" s="63"/>
      <c r="I2337" s="300" t="s">
        <v>795</v>
      </c>
      <c r="J2337" s="301"/>
      <c r="K2337" s="181"/>
      <c r="L2337" s="182"/>
      <c r="M2337" s="182"/>
      <c r="N2337" s="182"/>
      <c r="O2337" s="183"/>
      <c r="P2337" s="182"/>
      <c r="Q2337" s="182"/>
      <c r="R2337" s="182"/>
      <c r="S2337" s="182"/>
    </row>
    <row r="2338" spans="1:19">
      <c r="A2338" s="63"/>
      <c r="B2338" s="63"/>
      <c r="C2338" s="63"/>
      <c r="D2338" s="63"/>
      <c r="E2338" s="63"/>
      <c r="F2338" s="63"/>
      <c r="G2338" s="63"/>
      <c r="I2338" s="302" t="s">
        <v>796</v>
      </c>
      <c r="J2338" s="302"/>
      <c r="K2338" s="184"/>
      <c r="L2338" s="203"/>
      <c r="M2338" s="203"/>
      <c r="N2338" s="203"/>
      <c r="O2338" s="203"/>
      <c r="P2338" s="203"/>
      <c r="Q2338" s="203"/>
      <c r="R2338" s="203"/>
      <c r="S2338" s="203"/>
    </row>
    <row r="2339" spans="1:19">
      <c r="A2339" s="63"/>
      <c r="B2339" s="63"/>
      <c r="C2339" s="63"/>
      <c r="D2339" s="63"/>
      <c r="E2339" s="63"/>
      <c r="F2339" s="63"/>
      <c r="G2339" s="63"/>
      <c r="I2339" s="302" t="s">
        <v>797</v>
      </c>
      <c r="J2339" s="302"/>
      <c r="K2339" s="184"/>
      <c r="L2339" s="203"/>
      <c r="M2339" s="203"/>
      <c r="N2339" s="203"/>
      <c r="O2339" s="203"/>
      <c r="P2339" s="203"/>
      <c r="Q2339" s="203"/>
      <c r="R2339" s="203"/>
      <c r="S2339" s="203"/>
    </row>
    <row r="2340" spans="1:19">
      <c r="A2340" s="63"/>
      <c r="B2340" s="63"/>
      <c r="C2340" s="63"/>
      <c r="D2340" s="63"/>
      <c r="E2340" s="63"/>
      <c r="F2340" s="63"/>
      <c r="G2340" s="63"/>
      <c r="I2340" s="303" t="s">
        <v>798</v>
      </c>
      <c r="J2340" s="303"/>
      <c r="K2340" s="184"/>
      <c r="L2340" s="185"/>
      <c r="M2340" s="185"/>
      <c r="N2340" s="185"/>
      <c r="O2340" s="185"/>
      <c r="P2340" s="204"/>
      <c r="Q2340" s="204"/>
      <c r="R2340" s="204"/>
      <c r="S2340" s="204"/>
    </row>
    <row r="2341" spans="1:19">
      <c r="A2341" s="3" t="s">
        <v>801</v>
      </c>
      <c r="B2341" s="201" t="s">
        <v>802</v>
      </c>
      <c r="C2341" s="201" t="s">
        <v>803</v>
      </c>
      <c r="D2341" s="201" t="s">
        <v>119</v>
      </c>
      <c r="E2341" s="201" t="s">
        <v>148</v>
      </c>
      <c r="F2341" s="201" t="s">
        <v>806</v>
      </c>
      <c r="G2341" s="201" t="s">
        <v>81</v>
      </c>
      <c r="I2341" s="187"/>
      <c r="J2341" s="187"/>
      <c r="K2341" s="187"/>
      <c r="L2341" s="188"/>
      <c r="M2341" s="188"/>
      <c r="N2341" s="188"/>
      <c r="O2341" s="188"/>
      <c r="P2341" s="187"/>
      <c r="Q2341" s="187"/>
      <c r="R2341" s="187"/>
      <c r="S2341" s="187"/>
    </row>
    <row r="2342" spans="1:19">
      <c r="A2342" s="293">
        <v>44156</v>
      </c>
      <c r="B2342" s="161"/>
      <c r="C2342" s="162"/>
      <c r="D2342" s="162"/>
      <c r="E2342" s="162"/>
      <c r="F2342" s="162"/>
      <c r="G2342" s="163"/>
      <c r="I2342" s="191"/>
      <c r="J2342" s="190"/>
      <c r="K2342" s="190"/>
      <c r="L2342" s="190"/>
      <c r="M2342" s="190">
        <v>44156</v>
      </c>
      <c r="N2342" s="189" t="s">
        <v>864</v>
      </c>
      <c r="O2342" s="189"/>
      <c r="P2342" s="189"/>
      <c r="Q2342" s="189"/>
      <c r="R2342" s="189"/>
      <c r="S2342" s="189"/>
    </row>
    <row r="2343" spans="1:19">
      <c r="A2343" s="294"/>
      <c r="B2343" s="164"/>
      <c r="C2343" s="165"/>
      <c r="D2343" s="165"/>
      <c r="E2343" s="165"/>
      <c r="F2343" s="165"/>
      <c r="G2343" s="166"/>
      <c r="I2343" s="304"/>
      <c r="J2343" s="304"/>
      <c r="K2343" s="167"/>
      <c r="L2343" s="168"/>
      <c r="M2343" s="168"/>
      <c r="N2343" s="168"/>
      <c r="O2343" s="169"/>
      <c r="P2343" s="169"/>
      <c r="Q2343" s="169"/>
      <c r="R2343" s="161"/>
      <c r="S2343" s="161"/>
    </row>
    <row r="2344" spans="1:19">
      <c r="A2344" s="294"/>
      <c r="B2344" s="161"/>
      <c r="C2344" s="162"/>
      <c r="D2344" s="162"/>
      <c r="E2344" s="162"/>
      <c r="F2344" s="162"/>
      <c r="G2344" s="163"/>
      <c r="I2344" s="295" t="s">
        <v>782</v>
      </c>
      <c r="J2344" s="296"/>
      <c r="K2344" s="170"/>
      <c r="L2344" s="171"/>
      <c r="M2344" s="50"/>
      <c r="N2344" s="171"/>
      <c r="O2344" s="202"/>
      <c r="P2344" s="202"/>
      <c r="Q2344" s="202"/>
      <c r="R2344" s="162"/>
      <c r="S2344" s="162"/>
    </row>
    <row r="2345" spans="1:19">
      <c r="A2345" s="294"/>
      <c r="B2345" s="164"/>
      <c r="C2345" s="165"/>
      <c r="D2345" s="165"/>
      <c r="E2345" s="165"/>
      <c r="F2345" s="165"/>
      <c r="G2345" s="166"/>
      <c r="I2345" s="295" t="s">
        <v>783</v>
      </c>
      <c r="J2345" s="295"/>
      <c r="K2345" s="170"/>
      <c r="L2345" s="171"/>
      <c r="M2345" s="50"/>
      <c r="N2345" s="171"/>
      <c r="O2345" s="202"/>
      <c r="P2345" s="202"/>
      <c r="Q2345" s="202"/>
      <c r="R2345" s="162"/>
      <c r="S2345" s="162"/>
    </row>
    <row r="2346" spans="1:19">
      <c r="A2346" s="294"/>
      <c r="B2346" s="161"/>
      <c r="C2346" s="162"/>
      <c r="D2346" s="162"/>
      <c r="E2346" s="162"/>
      <c r="F2346" s="162"/>
      <c r="G2346" s="163"/>
      <c r="I2346" s="295" t="s">
        <v>784</v>
      </c>
      <c r="J2346" s="295"/>
      <c r="K2346" s="170"/>
      <c r="L2346" s="171"/>
      <c r="M2346" s="50"/>
      <c r="N2346" s="171"/>
      <c r="O2346" s="202"/>
      <c r="P2346" s="202"/>
      <c r="Q2346" s="202"/>
      <c r="R2346" s="162"/>
      <c r="S2346" s="162"/>
    </row>
    <row r="2347" spans="1:19">
      <c r="A2347" s="294"/>
      <c r="B2347" s="164"/>
      <c r="C2347" s="165"/>
      <c r="D2347" s="165"/>
      <c r="E2347" s="165"/>
      <c r="F2347" s="165"/>
      <c r="G2347" s="166"/>
      <c r="I2347" s="295" t="s">
        <v>785</v>
      </c>
      <c r="J2347" s="295"/>
      <c r="K2347" s="170"/>
      <c r="L2347" s="171"/>
      <c r="M2347" s="50"/>
      <c r="N2347" s="171"/>
      <c r="O2347" s="202"/>
      <c r="P2347" s="202"/>
      <c r="Q2347" s="202"/>
      <c r="R2347" s="162"/>
      <c r="S2347" s="162"/>
    </row>
    <row r="2348" spans="1:19">
      <c r="A2348" s="294"/>
      <c r="B2348" s="161"/>
      <c r="C2348" s="162"/>
      <c r="D2348" s="162"/>
      <c r="E2348" s="162"/>
      <c r="F2348" s="162"/>
      <c r="G2348" s="163"/>
      <c r="I2348" s="295" t="s">
        <v>786</v>
      </c>
      <c r="J2348" s="295"/>
      <c r="K2348" s="170"/>
      <c r="L2348" s="171"/>
      <c r="M2348" s="50"/>
      <c r="N2348" s="171"/>
      <c r="O2348" s="202"/>
      <c r="P2348" s="202"/>
      <c r="Q2348" s="202"/>
      <c r="R2348" s="162"/>
      <c r="S2348" s="162"/>
    </row>
    <row r="2349" spans="1:19">
      <c r="A2349" s="294"/>
      <c r="B2349" s="164"/>
      <c r="C2349" s="165"/>
      <c r="D2349" s="165"/>
      <c r="E2349" s="165"/>
      <c r="F2349" s="165"/>
      <c r="G2349" s="166"/>
      <c r="I2349" s="295" t="s">
        <v>787</v>
      </c>
      <c r="J2349" s="295"/>
      <c r="K2349" s="170"/>
      <c r="L2349" s="171"/>
      <c r="M2349" s="50"/>
      <c r="N2349" s="171"/>
      <c r="O2349" s="202"/>
      <c r="P2349" s="202"/>
      <c r="Q2349" s="202"/>
      <c r="R2349" s="162"/>
      <c r="S2349" s="162"/>
    </row>
    <row r="2350" spans="1:19">
      <c r="A2350" s="294"/>
      <c r="B2350" s="161"/>
      <c r="C2350" s="162"/>
      <c r="D2350" s="162"/>
      <c r="E2350" s="162"/>
      <c r="F2350" s="162"/>
      <c r="G2350" s="163"/>
      <c r="I2350" s="295" t="s">
        <v>788</v>
      </c>
      <c r="J2350" s="295"/>
      <c r="K2350" s="170"/>
      <c r="L2350" s="171"/>
      <c r="M2350" s="50"/>
      <c r="N2350" s="171"/>
      <c r="O2350" s="202"/>
      <c r="P2350" s="202"/>
      <c r="Q2350" s="202"/>
      <c r="R2350" s="162"/>
      <c r="S2350" s="162"/>
    </row>
    <row r="2351" spans="1:19">
      <c r="A2351" s="294"/>
      <c r="B2351" s="164"/>
      <c r="C2351" s="165"/>
      <c r="D2351" s="165"/>
      <c r="E2351" s="165"/>
      <c r="F2351" s="165"/>
      <c r="G2351" s="166"/>
      <c r="I2351" s="295" t="s">
        <v>789</v>
      </c>
      <c r="J2351" s="295"/>
      <c r="K2351" s="170"/>
      <c r="L2351" s="171"/>
      <c r="M2351" s="50"/>
      <c r="N2351" s="171"/>
      <c r="O2351" s="202"/>
      <c r="P2351" s="202"/>
      <c r="Q2351" s="202"/>
      <c r="R2351" s="162"/>
      <c r="S2351" s="162"/>
    </row>
    <row r="2352" spans="1:19">
      <c r="A2352" s="63"/>
      <c r="B2352" s="63"/>
      <c r="C2352" s="63"/>
      <c r="D2352" s="63"/>
      <c r="E2352" s="63"/>
      <c r="F2352" s="63"/>
      <c r="G2352" s="63"/>
      <c r="I2352" s="295" t="s">
        <v>790</v>
      </c>
      <c r="J2352" s="295"/>
      <c r="K2352" s="170"/>
      <c r="L2352" s="171"/>
      <c r="M2352" s="50"/>
      <c r="N2352" s="171"/>
      <c r="O2352" s="202"/>
      <c r="P2352" s="202"/>
      <c r="Q2352" s="202"/>
      <c r="R2352" s="162"/>
      <c r="S2352" s="162"/>
    </row>
    <row r="2353" spans="1:19">
      <c r="A2353" s="63"/>
      <c r="B2353" s="63"/>
      <c r="C2353" s="63"/>
      <c r="D2353" s="63"/>
      <c r="E2353" s="63"/>
      <c r="F2353" s="63"/>
      <c r="G2353" s="63"/>
      <c r="I2353" s="295" t="s">
        <v>791</v>
      </c>
      <c r="J2353" s="295"/>
      <c r="K2353" s="170"/>
      <c r="L2353" s="171"/>
      <c r="M2353" s="50"/>
      <c r="N2353" s="171"/>
      <c r="O2353" s="202"/>
      <c r="P2353" s="202"/>
      <c r="Q2353" s="202"/>
      <c r="R2353" s="162"/>
      <c r="S2353" s="162"/>
    </row>
    <row r="2354" spans="1:19">
      <c r="A2354" s="63"/>
      <c r="B2354" s="63"/>
      <c r="C2354" s="63"/>
      <c r="D2354" s="63"/>
      <c r="E2354" s="63"/>
      <c r="F2354" s="63"/>
      <c r="G2354" s="63"/>
      <c r="I2354" s="296" t="s">
        <v>792</v>
      </c>
      <c r="J2354" s="296"/>
      <c r="K2354" s="170"/>
      <c r="L2354" s="171"/>
      <c r="M2354" s="50"/>
      <c r="N2354" s="171"/>
      <c r="O2354" s="202"/>
      <c r="P2354" s="202"/>
      <c r="Q2354" s="202"/>
      <c r="R2354" s="162"/>
      <c r="S2354" s="162"/>
    </row>
    <row r="2355" spans="1:19" ht="17.25" thickBot="1">
      <c r="A2355" s="63"/>
      <c r="B2355" s="63"/>
      <c r="C2355" s="63"/>
      <c r="D2355" s="63"/>
      <c r="E2355" s="63"/>
      <c r="F2355" s="63"/>
      <c r="G2355" s="63"/>
      <c r="I2355" s="297" t="s">
        <v>793</v>
      </c>
      <c r="J2355" s="297"/>
      <c r="K2355" s="172">
        <f t="shared" ref="K2355:S2355" si="1089">SUM(K2344:K2354)</f>
        <v>0</v>
      </c>
      <c r="L2355" s="205">
        <f t="shared" si="1089"/>
        <v>0</v>
      </c>
      <c r="M2355" s="205">
        <f t="shared" si="1089"/>
        <v>0</v>
      </c>
      <c r="N2355" s="205">
        <f t="shared" si="1089"/>
        <v>0</v>
      </c>
      <c r="O2355" s="174">
        <f t="shared" si="1089"/>
        <v>0</v>
      </c>
      <c r="P2355" s="174">
        <f t="shared" si="1089"/>
        <v>0</v>
      </c>
      <c r="Q2355" s="174">
        <f t="shared" si="1089"/>
        <v>0</v>
      </c>
      <c r="R2355" s="175">
        <f t="shared" si="1089"/>
        <v>0</v>
      </c>
      <c r="S2355" s="175">
        <f t="shared" si="1089"/>
        <v>0</v>
      </c>
    </row>
    <row r="2356" spans="1:19" ht="17.25" thickBot="1">
      <c r="A2356" s="63"/>
      <c r="B2356" s="63"/>
      <c r="C2356" s="63"/>
      <c r="D2356" s="63"/>
      <c r="E2356" s="63"/>
      <c r="F2356" s="63"/>
      <c r="G2356" s="63"/>
      <c r="I2356" s="298" t="s">
        <v>794</v>
      </c>
      <c r="J2356" s="299"/>
      <c r="K2356" s="176">
        <f t="shared" ref="K2356" si="1090">S2335-K2355</f>
        <v>0</v>
      </c>
      <c r="L2356" s="177">
        <f t="shared" ref="L2356" si="1091">K2355-L2355</f>
        <v>0</v>
      </c>
      <c r="M2356" s="177">
        <f t="shared" ref="M2356" si="1092">K2355-M2355</f>
        <v>0</v>
      </c>
      <c r="N2356" s="177">
        <f t="shared" ref="N2356" si="1093">K2355-N2355</f>
        <v>0</v>
      </c>
      <c r="O2356" s="178">
        <f t="shared" ref="O2356" si="1094">K2355-O2355</f>
        <v>0</v>
      </c>
      <c r="P2356" s="178">
        <f t="shared" ref="P2356" si="1095">K2355-P2355</f>
        <v>0</v>
      </c>
      <c r="Q2356" s="178">
        <f t="shared" ref="Q2356" si="1096">K2355-Q2355</f>
        <v>0</v>
      </c>
      <c r="R2356" s="179">
        <f t="shared" ref="R2356" si="1097">K2355-R2355</f>
        <v>0</v>
      </c>
      <c r="S2356" s="180">
        <f t="shared" ref="S2356" si="1098">L2355-S2355</f>
        <v>0</v>
      </c>
    </row>
    <row r="2357" spans="1:19">
      <c r="A2357" s="63"/>
      <c r="B2357" s="63"/>
      <c r="C2357" s="63"/>
      <c r="D2357" s="63"/>
      <c r="E2357" s="63"/>
      <c r="F2357" s="63"/>
      <c r="G2357" s="63"/>
      <c r="I2357" s="300" t="s">
        <v>795</v>
      </c>
      <c r="J2357" s="301"/>
      <c r="K2357" s="181"/>
      <c r="L2357" s="182"/>
      <c r="M2357" s="182"/>
      <c r="N2357" s="182"/>
      <c r="O2357" s="183"/>
      <c r="P2357" s="182"/>
      <c r="Q2357" s="182"/>
      <c r="R2357" s="182"/>
      <c r="S2357" s="182"/>
    </row>
    <row r="2358" spans="1:19">
      <c r="A2358" s="63"/>
      <c r="B2358" s="63"/>
      <c r="C2358" s="63"/>
      <c r="D2358" s="63"/>
      <c r="E2358" s="63"/>
      <c r="F2358" s="63"/>
      <c r="G2358" s="63"/>
      <c r="I2358" s="302" t="s">
        <v>796</v>
      </c>
      <c r="J2358" s="302"/>
      <c r="K2358" s="184"/>
      <c r="L2358" s="203"/>
      <c r="M2358" s="203"/>
      <c r="N2358" s="203"/>
      <c r="O2358" s="203"/>
      <c r="P2358" s="203"/>
      <c r="Q2358" s="203"/>
      <c r="R2358" s="203"/>
      <c r="S2358" s="203"/>
    </row>
    <row r="2359" spans="1:19">
      <c r="A2359" s="63"/>
      <c r="B2359" s="63"/>
      <c r="C2359" s="63"/>
      <c r="D2359" s="63"/>
      <c r="E2359" s="63"/>
      <c r="F2359" s="63"/>
      <c r="G2359" s="63"/>
      <c r="I2359" s="302" t="s">
        <v>797</v>
      </c>
      <c r="J2359" s="302"/>
      <c r="K2359" s="184"/>
      <c r="L2359" s="203"/>
      <c r="M2359" s="203"/>
      <c r="N2359" s="203"/>
      <c r="O2359" s="203"/>
      <c r="P2359" s="203"/>
      <c r="Q2359" s="203"/>
      <c r="R2359" s="203"/>
      <c r="S2359" s="203"/>
    </row>
    <row r="2360" spans="1:19">
      <c r="A2360" s="63"/>
      <c r="B2360" s="63"/>
      <c r="C2360" s="63"/>
      <c r="D2360" s="63"/>
      <c r="E2360" s="63"/>
      <c r="F2360" s="63"/>
      <c r="G2360" s="63"/>
      <c r="I2360" s="303" t="s">
        <v>798</v>
      </c>
      <c r="J2360" s="303"/>
      <c r="K2360" s="184"/>
      <c r="L2360" s="185"/>
      <c r="M2360" s="185"/>
      <c r="N2360" s="185"/>
      <c r="O2360" s="185"/>
      <c r="P2360" s="204"/>
      <c r="Q2360" s="204"/>
      <c r="R2360" s="204"/>
      <c r="S2360" s="204"/>
    </row>
    <row r="2361" spans="1:19">
      <c r="A2361" s="3" t="s">
        <v>801</v>
      </c>
      <c r="B2361" s="201" t="s">
        <v>802</v>
      </c>
      <c r="C2361" s="201" t="s">
        <v>803</v>
      </c>
      <c r="D2361" s="201" t="s">
        <v>119</v>
      </c>
      <c r="E2361" s="201" t="s">
        <v>148</v>
      </c>
      <c r="F2361" s="201" t="s">
        <v>806</v>
      </c>
      <c r="G2361" s="201" t="s">
        <v>81</v>
      </c>
      <c r="I2361" s="187"/>
      <c r="J2361" s="187"/>
      <c r="K2361" s="187"/>
      <c r="L2361" s="188"/>
      <c r="M2361" s="188"/>
      <c r="N2361" s="188"/>
      <c r="O2361" s="188"/>
      <c r="P2361" s="187"/>
      <c r="Q2361" s="187"/>
      <c r="R2361" s="187"/>
      <c r="S2361" s="187"/>
    </row>
    <row r="2362" spans="1:19">
      <c r="A2362" s="293">
        <v>44157</v>
      </c>
      <c r="B2362" s="161"/>
      <c r="C2362" s="162"/>
      <c r="D2362" s="162"/>
      <c r="E2362" s="162"/>
      <c r="F2362" s="162"/>
      <c r="G2362" s="163"/>
      <c r="I2362" s="191"/>
      <c r="J2362" s="190"/>
      <c r="K2362" s="190"/>
      <c r="L2362" s="190"/>
      <c r="M2362" s="190">
        <v>44157</v>
      </c>
      <c r="N2362" s="189" t="s">
        <v>864</v>
      </c>
      <c r="O2362" s="189"/>
      <c r="P2362" s="189"/>
      <c r="Q2362" s="189"/>
      <c r="R2362" s="189"/>
      <c r="S2362" s="189"/>
    </row>
    <row r="2363" spans="1:19">
      <c r="A2363" s="294"/>
      <c r="B2363" s="164"/>
      <c r="C2363" s="165"/>
      <c r="D2363" s="165"/>
      <c r="E2363" s="165"/>
      <c r="F2363" s="165"/>
      <c r="G2363" s="166"/>
      <c r="I2363" s="304"/>
      <c r="J2363" s="304"/>
      <c r="K2363" s="167"/>
      <c r="L2363" s="168"/>
      <c r="M2363" s="168"/>
      <c r="N2363" s="168"/>
      <c r="O2363" s="169"/>
      <c r="P2363" s="169"/>
      <c r="Q2363" s="169"/>
      <c r="R2363" s="161"/>
      <c r="S2363" s="161"/>
    </row>
    <row r="2364" spans="1:19">
      <c r="A2364" s="294"/>
      <c r="B2364" s="161"/>
      <c r="C2364" s="162"/>
      <c r="D2364" s="162"/>
      <c r="E2364" s="162"/>
      <c r="F2364" s="162"/>
      <c r="G2364" s="163"/>
      <c r="I2364" s="295" t="s">
        <v>782</v>
      </c>
      <c r="J2364" s="296"/>
      <c r="K2364" s="170"/>
      <c r="L2364" s="171"/>
      <c r="M2364" s="50"/>
      <c r="N2364" s="171"/>
      <c r="O2364" s="202"/>
      <c r="P2364" s="202"/>
      <c r="Q2364" s="202"/>
      <c r="R2364" s="162"/>
      <c r="S2364" s="162"/>
    </row>
    <row r="2365" spans="1:19">
      <c r="A2365" s="294"/>
      <c r="B2365" s="164"/>
      <c r="C2365" s="165"/>
      <c r="D2365" s="165"/>
      <c r="E2365" s="165"/>
      <c r="F2365" s="165"/>
      <c r="G2365" s="166"/>
      <c r="I2365" s="295" t="s">
        <v>783</v>
      </c>
      <c r="J2365" s="295"/>
      <c r="K2365" s="170"/>
      <c r="L2365" s="171"/>
      <c r="M2365" s="50"/>
      <c r="N2365" s="171"/>
      <c r="O2365" s="202"/>
      <c r="P2365" s="202"/>
      <c r="Q2365" s="202"/>
      <c r="R2365" s="162"/>
      <c r="S2365" s="162"/>
    </row>
    <row r="2366" spans="1:19">
      <c r="A2366" s="294"/>
      <c r="B2366" s="161"/>
      <c r="C2366" s="162"/>
      <c r="D2366" s="162"/>
      <c r="E2366" s="162"/>
      <c r="F2366" s="162"/>
      <c r="G2366" s="163"/>
      <c r="I2366" s="295" t="s">
        <v>784</v>
      </c>
      <c r="J2366" s="295"/>
      <c r="K2366" s="170"/>
      <c r="L2366" s="171"/>
      <c r="M2366" s="50"/>
      <c r="N2366" s="171"/>
      <c r="O2366" s="202"/>
      <c r="P2366" s="202"/>
      <c r="Q2366" s="202"/>
      <c r="R2366" s="162"/>
      <c r="S2366" s="162"/>
    </row>
    <row r="2367" spans="1:19">
      <c r="A2367" s="294"/>
      <c r="B2367" s="164"/>
      <c r="C2367" s="165"/>
      <c r="D2367" s="165"/>
      <c r="E2367" s="165"/>
      <c r="F2367" s="165"/>
      <c r="G2367" s="166"/>
      <c r="I2367" s="295" t="s">
        <v>785</v>
      </c>
      <c r="J2367" s="295"/>
      <c r="K2367" s="170"/>
      <c r="L2367" s="171"/>
      <c r="M2367" s="50"/>
      <c r="N2367" s="171"/>
      <c r="O2367" s="202"/>
      <c r="P2367" s="202"/>
      <c r="Q2367" s="202"/>
      <c r="R2367" s="162"/>
      <c r="S2367" s="162"/>
    </row>
    <row r="2368" spans="1:19">
      <c r="A2368" s="294"/>
      <c r="B2368" s="161"/>
      <c r="C2368" s="162"/>
      <c r="D2368" s="162"/>
      <c r="E2368" s="162"/>
      <c r="F2368" s="162"/>
      <c r="G2368" s="163"/>
      <c r="I2368" s="295" t="s">
        <v>786</v>
      </c>
      <c r="J2368" s="295"/>
      <c r="K2368" s="170"/>
      <c r="L2368" s="171"/>
      <c r="M2368" s="50"/>
      <c r="N2368" s="171"/>
      <c r="O2368" s="202"/>
      <c r="P2368" s="202"/>
      <c r="Q2368" s="202"/>
      <c r="R2368" s="162"/>
      <c r="S2368" s="162"/>
    </row>
    <row r="2369" spans="1:19">
      <c r="A2369" s="294"/>
      <c r="B2369" s="164"/>
      <c r="C2369" s="165"/>
      <c r="D2369" s="165"/>
      <c r="E2369" s="165"/>
      <c r="F2369" s="165"/>
      <c r="G2369" s="166"/>
      <c r="I2369" s="295" t="s">
        <v>787</v>
      </c>
      <c r="J2369" s="295"/>
      <c r="K2369" s="170"/>
      <c r="L2369" s="171"/>
      <c r="M2369" s="50"/>
      <c r="N2369" s="171"/>
      <c r="O2369" s="202"/>
      <c r="P2369" s="202"/>
      <c r="Q2369" s="202"/>
      <c r="R2369" s="162"/>
      <c r="S2369" s="162"/>
    </row>
    <row r="2370" spans="1:19">
      <c r="A2370" s="294"/>
      <c r="B2370" s="161"/>
      <c r="C2370" s="162"/>
      <c r="D2370" s="162"/>
      <c r="E2370" s="162"/>
      <c r="F2370" s="162"/>
      <c r="G2370" s="163"/>
      <c r="I2370" s="295" t="s">
        <v>788</v>
      </c>
      <c r="J2370" s="295"/>
      <c r="K2370" s="170"/>
      <c r="L2370" s="171"/>
      <c r="M2370" s="50"/>
      <c r="N2370" s="171"/>
      <c r="O2370" s="202"/>
      <c r="P2370" s="202"/>
      <c r="Q2370" s="202"/>
      <c r="R2370" s="162"/>
      <c r="S2370" s="162"/>
    </row>
    <row r="2371" spans="1:19">
      <c r="A2371" s="294"/>
      <c r="B2371" s="164"/>
      <c r="C2371" s="165"/>
      <c r="D2371" s="165"/>
      <c r="E2371" s="165"/>
      <c r="F2371" s="165"/>
      <c r="G2371" s="166"/>
      <c r="I2371" s="295" t="s">
        <v>789</v>
      </c>
      <c r="J2371" s="295"/>
      <c r="K2371" s="170"/>
      <c r="L2371" s="171"/>
      <c r="M2371" s="50"/>
      <c r="N2371" s="171"/>
      <c r="O2371" s="202"/>
      <c r="P2371" s="202"/>
      <c r="Q2371" s="202"/>
      <c r="R2371" s="162"/>
      <c r="S2371" s="162"/>
    </row>
    <row r="2372" spans="1:19">
      <c r="A2372" s="63"/>
      <c r="B2372" s="63"/>
      <c r="C2372" s="63"/>
      <c r="D2372" s="63"/>
      <c r="E2372" s="63"/>
      <c r="F2372" s="63"/>
      <c r="G2372" s="63"/>
      <c r="I2372" s="295" t="s">
        <v>790</v>
      </c>
      <c r="J2372" s="295"/>
      <c r="K2372" s="170"/>
      <c r="L2372" s="171"/>
      <c r="M2372" s="50"/>
      <c r="N2372" s="171"/>
      <c r="O2372" s="202"/>
      <c r="P2372" s="202"/>
      <c r="Q2372" s="202"/>
      <c r="R2372" s="162"/>
      <c r="S2372" s="162"/>
    </row>
    <row r="2373" spans="1:19">
      <c r="A2373" s="63"/>
      <c r="B2373" s="63"/>
      <c r="C2373" s="63"/>
      <c r="D2373" s="63"/>
      <c r="E2373" s="63"/>
      <c r="F2373" s="63"/>
      <c r="G2373" s="63"/>
      <c r="I2373" s="295" t="s">
        <v>791</v>
      </c>
      <c r="J2373" s="295"/>
      <c r="K2373" s="170"/>
      <c r="L2373" s="171"/>
      <c r="M2373" s="50"/>
      <c r="N2373" s="171"/>
      <c r="O2373" s="202"/>
      <c r="P2373" s="202"/>
      <c r="Q2373" s="202"/>
      <c r="R2373" s="162"/>
      <c r="S2373" s="162"/>
    </row>
    <row r="2374" spans="1:19">
      <c r="A2374" s="63"/>
      <c r="B2374" s="63"/>
      <c r="C2374" s="63"/>
      <c r="D2374" s="63"/>
      <c r="E2374" s="63"/>
      <c r="F2374" s="63"/>
      <c r="G2374" s="63"/>
      <c r="I2374" s="296" t="s">
        <v>792</v>
      </c>
      <c r="J2374" s="296"/>
      <c r="K2374" s="170"/>
      <c r="L2374" s="171"/>
      <c r="M2374" s="50"/>
      <c r="N2374" s="171"/>
      <c r="O2374" s="202"/>
      <c r="P2374" s="202"/>
      <c r="Q2374" s="202"/>
      <c r="R2374" s="162"/>
      <c r="S2374" s="162"/>
    </row>
    <row r="2375" spans="1:19" ht="17.25" thickBot="1">
      <c r="A2375" s="63"/>
      <c r="B2375" s="63"/>
      <c r="C2375" s="63"/>
      <c r="D2375" s="63"/>
      <c r="E2375" s="63"/>
      <c r="F2375" s="63"/>
      <c r="G2375" s="63"/>
      <c r="I2375" s="297" t="s">
        <v>793</v>
      </c>
      <c r="J2375" s="297"/>
      <c r="K2375" s="172">
        <f t="shared" ref="K2375:S2375" si="1099">SUM(K2364:K2374)</f>
        <v>0</v>
      </c>
      <c r="L2375" s="205">
        <f t="shared" si="1099"/>
        <v>0</v>
      </c>
      <c r="M2375" s="205">
        <f t="shared" si="1099"/>
        <v>0</v>
      </c>
      <c r="N2375" s="205">
        <f t="shared" si="1099"/>
        <v>0</v>
      </c>
      <c r="O2375" s="174">
        <f t="shared" si="1099"/>
        <v>0</v>
      </c>
      <c r="P2375" s="174">
        <f t="shared" si="1099"/>
        <v>0</v>
      </c>
      <c r="Q2375" s="174">
        <f t="shared" si="1099"/>
        <v>0</v>
      </c>
      <c r="R2375" s="175">
        <f t="shared" si="1099"/>
        <v>0</v>
      </c>
      <c r="S2375" s="175">
        <f t="shared" si="1099"/>
        <v>0</v>
      </c>
    </row>
    <row r="2376" spans="1:19" ht="17.25" thickBot="1">
      <c r="A2376" s="63"/>
      <c r="B2376" s="63"/>
      <c r="C2376" s="63"/>
      <c r="D2376" s="63"/>
      <c r="E2376" s="63"/>
      <c r="F2376" s="63"/>
      <c r="G2376" s="63"/>
      <c r="I2376" s="298" t="s">
        <v>794</v>
      </c>
      <c r="J2376" s="299"/>
      <c r="K2376" s="176">
        <f t="shared" ref="K2376" si="1100">S2355-K2375</f>
        <v>0</v>
      </c>
      <c r="L2376" s="177">
        <f t="shared" ref="L2376" si="1101">K2375-L2375</f>
        <v>0</v>
      </c>
      <c r="M2376" s="177">
        <f t="shared" ref="M2376" si="1102">K2375-M2375</f>
        <v>0</v>
      </c>
      <c r="N2376" s="177">
        <f t="shared" ref="N2376" si="1103">K2375-N2375</f>
        <v>0</v>
      </c>
      <c r="O2376" s="178">
        <f t="shared" ref="O2376" si="1104">K2375-O2375</f>
        <v>0</v>
      </c>
      <c r="P2376" s="178">
        <f t="shared" ref="P2376" si="1105">K2375-P2375</f>
        <v>0</v>
      </c>
      <c r="Q2376" s="178">
        <f t="shared" ref="Q2376" si="1106">K2375-Q2375</f>
        <v>0</v>
      </c>
      <c r="R2376" s="179">
        <f t="shared" ref="R2376" si="1107">K2375-R2375</f>
        <v>0</v>
      </c>
      <c r="S2376" s="180">
        <f t="shared" ref="S2376" si="1108">L2375-S2375</f>
        <v>0</v>
      </c>
    </row>
    <row r="2377" spans="1:19">
      <c r="A2377" s="63"/>
      <c r="B2377" s="63"/>
      <c r="C2377" s="63"/>
      <c r="D2377" s="63"/>
      <c r="E2377" s="63"/>
      <c r="F2377" s="63"/>
      <c r="G2377" s="63"/>
      <c r="I2377" s="300" t="s">
        <v>795</v>
      </c>
      <c r="J2377" s="301"/>
      <c r="K2377" s="181"/>
      <c r="L2377" s="182"/>
      <c r="M2377" s="182"/>
      <c r="N2377" s="182"/>
      <c r="O2377" s="183"/>
      <c r="P2377" s="182"/>
      <c r="Q2377" s="182"/>
      <c r="R2377" s="182"/>
      <c r="S2377" s="182"/>
    </row>
    <row r="2378" spans="1:19">
      <c r="A2378" s="63"/>
      <c r="B2378" s="63"/>
      <c r="C2378" s="63"/>
      <c r="D2378" s="63"/>
      <c r="E2378" s="63"/>
      <c r="F2378" s="63"/>
      <c r="G2378" s="63"/>
      <c r="I2378" s="302" t="s">
        <v>796</v>
      </c>
      <c r="J2378" s="302"/>
      <c r="K2378" s="184"/>
      <c r="L2378" s="203"/>
      <c r="M2378" s="203"/>
      <c r="N2378" s="203"/>
      <c r="O2378" s="203"/>
      <c r="P2378" s="203"/>
      <c r="Q2378" s="203"/>
      <c r="R2378" s="203"/>
      <c r="S2378" s="203"/>
    </row>
    <row r="2379" spans="1:19">
      <c r="A2379" s="63"/>
      <c r="B2379" s="63"/>
      <c r="C2379" s="63"/>
      <c r="D2379" s="63"/>
      <c r="E2379" s="63"/>
      <c r="F2379" s="63"/>
      <c r="G2379" s="63"/>
      <c r="I2379" s="302" t="s">
        <v>797</v>
      </c>
      <c r="J2379" s="302"/>
      <c r="K2379" s="184"/>
      <c r="L2379" s="203"/>
      <c r="M2379" s="203"/>
      <c r="N2379" s="203"/>
      <c r="O2379" s="203"/>
      <c r="P2379" s="203"/>
      <c r="Q2379" s="203"/>
      <c r="R2379" s="203"/>
      <c r="S2379" s="203"/>
    </row>
    <row r="2380" spans="1:19">
      <c r="A2380" s="63"/>
      <c r="B2380" s="63"/>
      <c r="C2380" s="63"/>
      <c r="D2380" s="63"/>
      <c r="E2380" s="63"/>
      <c r="F2380" s="63"/>
      <c r="G2380" s="63"/>
      <c r="I2380" s="303" t="s">
        <v>798</v>
      </c>
      <c r="J2380" s="303"/>
      <c r="K2380" s="184"/>
      <c r="L2380" s="185"/>
      <c r="M2380" s="185"/>
      <c r="N2380" s="185"/>
      <c r="O2380" s="185"/>
      <c r="P2380" s="204"/>
      <c r="Q2380" s="204"/>
      <c r="R2380" s="204"/>
      <c r="S2380" s="204"/>
    </row>
    <row r="2381" spans="1:19">
      <c r="A2381" s="3" t="s">
        <v>801</v>
      </c>
      <c r="B2381" s="201" t="s">
        <v>802</v>
      </c>
      <c r="C2381" s="201" t="s">
        <v>803</v>
      </c>
      <c r="D2381" s="201" t="s">
        <v>119</v>
      </c>
      <c r="E2381" s="201" t="s">
        <v>148</v>
      </c>
      <c r="F2381" s="201" t="s">
        <v>806</v>
      </c>
      <c r="G2381" s="201" t="s">
        <v>81</v>
      </c>
      <c r="I2381" s="187"/>
      <c r="J2381" s="187"/>
      <c r="K2381" s="187"/>
      <c r="L2381" s="188"/>
      <c r="M2381" s="188"/>
      <c r="N2381" s="188"/>
      <c r="O2381" s="188"/>
      <c r="P2381" s="187"/>
      <c r="Q2381" s="187"/>
      <c r="R2381" s="187"/>
      <c r="S2381" s="187"/>
    </row>
    <row r="2382" spans="1:19">
      <c r="A2382" s="293">
        <v>44158</v>
      </c>
      <c r="B2382" s="161"/>
      <c r="C2382" s="162"/>
      <c r="D2382" s="162"/>
      <c r="E2382" s="162"/>
      <c r="F2382" s="162"/>
      <c r="G2382" s="163"/>
      <c r="I2382" s="191"/>
      <c r="J2382" s="190"/>
      <c r="K2382" s="190"/>
      <c r="L2382" s="190"/>
      <c r="M2382" s="190">
        <v>44158</v>
      </c>
      <c r="N2382" s="189" t="s">
        <v>864</v>
      </c>
      <c r="O2382" s="189"/>
      <c r="P2382" s="189"/>
      <c r="Q2382" s="189"/>
      <c r="R2382" s="189"/>
      <c r="S2382" s="189"/>
    </row>
    <row r="2383" spans="1:19">
      <c r="A2383" s="294"/>
      <c r="B2383" s="164"/>
      <c r="C2383" s="165"/>
      <c r="D2383" s="165"/>
      <c r="E2383" s="165"/>
      <c r="F2383" s="165"/>
      <c r="G2383" s="166"/>
      <c r="I2383" s="304"/>
      <c r="J2383" s="304"/>
      <c r="K2383" s="167"/>
      <c r="L2383" s="168"/>
      <c r="M2383" s="168"/>
      <c r="N2383" s="168"/>
      <c r="O2383" s="169"/>
      <c r="P2383" s="169"/>
      <c r="Q2383" s="169"/>
      <c r="R2383" s="161"/>
      <c r="S2383" s="161"/>
    </row>
    <row r="2384" spans="1:19">
      <c r="A2384" s="294"/>
      <c r="B2384" s="161"/>
      <c r="C2384" s="162"/>
      <c r="D2384" s="162"/>
      <c r="E2384" s="162"/>
      <c r="F2384" s="162"/>
      <c r="G2384" s="163"/>
      <c r="I2384" s="295" t="s">
        <v>782</v>
      </c>
      <c r="J2384" s="296"/>
      <c r="K2384" s="170"/>
      <c r="L2384" s="171"/>
      <c r="M2384" s="50"/>
      <c r="N2384" s="171"/>
      <c r="O2384" s="202"/>
      <c r="P2384" s="202"/>
      <c r="Q2384" s="202"/>
      <c r="R2384" s="162"/>
      <c r="S2384" s="162"/>
    </row>
    <row r="2385" spans="1:19">
      <c r="A2385" s="294"/>
      <c r="B2385" s="164"/>
      <c r="C2385" s="165"/>
      <c r="D2385" s="165"/>
      <c r="E2385" s="165"/>
      <c r="F2385" s="165"/>
      <c r="G2385" s="166"/>
      <c r="I2385" s="295" t="s">
        <v>783</v>
      </c>
      <c r="J2385" s="295"/>
      <c r="K2385" s="170"/>
      <c r="L2385" s="171"/>
      <c r="M2385" s="50"/>
      <c r="N2385" s="171"/>
      <c r="O2385" s="202"/>
      <c r="P2385" s="202"/>
      <c r="Q2385" s="202"/>
      <c r="R2385" s="162"/>
      <c r="S2385" s="162"/>
    </row>
    <row r="2386" spans="1:19">
      <c r="A2386" s="294"/>
      <c r="B2386" s="161"/>
      <c r="C2386" s="162"/>
      <c r="D2386" s="162"/>
      <c r="E2386" s="162"/>
      <c r="F2386" s="162"/>
      <c r="G2386" s="163"/>
      <c r="I2386" s="295" t="s">
        <v>784</v>
      </c>
      <c r="J2386" s="295"/>
      <c r="K2386" s="170"/>
      <c r="L2386" s="171"/>
      <c r="M2386" s="50"/>
      <c r="N2386" s="171"/>
      <c r="O2386" s="202"/>
      <c r="P2386" s="202"/>
      <c r="Q2386" s="202"/>
      <c r="R2386" s="162"/>
      <c r="S2386" s="162"/>
    </row>
    <row r="2387" spans="1:19">
      <c r="A2387" s="294"/>
      <c r="B2387" s="164"/>
      <c r="C2387" s="165"/>
      <c r="D2387" s="165"/>
      <c r="E2387" s="165"/>
      <c r="F2387" s="165"/>
      <c r="G2387" s="166"/>
      <c r="I2387" s="295" t="s">
        <v>785</v>
      </c>
      <c r="J2387" s="295"/>
      <c r="K2387" s="170"/>
      <c r="L2387" s="171"/>
      <c r="M2387" s="50"/>
      <c r="N2387" s="171"/>
      <c r="O2387" s="202"/>
      <c r="P2387" s="202"/>
      <c r="Q2387" s="202"/>
      <c r="R2387" s="162"/>
      <c r="S2387" s="162"/>
    </row>
    <row r="2388" spans="1:19">
      <c r="A2388" s="294"/>
      <c r="B2388" s="161"/>
      <c r="C2388" s="162"/>
      <c r="D2388" s="162"/>
      <c r="E2388" s="162"/>
      <c r="F2388" s="162"/>
      <c r="G2388" s="163"/>
      <c r="I2388" s="295" t="s">
        <v>786</v>
      </c>
      <c r="J2388" s="295"/>
      <c r="K2388" s="170"/>
      <c r="L2388" s="171"/>
      <c r="M2388" s="50"/>
      <c r="N2388" s="171"/>
      <c r="O2388" s="202"/>
      <c r="P2388" s="202"/>
      <c r="Q2388" s="202"/>
      <c r="R2388" s="162"/>
      <c r="S2388" s="162"/>
    </row>
    <row r="2389" spans="1:19">
      <c r="A2389" s="294"/>
      <c r="B2389" s="164"/>
      <c r="C2389" s="165"/>
      <c r="D2389" s="165"/>
      <c r="E2389" s="165"/>
      <c r="F2389" s="165"/>
      <c r="G2389" s="166"/>
      <c r="I2389" s="295" t="s">
        <v>787</v>
      </c>
      <c r="J2389" s="295"/>
      <c r="K2389" s="170"/>
      <c r="L2389" s="171"/>
      <c r="M2389" s="50"/>
      <c r="N2389" s="171"/>
      <c r="O2389" s="202"/>
      <c r="P2389" s="202"/>
      <c r="Q2389" s="202"/>
      <c r="R2389" s="162"/>
      <c r="S2389" s="162"/>
    </row>
    <row r="2390" spans="1:19">
      <c r="A2390" s="294"/>
      <c r="B2390" s="161"/>
      <c r="C2390" s="162"/>
      <c r="D2390" s="162"/>
      <c r="E2390" s="162"/>
      <c r="F2390" s="162"/>
      <c r="G2390" s="163"/>
      <c r="I2390" s="295" t="s">
        <v>788</v>
      </c>
      <c r="J2390" s="295"/>
      <c r="K2390" s="170"/>
      <c r="L2390" s="171"/>
      <c r="M2390" s="50"/>
      <c r="N2390" s="171"/>
      <c r="O2390" s="202"/>
      <c r="P2390" s="202"/>
      <c r="Q2390" s="202"/>
      <c r="R2390" s="162"/>
      <c r="S2390" s="162"/>
    </row>
    <row r="2391" spans="1:19">
      <c r="A2391" s="294"/>
      <c r="B2391" s="164"/>
      <c r="C2391" s="165"/>
      <c r="D2391" s="165"/>
      <c r="E2391" s="165"/>
      <c r="F2391" s="165"/>
      <c r="G2391" s="166"/>
      <c r="I2391" s="295" t="s">
        <v>789</v>
      </c>
      <c r="J2391" s="295"/>
      <c r="K2391" s="170"/>
      <c r="L2391" s="171"/>
      <c r="M2391" s="50"/>
      <c r="N2391" s="171"/>
      <c r="O2391" s="202"/>
      <c r="P2391" s="202"/>
      <c r="Q2391" s="202"/>
      <c r="R2391" s="162"/>
      <c r="S2391" s="162"/>
    </row>
    <row r="2392" spans="1:19">
      <c r="A2392" s="63"/>
      <c r="B2392" s="63"/>
      <c r="C2392" s="63"/>
      <c r="D2392" s="63"/>
      <c r="E2392" s="63"/>
      <c r="F2392" s="63"/>
      <c r="G2392" s="63"/>
      <c r="I2392" s="295" t="s">
        <v>790</v>
      </c>
      <c r="J2392" s="295"/>
      <c r="K2392" s="170"/>
      <c r="L2392" s="171"/>
      <c r="M2392" s="50"/>
      <c r="N2392" s="171"/>
      <c r="O2392" s="202"/>
      <c r="P2392" s="202"/>
      <c r="Q2392" s="202"/>
      <c r="R2392" s="162"/>
      <c r="S2392" s="162"/>
    </row>
    <row r="2393" spans="1:19">
      <c r="A2393" s="63"/>
      <c r="B2393" s="63"/>
      <c r="C2393" s="63"/>
      <c r="D2393" s="63"/>
      <c r="E2393" s="63"/>
      <c r="F2393" s="63"/>
      <c r="G2393" s="63"/>
      <c r="I2393" s="295" t="s">
        <v>791</v>
      </c>
      <c r="J2393" s="295"/>
      <c r="K2393" s="170"/>
      <c r="L2393" s="171"/>
      <c r="M2393" s="50"/>
      <c r="N2393" s="171"/>
      <c r="O2393" s="202"/>
      <c r="P2393" s="202"/>
      <c r="Q2393" s="202"/>
      <c r="R2393" s="162"/>
      <c r="S2393" s="162"/>
    </row>
    <row r="2394" spans="1:19">
      <c r="A2394" s="63"/>
      <c r="B2394" s="63"/>
      <c r="C2394" s="63"/>
      <c r="D2394" s="63"/>
      <c r="E2394" s="63"/>
      <c r="F2394" s="63"/>
      <c r="G2394" s="63"/>
      <c r="I2394" s="296" t="s">
        <v>792</v>
      </c>
      <c r="J2394" s="296"/>
      <c r="K2394" s="170"/>
      <c r="L2394" s="171"/>
      <c r="M2394" s="50"/>
      <c r="N2394" s="171"/>
      <c r="O2394" s="202"/>
      <c r="P2394" s="202"/>
      <c r="Q2394" s="202"/>
      <c r="R2394" s="162"/>
      <c r="S2394" s="162"/>
    </row>
    <row r="2395" spans="1:19" ht="17.25" thickBot="1">
      <c r="A2395" s="63"/>
      <c r="B2395" s="63"/>
      <c r="C2395" s="63"/>
      <c r="D2395" s="63"/>
      <c r="E2395" s="63"/>
      <c r="F2395" s="63"/>
      <c r="G2395" s="63"/>
      <c r="I2395" s="297" t="s">
        <v>793</v>
      </c>
      <c r="J2395" s="297"/>
      <c r="K2395" s="172">
        <f t="shared" ref="K2395:S2395" si="1109">SUM(K2384:K2394)</f>
        <v>0</v>
      </c>
      <c r="L2395" s="205">
        <f t="shared" si="1109"/>
        <v>0</v>
      </c>
      <c r="M2395" s="205">
        <f t="shared" si="1109"/>
        <v>0</v>
      </c>
      <c r="N2395" s="205">
        <f t="shared" si="1109"/>
        <v>0</v>
      </c>
      <c r="O2395" s="174">
        <f t="shared" si="1109"/>
        <v>0</v>
      </c>
      <c r="P2395" s="174">
        <f t="shared" si="1109"/>
        <v>0</v>
      </c>
      <c r="Q2395" s="174">
        <f t="shared" si="1109"/>
        <v>0</v>
      </c>
      <c r="R2395" s="175">
        <f t="shared" si="1109"/>
        <v>0</v>
      </c>
      <c r="S2395" s="175">
        <f t="shared" si="1109"/>
        <v>0</v>
      </c>
    </row>
    <row r="2396" spans="1:19" ht="17.25" thickBot="1">
      <c r="A2396" s="63"/>
      <c r="B2396" s="63"/>
      <c r="C2396" s="63"/>
      <c r="D2396" s="63"/>
      <c r="E2396" s="63"/>
      <c r="F2396" s="63"/>
      <c r="G2396" s="63"/>
      <c r="I2396" s="298" t="s">
        <v>794</v>
      </c>
      <c r="J2396" s="299"/>
      <c r="K2396" s="176">
        <f t="shared" ref="K2396" si="1110">S2375-K2395</f>
        <v>0</v>
      </c>
      <c r="L2396" s="177">
        <f t="shared" ref="L2396" si="1111">K2395-L2395</f>
        <v>0</v>
      </c>
      <c r="M2396" s="177">
        <f t="shared" ref="M2396" si="1112">K2395-M2395</f>
        <v>0</v>
      </c>
      <c r="N2396" s="177">
        <f t="shared" ref="N2396" si="1113">K2395-N2395</f>
        <v>0</v>
      </c>
      <c r="O2396" s="178">
        <f t="shared" ref="O2396" si="1114">K2395-O2395</f>
        <v>0</v>
      </c>
      <c r="P2396" s="178">
        <f t="shared" ref="P2396" si="1115">K2395-P2395</f>
        <v>0</v>
      </c>
      <c r="Q2396" s="178">
        <f t="shared" ref="Q2396" si="1116">K2395-Q2395</f>
        <v>0</v>
      </c>
      <c r="R2396" s="179">
        <f t="shared" ref="R2396" si="1117">K2395-R2395</f>
        <v>0</v>
      </c>
      <c r="S2396" s="180">
        <f t="shared" ref="S2396" si="1118">L2395-S2395</f>
        <v>0</v>
      </c>
    </row>
    <row r="2397" spans="1:19">
      <c r="A2397" s="63"/>
      <c r="B2397" s="63"/>
      <c r="C2397" s="63"/>
      <c r="D2397" s="63"/>
      <c r="E2397" s="63"/>
      <c r="F2397" s="63"/>
      <c r="G2397" s="63"/>
      <c r="I2397" s="300" t="s">
        <v>795</v>
      </c>
      <c r="J2397" s="301"/>
      <c r="K2397" s="181"/>
      <c r="L2397" s="182"/>
      <c r="M2397" s="182"/>
      <c r="N2397" s="182"/>
      <c r="O2397" s="183"/>
      <c r="P2397" s="182"/>
      <c r="Q2397" s="182"/>
      <c r="R2397" s="182"/>
      <c r="S2397" s="182"/>
    </row>
    <row r="2398" spans="1:19">
      <c r="A2398" s="63"/>
      <c r="B2398" s="63"/>
      <c r="C2398" s="63"/>
      <c r="D2398" s="63"/>
      <c r="E2398" s="63"/>
      <c r="F2398" s="63"/>
      <c r="G2398" s="63"/>
      <c r="I2398" s="302" t="s">
        <v>796</v>
      </c>
      <c r="J2398" s="302"/>
      <c r="K2398" s="184"/>
      <c r="L2398" s="203"/>
      <c r="M2398" s="203"/>
      <c r="N2398" s="203"/>
      <c r="O2398" s="203"/>
      <c r="P2398" s="203"/>
      <c r="Q2398" s="203"/>
      <c r="R2398" s="203"/>
      <c r="S2398" s="203"/>
    </row>
    <row r="2399" spans="1:19">
      <c r="A2399" s="63"/>
      <c r="B2399" s="63"/>
      <c r="C2399" s="63"/>
      <c r="D2399" s="63"/>
      <c r="E2399" s="63"/>
      <c r="F2399" s="63"/>
      <c r="G2399" s="63"/>
      <c r="I2399" s="302" t="s">
        <v>797</v>
      </c>
      <c r="J2399" s="302"/>
      <c r="K2399" s="184"/>
      <c r="L2399" s="203"/>
      <c r="M2399" s="203"/>
      <c r="N2399" s="203"/>
      <c r="O2399" s="203"/>
      <c r="P2399" s="203"/>
      <c r="Q2399" s="203"/>
      <c r="R2399" s="203"/>
      <c r="S2399" s="203"/>
    </row>
    <row r="2400" spans="1:19">
      <c r="A2400" s="63"/>
      <c r="B2400" s="63"/>
      <c r="C2400" s="63"/>
      <c r="D2400" s="63"/>
      <c r="E2400" s="63"/>
      <c r="F2400" s="63"/>
      <c r="G2400" s="63"/>
      <c r="I2400" s="303" t="s">
        <v>798</v>
      </c>
      <c r="J2400" s="303"/>
      <c r="K2400" s="184"/>
      <c r="L2400" s="185"/>
      <c r="M2400" s="185"/>
      <c r="N2400" s="185"/>
      <c r="O2400" s="185"/>
      <c r="P2400" s="204"/>
      <c r="Q2400" s="204"/>
      <c r="R2400" s="204"/>
      <c r="S2400" s="204"/>
    </row>
    <row r="2401" spans="1:19">
      <c r="A2401" s="3" t="s">
        <v>801</v>
      </c>
      <c r="B2401" s="201" t="s">
        <v>802</v>
      </c>
      <c r="C2401" s="201" t="s">
        <v>803</v>
      </c>
      <c r="D2401" s="201" t="s">
        <v>119</v>
      </c>
      <c r="E2401" s="201" t="s">
        <v>148</v>
      </c>
      <c r="F2401" s="201" t="s">
        <v>806</v>
      </c>
      <c r="G2401" s="201" t="s">
        <v>81</v>
      </c>
      <c r="I2401" s="187"/>
      <c r="J2401" s="187"/>
      <c r="K2401" s="187"/>
      <c r="L2401" s="188"/>
      <c r="M2401" s="188"/>
      <c r="N2401" s="188"/>
      <c r="O2401" s="188"/>
      <c r="P2401" s="187"/>
      <c r="Q2401" s="187"/>
      <c r="R2401" s="187"/>
      <c r="S2401" s="187"/>
    </row>
    <row r="2402" spans="1:19">
      <c r="A2402" s="293">
        <v>44159</v>
      </c>
      <c r="B2402" s="161"/>
      <c r="C2402" s="162"/>
      <c r="D2402" s="162"/>
      <c r="E2402" s="162"/>
      <c r="F2402" s="162"/>
      <c r="G2402" s="163"/>
      <c r="I2402" s="191"/>
      <c r="J2402" s="190"/>
      <c r="K2402" s="190"/>
      <c r="L2402" s="190"/>
      <c r="M2402" s="190">
        <v>44159</v>
      </c>
      <c r="N2402" s="189" t="s">
        <v>864</v>
      </c>
      <c r="O2402" s="189"/>
      <c r="P2402" s="189"/>
      <c r="Q2402" s="189"/>
      <c r="R2402" s="189"/>
      <c r="S2402" s="189"/>
    </row>
    <row r="2403" spans="1:19">
      <c r="A2403" s="294"/>
      <c r="B2403" s="164"/>
      <c r="C2403" s="165"/>
      <c r="D2403" s="165"/>
      <c r="E2403" s="165"/>
      <c r="F2403" s="165"/>
      <c r="G2403" s="166"/>
      <c r="I2403" s="304"/>
      <c r="J2403" s="304"/>
      <c r="K2403" s="167"/>
      <c r="L2403" s="168"/>
      <c r="M2403" s="168"/>
      <c r="N2403" s="168"/>
      <c r="O2403" s="169"/>
      <c r="P2403" s="169"/>
      <c r="Q2403" s="169"/>
      <c r="R2403" s="161"/>
      <c r="S2403" s="161"/>
    </row>
    <row r="2404" spans="1:19">
      <c r="A2404" s="294"/>
      <c r="B2404" s="161"/>
      <c r="C2404" s="162"/>
      <c r="D2404" s="162"/>
      <c r="E2404" s="162"/>
      <c r="F2404" s="162"/>
      <c r="G2404" s="163"/>
      <c r="I2404" s="295" t="s">
        <v>782</v>
      </c>
      <c r="J2404" s="296"/>
      <c r="K2404" s="170"/>
      <c r="L2404" s="171"/>
      <c r="M2404" s="50"/>
      <c r="N2404" s="171"/>
      <c r="O2404" s="202"/>
      <c r="P2404" s="202"/>
      <c r="Q2404" s="202"/>
      <c r="R2404" s="162"/>
      <c r="S2404" s="162"/>
    </row>
    <row r="2405" spans="1:19">
      <c r="A2405" s="294"/>
      <c r="B2405" s="164"/>
      <c r="C2405" s="165"/>
      <c r="D2405" s="165"/>
      <c r="E2405" s="165"/>
      <c r="F2405" s="165"/>
      <c r="G2405" s="166"/>
      <c r="I2405" s="295" t="s">
        <v>783</v>
      </c>
      <c r="J2405" s="295"/>
      <c r="K2405" s="170"/>
      <c r="L2405" s="171"/>
      <c r="M2405" s="50"/>
      <c r="N2405" s="171"/>
      <c r="O2405" s="202"/>
      <c r="P2405" s="202"/>
      <c r="Q2405" s="202"/>
      <c r="R2405" s="162"/>
      <c r="S2405" s="162"/>
    </row>
    <row r="2406" spans="1:19">
      <c r="A2406" s="294"/>
      <c r="B2406" s="161"/>
      <c r="C2406" s="162"/>
      <c r="D2406" s="162"/>
      <c r="E2406" s="162"/>
      <c r="F2406" s="162"/>
      <c r="G2406" s="163"/>
      <c r="I2406" s="295" t="s">
        <v>784</v>
      </c>
      <c r="J2406" s="295"/>
      <c r="K2406" s="170"/>
      <c r="L2406" s="171"/>
      <c r="M2406" s="50"/>
      <c r="N2406" s="171"/>
      <c r="O2406" s="202"/>
      <c r="P2406" s="202"/>
      <c r="Q2406" s="202"/>
      <c r="R2406" s="162"/>
      <c r="S2406" s="162"/>
    </row>
    <row r="2407" spans="1:19">
      <c r="A2407" s="294"/>
      <c r="B2407" s="164"/>
      <c r="C2407" s="165"/>
      <c r="D2407" s="165"/>
      <c r="E2407" s="165"/>
      <c r="F2407" s="165"/>
      <c r="G2407" s="166"/>
      <c r="I2407" s="295" t="s">
        <v>785</v>
      </c>
      <c r="J2407" s="295"/>
      <c r="K2407" s="170"/>
      <c r="L2407" s="171"/>
      <c r="M2407" s="50"/>
      <c r="N2407" s="171"/>
      <c r="O2407" s="202"/>
      <c r="P2407" s="202"/>
      <c r="Q2407" s="202"/>
      <c r="R2407" s="162"/>
      <c r="S2407" s="162"/>
    </row>
    <row r="2408" spans="1:19">
      <c r="A2408" s="294"/>
      <c r="B2408" s="161"/>
      <c r="C2408" s="162"/>
      <c r="D2408" s="162"/>
      <c r="E2408" s="162"/>
      <c r="F2408" s="162"/>
      <c r="G2408" s="163"/>
      <c r="I2408" s="295" t="s">
        <v>786</v>
      </c>
      <c r="J2408" s="295"/>
      <c r="K2408" s="170"/>
      <c r="L2408" s="171"/>
      <c r="M2408" s="50"/>
      <c r="N2408" s="171"/>
      <c r="O2408" s="202"/>
      <c r="P2408" s="202"/>
      <c r="Q2408" s="202"/>
      <c r="R2408" s="162"/>
      <c r="S2408" s="162"/>
    </row>
    <row r="2409" spans="1:19">
      <c r="A2409" s="294"/>
      <c r="B2409" s="164"/>
      <c r="C2409" s="165"/>
      <c r="D2409" s="165"/>
      <c r="E2409" s="165"/>
      <c r="F2409" s="165"/>
      <c r="G2409" s="166"/>
      <c r="I2409" s="295" t="s">
        <v>787</v>
      </c>
      <c r="J2409" s="295"/>
      <c r="K2409" s="170"/>
      <c r="L2409" s="171"/>
      <c r="M2409" s="50"/>
      <c r="N2409" s="171"/>
      <c r="O2409" s="202"/>
      <c r="P2409" s="202"/>
      <c r="Q2409" s="202"/>
      <c r="R2409" s="162"/>
      <c r="S2409" s="162"/>
    </row>
    <row r="2410" spans="1:19">
      <c r="A2410" s="294"/>
      <c r="B2410" s="161"/>
      <c r="C2410" s="162"/>
      <c r="D2410" s="162"/>
      <c r="E2410" s="162"/>
      <c r="F2410" s="162"/>
      <c r="G2410" s="163"/>
      <c r="I2410" s="295" t="s">
        <v>788</v>
      </c>
      <c r="J2410" s="295"/>
      <c r="K2410" s="170"/>
      <c r="L2410" s="171"/>
      <c r="M2410" s="50"/>
      <c r="N2410" s="171"/>
      <c r="O2410" s="202"/>
      <c r="P2410" s="202"/>
      <c r="Q2410" s="202"/>
      <c r="R2410" s="162"/>
      <c r="S2410" s="162"/>
    </row>
    <row r="2411" spans="1:19">
      <c r="A2411" s="294"/>
      <c r="B2411" s="164"/>
      <c r="C2411" s="165"/>
      <c r="D2411" s="165"/>
      <c r="E2411" s="165"/>
      <c r="F2411" s="165"/>
      <c r="G2411" s="166"/>
      <c r="I2411" s="295" t="s">
        <v>789</v>
      </c>
      <c r="J2411" s="295"/>
      <c r="K2411" s="170"/>
      <c r="L2411" s="171"/>
      <c r="M2411" s="50"/>
      <c r="N2411" s="171"/>
      <c r="O2411" s="202"/>
      <c r="P2411" s="202"/>
      <c r="Q2411" s="202"/>
      <c r="R2411" s="162"/>
      <c r="S2411" s="162"/>
    </row>
    <row r="2412" spans="1:19">
      <c r="A2412" s="63"/>
      <c r="B2412" s="63"/>
      <c r="C2412" s="63"/>
      <c r="D2412" s="63"/>
      <c r="E2412" s="63"/>
      <c r="F2412" s="63"/>
      <c r="G2412" s="63"/>
      <c r="I2412" s="295" t="s">
        <v>790</v>
      </c>
      <c r="J2412" s="295"/>
      <c r="K2412" s="170"/>
      <c r="L2412" s="171"/>
      <c r="M2412" s="50"/>
      <c r="N2412" s="171"/>
      <c r="O2412" s="202"/>
      <c r="P2412" s="202"/>
      <c r="Q2412" s="202"/>
      <c r="R2412" s="162"/>
      <c r="S2412" s="162"/>
    </row>
    <row r="2413" spans="1:19">
      <c r="A2413" s="63"/>
      <c r="B2413" s="63"/>
      <c r="C2413" s="63"/>
      <c r="D2413" s="63"/>
      <c r="E2413" s="63"/>
      <c r="F2413" s="63"/>
      <c r="G2413" s="63"/>
      <c r="I2413" s="295" t="s">
        <v>791</v>
      </c>
      <c r="J2413" s="295"/>
      <c r="K2413" s="170"/>
      <c r="L2413" s="171"/>
      <c r="M2413" s="50"/>
      <c r="N2413" s="171"/>
      <c r="O2413" s="202"/>
      <c r="P2413" s="202"/>
      <c r="Q2413" s="202"/>
      <c r="R2413" s="162"/>
      <c r="S2413" s="162"/>
    </row>
    <row r="2414" spans="1:19">
      <c r="A2414" s="63"/>
      <c r="B2414" s="63"/>
      <c r="C2414" s="63"/>
      <c r="D2414" s="63"/>
      <c r="E2414" s="63"/>
      <c r="F2414" s="63"/>
      <c r="G2414" s="63"/>
      <c r="I2414" s="296" t="s">
        <v>792</v>
      </c>
      <c r="J2414" s="296"/>
      <c r="K2414" s="170"/>
      <c r="L2414" s="171"/>
      <c r="M2414" s="50"/>
      <c r="N2414" s="171"/>
      <c r="O2414" s="202"/>
      <c r="P2414" s="202"/>
      <c r="Q2414" s="202"/>
      <c r="R2414" s="162"/>
      <c r="S2414" s="162"/>
    </row>
    <row r="2415" spans="1:19" ht="17.25" thickBot="1">
      <c r="A2415" s="63"/>
      <c r="B2415" s="63"/>
      <c r="C2415" s="63"/>
      <c r="D2415" s="63"/>
      <c r="E2415" s="63"/>
      <c r="F2415" s="63"/>
      <c r="G2415" s="63"/>
      <c r="I2415" s="297" t="s">
        <v>793</v>
      </c>
      <c r="J2415" s="297"/>
      <c r="K2415" s="172">
        <f t="shared" ref="K2415:S2415" si="1119">SUM(K2404:K2414)</f>
        <v>0</v>
      </c>
      <c r="L2415" s="205">
        <f t="shared" si="1119"/>
        <v>0</v>
      </c>
      <c r="M2415" s="205">
        <f t="shared" si="1119"/>
        <v>0</v>
      </c>
      <c r="N2415" s="205">
        <f t="shared" si="1119"/>
        <v>0</v>
      </c>
      <c r="O2415" s="174">
        <f t="shared" si="1119"/>
        <v>0</v>
      </c>
      <c r="P2415" s="174">
        <f t="shared" si="1119"/>
        <v>0</v>
      </c>
      <c r="Q2415" s="174">
        <f t="shared" si="1119"/>
        <v>0</v>
      </c>
      <c r="R2415" s="175">
        <f t="shared" si="1119"/>
        <v>0</v>
      </c>
      <c r="S2415" s="175">
        <f t="shared" si="1119"/>
        <v>0</v>
      </c>
    </row>
    <row r="2416" spans="1:19" ht="17.25" thickBot="1">
      <c r="A2416" s="63"/>
      <c r="B2416" s="63"/>
      <c r="C2416" s="63"/>
      <c r="D2416" s="63"/>
      <c r="E2416" s="63"/>
      <c r="F2416" s="63"/>
      <c r="G2416" s="63"/>
      <c r="I2416" s="298" t="s">
        <v>794</v>
      </c>
      <c r="J2416" s="299"/>
      <c r="K2416" s="176">
        <f t="shared" ref="K2416" si="1120">S2395-K2415</f>
        <v>0</v>
      </c>
      <c r="L2416" s="177">
        <f t="shared" ref="L2416" si="1121">K2415-L2415</f>
        <v>0</v>
      </c>
      <c r="M2416" s="177">
        <f t="shared" ref="M2416" si="1122">K2415-M2415</f>
        <v>0</v>
      </c>
      <c r="N2416" s="177">
        <f t="shared" ref="N2416" si="1123">K2415-N2415</f>
        <v>0</v>
      </c>
      <c r="O2416" s="178">
        <f t="shared" ref="O2416" si="1124">K2415-O2415</f>
        <v>0</v>
      </c>
      <c r="P2416" s="178">
        <f t="shared" ref="P2416" si="1125">K2415-P2415</f>
        <v>0</v>
      </c>
      <c r="Q2416" s="178">
        <f t="shared" ref="Q2416" si="1126">K2415-Q2415</f>
        <v>0</v>
      </c>
      <c r="R2416" s="179">
        <f t="shared" ref="R2416" si="1127">K2415-R2415</f>
        <v>0</v>
      </c>
      <c r="S2416" s="180">
        <f t="shared" ref="S2416" si="1128">L2415-S2415</f>
        <v>0</v>
      </c>
    </row>
    <row r="2417" spans="1:19">
      <c r="A2417" s="63"/>
      <c r="B2417" s="63"/>
      <c r="C2417" s="63"/>
      <c r="D2417" s="63"/>
      <c r="E2417" s="63"/>
      <c r="F2417" s="63"/>
      <c r="G2417" s="63"/>
      <c r="I2417" s="300" t="s">
        <v>795</v>
      </c>
      <c r="J2417" s="301"/>
      <c r="K2417" s="181"/>
      <c r="L2417" s="182"/>
      <c r="M2417" s="182"/>
      <c r="N2417" s="182"/>
      <c r="O2417" s="183"/>
      <c r="P2417" s="182"/>
      <c r="Q2417" s="182"/>
      <c r="R2417" s="182"/>
      <c r="S2417" s="182"/>
    </row>
    <row r="2418" spans="1:19">
      <c r="A2418" s="63"/>
      <c r="B2418" s="63"/>
      <c r="C2418" s="63"/>
      <c r="D2418" s="63"/>
      <c r="E2418" s="63"/>
      <c r="F2418" s="63"/>
      <c r="G2418" s="63"/>
      <c r="I2418" s="302" t="s">
        <v>796</v>
      </c>
      <c r="J2418" s="302"/>
      <c r="K2418" s="184"/>
      <c r="L2418" s="203"/>
      <c r="M2418" s="203"/>
      <c r="N2418" s="203"/>
      <c r="O2418" s="203"/>
      <c r="P2418" s="203"/>
      <c r="Q2418" s="203"/>
      <c r="R2418" s="203"/>
      <c r="S2418" s="203"/>
    </row>
    <row r="2419" spans="1:19">
      <c r="A2419" s="63"/>
      <c r="B2419" s="63"/>
      <c r="C2419" s="63"/>
      <c r="D2419" s="63"/>
      <c r="E2419" s="63"/>
      <c r="F2419" s="63"/>
      <c r="G2419" s="63"/>
      <c r="I2419" s="302" t="s">
        <v>797</v>
      </c>
      <c r="J2419" s="302"/>
      <c r="K2419" s="184"/>
      <c r="L2419" s="203"/>
      <c r="M2419" s="203"/>
      <c r="N2419" s="203"/>
      <c r="O2419" s="203"/>
      <c r="P2419" s="203"/>
      <c r="Q2419" s="203"/>
      <c r="R2419" s="203"/>
      <c r="S2419" s="203"/>
    </row>
    <row r="2420" spans="1:19">
      <c r="A2420" s="63"/>
      <c r="B2420" s="63"/>
      <c r="C2420" s="63"/>
      <c r="D2420" s="63"/>
      <c r="E2420" s="63"/>
      <c r="F2420" s="63"/>
      <c r="G2420" s="63"/>
      <c r="I2420" s="303" t="s">
        <v>798</v>
      </c>
      <c r="J2420" s="303"/>
      <c r="K2420" s="184"/>
      <c r="L2420" s="185"/>
      <c r="M2420" s="185"/>
      <c r="N2420" s="185"/>
      <c r="O2420" s="185"/>
      <c r="P2420" s="204"/>
      <c r="Q2420" s="204"/>
      <c r="R2420" s="204"/>
      <c r="S2420" s="204"/>
    </row>
    <row r="2421" spans="1:19">
      <c r="A2421" s="3" t="s">
        <v>801</v>
      </c>
      <c r="B2421" s="201" t="s">
        <v>802</v>
      </c>
      <c r="C2421" s="201" t="s">
        <v>803</v>
      </c>
      <c r="D2421" s="201" t="s">
        <v>119</v>
      </c>
      <c r="E2421" s="201" t="s">
        <v>148</v>
      </c>
      <c r="F2421" s="201" t="s">
        <v>806</v>
      </c>
      <c r="G2421" s="201" t="s">
        <v>81</v>
      </c>
      <c r="I2421" s="187"/>
      <c r="J2421" s="187"/>
      <c r="K2421" s="187"/>
      <c r="L2421" s="188"/>
      <c r="M2421" s="188"/>
      <c r="N2421" s="188"/>
      <c r="O2421" s="188"/>
      <c r="P2421" s="187"/>
      <c r="Q2421" s="187"/>
      <c r="R2421" s="187"/>
      <c r="S2421" s="187"/>
    </row>
    <row r="2422" spans="1:19">
      <c r="A2422" s="293">
        <v>44160</v>
      </c>
      <c r="B2422" s="161"/>
      <c r="C2422" s="162"/>
      <c r="D2422" s="162"/>
      <c r="E2422" s="162"/>
      <c r="F2422" s="162"/>
      <c r="G2422" s="163"/>
      <c r="I2422" s="191"/>
      <c r="J2422" s="190"/>
      <c r="K2422" s="190"/>
      <c r="L2422" s="190"/>
      <c r="M2422" s="190">
        <v>44160</v>
      </c>
      <c r="N2422" s="189" t="s">
        <v>864</v>
      </c>
      <c r="O2422" s="189"/>
      <c r="P2422" s="189"/>
      <c r="Q2422" s="189"/>
      <c r="R2422" s="189"/>
      <c r="S2422" s="189"/>
    </row>
    <row r="2423" spans="1:19">
      <c r="A2423" s="294"/>
      <c r="B2423" s="164"/>
      <c r="C2423" s="165"/>
      <c r="D2423" s="165"/>
      <c r="E2423" s="165"/>
      <c r="F2423" s="165"/>
      <c r="G2423" s="166"/>
      <c r="I2423" s="304"/>
      <c r="J2423" s="304"/>
      <c r="K2423" s="167"/>
      <c r="L2423" s="168"/>
      <c r="M2423" s="168"/>
      <c r="N2423" s="168"/>
      <c r="O2423" s="169"/>
      <c r="P2423" s="169"/>
      <c r="Q2423" s="169"/>
      <c r="R2423" s="161"/>
      <c r="S2423" s="161"/>
    </row>
    <row r="2424" spans="1:19">
      <c r="A2424" s="294"/>
      <c r="B2424" s="161"/>
      <c r="C2424" s="162"/>
      <c r="D2424" s="162"/>
      <c r="E2424" s="162"/>
      <c r="F2424" s="162"/>
      <c r="G2424" s="163"/>
      <c r="I2424" s="295" t="s">
        <v>782</v>
      </c>
      <c r="J2424" s="296"/>
      <c r="K2424" s="170"/>
      <c r="L2424" s="171"/>
      <c r="M2424" s="50"/>
      <c r="N2424" s="171"/>
      <c r="O2424" s="202"/>
      <c r="P2424" s="202"/>
      <c r="Q2424" s="202"/>
      <c r="R2424" s="162"/>
      <c r="S2424" s="162"/>
    </row>
    <row r="2425" spans="1:19">
      <c r="A2425" s="294"/>
      <c r="B2425" s="164"/>
      <c r="C2425" s="165"/>
      <c r="D2425" s="165"/>
      <c r="E2425" s="165"/>
      <c r="F2425" s="165"/>
      <c r="G2425" s="166"/>
      <c r="I2425" s="295" t="s">
        <v>783</v>
      </c>
      <c r="J2425" s="295"/>
      <c r="K2425" s="170"/>
      <c r="L2425" s="171"/>
      <c r="M2425" s="50"/>
      <c r="N2425" s="171"/>
      <c r="O2425" s="202"/>
      <c r="P2425" s="202"/>
      <c r="Q2425" s="202"/>
      <c r="R2425" s="162"/>
      <c r="S2425" s="162"/>
    </row>
    <row r="2426" spans="1:19">
      <c r="A2426" s="294"/>
      <c r="B2426" s="161"/>
      <c r="C2426" s="162"/>
      <c r="D2426" s="162"/>
      <c r="E2426" s="162"/>
      <c r="F2426" s="162"/>
      <c r="G2426" s="163"/>
      <c r="I2426" s="295" t="s">
        <v>784</v>
      </c>
      <c r="J2426" s="295"/>
      <c r="K2426" s="170"/>
      <c r="L2426" s="171"/>
      <c r="M2426" s="50"/>
      <c r="N2426" s="171"/>
      <c r="O2426" s="202"/>
      <c r="P2426" s="202"/>
      <c r="Q2426" s="202"/>
      <c r="R2426" s="162"/>
      <c r="S2426" s="162"/>
    </row>
    <row r="2427" spans="1:19">
      <c r="A2427" s="294"/>
      <c r="B2427" s="164"/>
      <c r="C2427" s="165"/>
      <c r="D2427" s="165"/>
      <c r="E2427" s="165"/>
      <c r="F2427" s="165"/>
      <c r="G2427" s="166"/>
      <c r="I2427" s="295" t="s">
        <v>785</v>
      </c>
      <c r="J2427" s="295"/>
      <c r="K2427" s="170"/>
      <c r="L2427" s="171"/>
      <c r="M2427" s="50"/>
      <c r="N2427" s="171"/>
      <c r="O2427" s="202"/>
      <c r="P2427" s="202"/>
      <c r="Q2427" s="202"/>
      <c r="R2427" s="162"/>
      <c r="S2427" s="162"/>
    </row>
    <row r="2428" spans="1:19">
      <c r="A2428" s="294"/>
      <c r="B2428" s="161"/>
      <c r="C2428" s="162"/>
      <c r="D2428" s="162"/>
      <c r="E2428" s="162"/>
      <c r="F2428" s="162"/>
      <c r="G2428" s="163"/>
      <c r="I2428" s="295" t="s">
        <v>786</v>
      </c>
      <c r="J2428" s="295"/>
      <c r="K2428" s="170"/>
      <c r="L2428" s="171"/>
      <c r="M2428" s="50"/>
      <c r="N2428" s="171"/>
      <c r="O2428" s="202"/>
      <c r="P2428" s="202"/>
      <c r="Q2428" s="202"/>
      <c r="R2428" s="162"/>
      <c r="S2428" s="162"/>
    </row>
    <row r="2429" spans="1:19">
      <c r="A2429" s="294"/>
      <c r="B2429" s="164"/>
      <c r="C2429" s="165"/>
      <c r="D2429" s="165"/>
      <c r="E2429" s="165"/>
      <c r="F2429" s="165"/>
      <c r="G2429" s="166"/>
      <c r="I2429" s="295" t="s">
        <v>787</v>
      </c>
      <c r="J2429" s="295"/>
      <c r="K2429" s="170"/>
      <c r="L2429" s="171"/>
      <c r="M2429" s="50"/>
      <c r="N2429" s="171"/>
      <c r="O2429" s="202"/>
      <c r="P2429" s="202"/>
      <c r="Q2429" s="202"/>
      <c r="R2429" s="162"/>
      <c r="S2429" s="162"/>
    </row>
    <row r="2430" spans="1:19">
      <c r="A2430" s="294"/>
      <c r="B2430" s="161"/>
      <c r="C2430" s="162"/>
      <c r="D2430" s="162"/>
      <c r="E2430" s="162"/>
      <c r="F2430" s="162"/>
      <c r="G2430" s="163"/>
      <c r="I2430" s="295" t="s">
        <v>788</v>
      </c>
      <c r="J2430" s="295"/>
      <c r="K2430" s="170"/>
      <c r="L2430" s="171"/>
      <c r="M2430" s="50"/>
      <c r="N2430" s="171"/>
      <c r="O2430" s="202"/>
      <c r="P2430" s="202"/>
      <c r="Q2430" s="202"/>
      <c r="R2430" s="162"/>
      <c r="S2430" s="162"/>
    </row>
    <row r="2431" spans="1:19">
      <c r="A2431" s="294"/>
      <c r="B2431" s="164"/>
      <c r="C2431" s="165"/>
      <c r="D2431" s="165"/>
      <c r="E2431" s="165"/>
      <c r="F2431" s="165"/>
      <c r="G2431" s="166"/>
      <c r="I2431" s="295" t="s">
        <v>789</v>
      </c>
      <c r="J2431" s="295"/>
      <c r="K2431" s="170"/>
      <c r="L2431" s="171"/>
      <c r="M2431" s="50"/>
      <c r="N2431" s="171"/>
      <c r="O2431" s="202"/>
      <c r="P2431" s="202"/>
      <c r="Q2431" s="202"/>
      <c r="R2431" s="162"/>
      <c r="S2431" s="162"/>
    </row>
    <row r="2432" spans="1:19">
      <c r="A2432" s="63"/>
      <c r="B2432" s="63"/>
      <c r="C2432" s="63"/>
      <c r="D2432" s="63"/>
      <c r="E2432" s="63"/>
      <c r="F2432" s="63"/>
      <c r="G2432" s="63"/>
      <c r="I2432" s="295" t="s">
        <v>790</v>
      </c>
      <c r="J2432" s="295"/>
      <c r="K2432" s="170"/>
      <c r="L2432" s="171"/>
      <c r="M2432" s="50"/>
      <c r="N2432" s="171"/>
      <c r="O2432" s="202"/>
      <c r="P2432" s="202"/>
      <c r="Q2432" s="202"/>
      <c r="R2432" s="162"/>
      <c r="S2432" s="162"/>
    </row>
    <row r="2433" spans="1:19">
      <c r="A2433" s="63"/>
      <c r="B2433" s="63"/>
      <c r="C2433" s="63"/>
      <c r="D2433" s="63"/>
      <c r="E2433" s="63"/>
      <c r="F2433" s="63"/>
      <c r="G2433" s="63"/>
      <c r="I2433" s="295" t="s">
        <v>791</v>
      </c>
      <c r="J2433" s="295"/>
      <c r="K2433" s="170"/>
      <c r="L2433" s="171"/>
      <c r="M2433" s="50"/>
      <c r="N2433" s="171"/>
      <c r="O2433" s="202"/>
      <c r="P2433" s="202"/>
      <c r="Q2433" s="202"/>
      <c r="R2433" s="162"/>
      <c r="S2433" s="162"/>
    </row>
    <row r="2434" spans="1:19">
      <c r="A2434" s="63"/>
      <c r="B2434" s="63"/>
      <c r="C2434" s="63"/>
      <c r="D2434" s="63"/>
      <c r="E2434" s="63"/>
      <c r="F2434" s="63"/>
      <c r="G2434" s="63"/>
      <c r="I2434" s="296" t="s">
        <v>792</v>
      </c>
      <c r="J2434" s="296"/>
      <c r="K2434" s="170"/>
      <c r="L2434" s="171"/>
      <c r="M2434" s="50"/>
      <c r="N2434" s="171"/>
      <c r="O2434" s="202"/>
      <c r="P2434" s="202"/>
      <c r="Q2434" s="202"/>
      <c r="R2434" s="162"/>
      <c r="S2434" s="162"/>
    </row>
    <row r="2435" spans="1:19" ht="17.25" thickBot="1">
      <c r="A2435" s="63"/>
      <c r="B2435" s="63"/>
      <c r="C2435" s="63"/>
      <c r="D2435" s="63"/>
      <c r="E2435" s="63"/>
      <c r="F2435" s="63"/>
      <c r="G2435" s="63"/>
      <c r="I2435" s="297" t="s">
        <v>793</v>
      </c>
      <c r="J2435" s="297"/>
      <c r="K2435" s="172">
        <f t="shared" ref="K2435:S2435" si="1129">SUM(K2424:K2434)</f>
        <v>0</v>
      </c>
      <c r="L2435" s="205">
        <f t="shared" si="1129"/>
        <v>0</v>
      </c>
      <c r="M2435" s="205">
        <f t="shared" si="1129"/>
        <v>0</v>
      </c>
      <c r="N2435" s="205">
        <f t="shared" si="1129"/>
        <v>0</v>
      </c>
      <c r="O2435" s="174">
        <f t="shared" si="1129"/>
        <v>0</v>
      </c>
      <c r="P2435" s="174">
        <f t="shared" si="1129"/>
        <v>0</v>
      </c>
      <c r="Q2435" s="174">
        <f t="shared" si="1129"/>
        <v>0</v>
      </c>
      <c r="R2435" s="175">
        <f t="shared" si="1129"/>
        <v>0</v>
      </c>
      <c r="S2435" s="175">
        <f t="shared" si="1129"/>
        <v>0</v>
      </c>
    </row>
    <row r="2436" spans="1:19" ht="17.25" thickBot="1">
      <c r="A2436" s="63"/>
      <c r="B2436" s="63"/>
      <c r="C2436" s="63"/>
      <c r="D2436" s="63"/>
      <c r="E2436" s="63"/>
      <c r="F2436" s="63"/>
      <c r="G2436" s="63"/>
      <c r="I2436" s="298" t="s">
        <v>794</v>
      </c>
      <c r="J2436" s="299"/>
      <c r="K2436" s="176">
        <f t="shared" ref="K2436" si="1130">S2415-K2435</f>
        <v>0</v>
      </c>
      <c r="L2436" s="177">
        <f t="shared" ref="L2436" si="1131">K2435-L2435</f>
        <v>0</v>
      </c>
      <c r="M2436" s="177">
        <f t="shared" ref="M2436" si="1132">K2435-M2435</f>
        <v>0</v>
      </c>
      <c r="N2436" s="177">
        <f t="shared" ref="N2436" si="1133">K2435-N2435</f>
        <v>0</v>
      </c>
      <c r="O2436" s="178">
        <f t="shared" ref="O2436" si="1134">K2435-O2435</f>
        <v>0</v>
      </c>
      <c r="P2436" s="178">
        <f t="shared" ref="P2436" si="1135">K2435-P2435</f>
        <v>0</v>
      </c>
      <c r="Q2436" s="178">
        <f t="shared" ref="Q2436" si="1136">K2435-Q2435</f>
        <v>0</v>
      </c>
      <c r="R2436" s="179">
        <f t="shared" ref="R2436" si="1137">K2435-R2435</f>
        <v>0</v>
      </c>
      <c r="S2436" s="180">
        <f t="shared" ref="S2436" si="1138">L2435-S2435</f>
        <v>0</v>
      </c>
    </row>
    <row r="2437" spans="1:19">
      <c r="A2437" s="63"/>
      <c r="B2437" s="63"/>
      <c r="C2437" s="63"/>
      <c r="D2437" s="63"/>
      <c r="E2437" s="63"/>
      <c r="F2437" s="63"/>
      <c r="G2437" s="63"/>
      <c r="I2437" s="300" t="s">
        <v>795</v>
      </c>
      <c r="J2437" s="301"/>
      <c r="K2437" s="181"/>
      <c r="L2437" s="182"/>
      <c r="M2437" s="182"/>
      <c r="N2437" s="182"/>
      <c r="O2437" s="183"/>
      <c r="P2437" s="182"/>
      <c r="Q2437" s="182"/>
      <c r="R2437" s="182"/>
      <c r="S2437" s="182"/>
    </row>
    <row r="2438" spans="1:19">
      <c r="A2438" s="63"/>
      <c r="B2438" s="63"/>
      <c r="C2438" s="63"/>
      <c r="D2438" s="63"/>
      <c r="E2438" s="63"/>
      <c r="F2438" s="63"/>
      <c r="G2438" s="63"/>
      <c r="I2438" s="302" t="s">
        <v>796</v>
      </c>
      <c r="J2438" s="302"/>
      <c r="K2438" s="184"/>
      <c r="L2438" s="203"/>
      <c r="M2438" s="203"/>
      <c r="N2438" s="203"/>
      <c r="O2438" s="203"/>
      <c r="P2438" s="203"/>
      <c r="Q2438" s="203"/>
      <c r="R2438" s="203"/>
      <c r="S2438" s="203"/>
    </row>
    <row r="2439" spans="1:19">
      <c r="A2439" s="63"/>
      <c r="B2439" s="63"/>
      <c r="C2439" s="63"/>
      <c r="D2439" s="63"/>
      <c r="E2439" s="63"/>
      <c r="F2439" s="63"/>
      <c r="G2439" s="63"/>
      <c r="I2439" s="302" t="s">
        <v>797</v>
      </c>
      <c r="J2439" s="302"/>
      <c r="K2439" s="184"/>
      <c r="L2439" s="203"/>
      <c r="M2439" s="203"/>
      <c r="N2439" s="203"/>
      <c r="O2439" s="203"/>
      <c r="P2439" s="203"/>
      <c r="Q2439" s="203"/>
      <c r="R2439" s="203"/>
      <c r="S2439" s="203"/>
    </row>
    <row r="2440" spans="1:19">
      <c r="A2440" s="63"/>
      <c r="B2440" s="63"/>
      <c r="C2440" s="63"/>
      <c r="D2440" s="63"/>
      <c r="E2440" s="63"/>
      <c r="F2440" s="63"/>
      <c r="G2440" s="63"/>
      <c r="I2440" s="303" t="s">
        <v>798</v>
      </c>
      <c r="J2440" s="303"/>
      <c r="K2440" s="184"/>
      <c r="L2440" s="185"/>
      <c r="M2440" s="185"/>
      <c r="N2440" s="185"/>
      <c r="O2440" s="185"/>
      <c r="P2440" s="204"/>
      <c r="Q2440" s="204"/>
      <c r="R2440" s="204"/>
      <c r="S2440" s="204"/>
    </row>
    <row r="2441" spans="1:19">
      <c r="A2441" s="3" t="s">
        <v>801</v>
      </c>
      <c r="B2441" s="201" t="s">
        <v>802</v>
      </c>
      <c r="C2441" s="201" t="s">
        <v>803</v>
      </c>
      <c r="D2441" s="201" t="s">
        <v>119</v>
      </c>
      <c r="E2441" s="201" t="s">
        <v>148</v>
      </c>
      <c r="F2441" s="201" t="s">
        <v>806</v>
      </c>
      <c r="G2441" s="201" t="s">
        <v>81</v>
      </c>
      <c r="I2441" s="187"/>
      <c r="J2441" s="187"/>
      <c r="K2441" s="187"/>
      <c r="L2441" s="188"/>
      <c r="M2441" s="188"/>
      <c r="N2441" s="188"/>
      <c r="O2441" s="188"/>
      <c r="P2441" s="187"/>
      <c r="Q2441" s="187"/>
      <c r="R2441" s="187"/>
      <c r="S2441" s="187"/>
    </row>
    <row r="2442" spans="1:19">
      <c r="A2442" s="293">
        <v>44161</v>
      </c>
      <c r="B2442" s="161"/>
      <c r="C2442" s="162"/>
      <c r="D2442" s="162"/>
      <c r="E2442" s="162"/>
      <c r="F2442" s="162"/>
      <c r="G2442" s="163"/>
      <c r="I2442" s="191"/>
      <c r="J2442" s="190"/>
      <c r="K2442" s="190"/>
      <c r="L2442" s="190"/>
      <c r="M2442" s="190">
        <v>44161</v>
      </c>
      <c r="N2442" s="189" t="s">
        <v>864</v>
      </c>
      <c r="O2442" s="189"/>
      <c r="P2442" s="189"/>
      <c r="Q2442" s="189"/>
      <c r="R2442" s="189"/>
      <c r="S2442" s="189"/>
    </row>
    <row r="2443" spans="1:19">
      <c r="A2443" s="294"/>
      <c r="B2443" s="164"/>
      <c r="C2443" s="165"/>
      <c r="D2443" s="165"/>
      <c r="E2443" s="165"/>
      <c r="F2443" s="165"/>
      <c r="G2443" s="166"/>
      <c r="I2443" s="304"/>
      <c r="J2443" s="304"/>
      <c r="K2443" s="167"/>
      <c r="L2443" s="168"/>
      <c r="M2443" s="168"/>
      <c r="N2443" s="168"/>
      <c r="O2443" s="169"/>
      <c r="P2443" s="169"/>
      <c r="Q2443" s="169"/>
      <c r="R2443" s="161"/>
      <c r="S2443" s="161"/>
    </row>
    <row r="2444" spans="1:19">
      <c r="A2444" s="294"/>
      <c r="B2444" s="161"/>
      <c r="C2444" s="162"/>
      <c r="D2444" s="162"/>
      <c r="E2444" s="162"/>
      <c r="F2444" s="162"/>
      <c r="G2444" s="163"/>
      <c r="I2444" s="295" t="s">
        <v>782</v>
      </c>
      <c r="J2444" s="296"/>
      <c r="K2444" s="170"/>
      <c r="L2444" s="171"/>
      <c r="M2444" s="50"/>
      <c r="N2444" s="171"/>
      <c r="O2444" s="202"/>
      <c r="P2444" s="202"/>
      <c r="Q2444" s="202"/>
      <c r="R2444" s="162"/>
      <c r="S2444" s="162"/>
    </row>
    <row r="2445" spans="1:19">
      <c r="A2445" s="294"/>
      <c r="B2445" s="164"/>
      <c r="C2445" s="165"/>
      <c r="D2445" s="165"/>
      <c r="E2445" s="165"/>
      <c r="F2445" s="165"/>
      <c r="G2445" s="166"/>
      <c r="I2445" s="295" t="s">
        <v>783</v>
      </c>
      <c r="J2445" s="295"/>
      <c r="K2445" s="170"/>
      <c r="L2445" s="171"/>
      <c r="M2445" s="50"/>
      <c r="N2445" s="171"/>
      <c r="O2445" s="202"/>
      <c r="P2445" s="202"/>
      <c r="Q2445" s="202"/>
      <c r="R2445" s="162"/>
      <c r="S2445" s="162"/>
    </row>
    <row r="2446" spans="1:19">
      <c r="A2446" s="294"/>
      <c r="B2446" s="161"/>
      <c r="C2446" s="162"/>
      <c r="D2446" s="162"/>
      <c r="E2446" s="162"/>
      <c r="F2446" s="162"/>
      <c r="G2446" s="163"/>
      <c r="I2446" s="295" t="s">
        <v>784</v>
      </c>
      <c r="J2446" s="295"/>
      <c r="K2446" s="170"/>
      <c r="L2446" s="171"/>
      <c r="M2446" s="50"/>
      <c r="N2446" s="171"/>
      <c r="O2446" s="202"/>
      <c r="P2446" s="202"/>
      <c r="Q2446" s="202"/>
      <c r="R2446" s="162"/>
      <c r="S2446" s="162"/>
    </row>
    <row r="2447" spans="1:19">
      <c r="A2447" s="294"/>
      <c r="B2447" s="164"/>
      <c r="C2447" s="165"/>
      <c r="D2447" s="165"/>
      <c r="E2447" s="165"/>
      <c r="F2447" s="165"/>
      <c r="G2447" s="166"/>
      <c r="I2447" s="295" t="s">
        <v>785</v>
      </c>
      <c r="J2447" s="295"/>
      <c r="K2447" s="170"/>
      <c r="L2447" s="171"/>
      <c r="M2447" s="50"/>
      <c r="N2447" s="171"/>
      <c r="O2447" s="202"/>
      <c r="P2447" s="202"/>
      <c r="Q2447" s="202"/>
      <c r="R2447" s="162"/>
      <c r="S2447" s="162"/>
    </row>
    <row r="2448" spans="1:19">
      <c r="A2448" s="294"/>
      <c r="B2448" s="161"/>
      <c r="C2448" s="162"/>
      <c r="D2448" s="162"/>
      <c r="E2448" s="162"/>
      <c r="F2448" s="162"/>
      <c r="G2448" s="163"/>
      <c r="I2448" s="295" t="s">
        <v>786</v>
      </c>
      <c r="J2448" s="295"/>
      <c r="K2448" s="170"/>
      <c r="L2448" s="171"/>
      <c r="M2448" s="50"/>
      <c r="N2448" s="171"/>
      <c r="O2448" s="202"/>
      <c r="P2448" s="202"/>
      <c r="Q2448" s="202"/>
      <c r="R2448" s="162"/>
      <c r="S2448" s="162"/>
    </row>
    <row r="2449" spans="1:19">
      <c r="A2449" s="294"/>
      <c r="B2449" s="164"/>
      <c r="C2449" s="165"/>
      <c r="D2449" s="165"/>
      <c r="E2449" s="165"/>
      <c r="F2449" s="165"/>
      <c r="G2449" s="166"/>
      <c r="I2449" s="295" t="s">
        <v>787</v>
      </c>
      <c r="J2449" s="295"/>
      <c r="K2449" s="170"/>
      <c r="L2449" s="171"/>
      <c r="M2449" s="50"/>
      <c r="N2449" s="171"/>
      <c r="O2449" s="202"/>
      <c r="P2449" s="202"/>
      <c r="Q2449" s="202"/>
      <c r="R2449" s="162"/>
      <c r="S2449" s="162"/>
    </row>
    <row r="2450" spans="1:19">
      <c r="A2450" s="294"/>
      <c r="B2450" s="161"/>
      <c r="C2450" s="162"/>
      <c r="D2450" s="162"/>
      <c r="E2450" s="162"/>
      <c r="F2450" s="162"/>
      <c r="G2450" s="163"/>
      <c r="I2450" s="295" t="s">
        <v>788</v>
      </c>
      <c r="J2450" s="295"/>
      <c r="K2450" s="170"/>
      <c r="L2450" s="171"/>
      <c r="M2450" s="50"/>
      <c r="N2450" s="171"/>
      <c r="O2450" s="202"/>
      <c r="P2450" s="202"/>
      <c r="Q2450" s="202"/>
      <c r="R2450" s="162"/>
      <c r="S2450" s="162"/>
    </row>
    <row r="2451" spans="1:19">
      <c r="A2451" s="294"/>
      <c r="B2451" s="164"/>
      <c r="C2451" s="165"/>
      <c r="D2451" s="165"/>
      <c r="E2451" s="165"/>
      <c r="F2451" s="165"/>
      <c r="G2451" s="166"/>
      <c r="I2451" s="295" t="s">
        <v>789</v>
      </c>
      <c r="J2451" s="295"/>
      <c r="K2451" s="170"/>
      <c r="L2451" s="171"/>
      <c r="M2451" s="50"/>
      <c r="N2451" s="171"/>
      <c r="O2451" s="202"/>
      <c r="P2451" s="202"/>
      <c r="Q2451" s="202"/>
      <c r="R2451" s="162"/>
      <c r="S2451" s="162"/>
    </row>
    <row r="2452" spans="1:19">
      <c r="A2452" s="63"/>
      <c r="B2452" s="63"/>
      <c r="C2452" s="63"/>
      <c r="D2452" s="63"/>
      <c r="E2452" s="63"/>
      <c r="F2452" s="63"/>
      <c r="G2452" s="63"/>
      <c r="I2452" s="295" t="s">
        <v>790</v>
      </c>
      <c r="J2452" s="295"/>
      <c r="K2452" s="170"/>
      <c r="L2452" s="171"/>
      <c r="M2452" s="50"/>
      <c r="N2452" s="171"/>
      <c r="O2452" s="202"/>
      <c r="P2452" s="202"/>
      <c r="Q2452" s="202"/>
      <c r="R2452" s="162"/>
      <c r="S2452" s="162"/>
    </row>
    <row r="2453" spans="1:19">
      <c r="A2453" s="63"/>
      <c r="B2453" s="63"/>
      <c r="C2453" s="63"/>
      <c r="D2453" s="63"/>
      <c r="E2453" s="63"/>
      <c r="F2453" s="63"/>
      <c r="G2453" s="63"/>
      <c r="I2453" s="295" t="s">
        <v>791</v>
      </c>
      <c r="J2453" s="295"/>
      <c r="K2453" s="170"/>
      <c r="L2453" s="171"/>
      <c r="M2453" s="50"/>
      <c r="N2453" s="171"/>
      <c r="O2453" s="202"/>
      <c r="P2453" s="202"/>
      <c r="Q2453" s="202"/>
      <c r="R2453" s="162"/>
      <c r="S2453" s="162"/>
    </row>
    <row r="2454" spans="1:19">
      <c r="A2454" s="63"/>
      <c r="B2454" s="63"/>
      <c r="C2454" s="63"/>
      <c r="D2454" s="63"/>
      <c r="E2454" s="63"/>
      <c r="F2454" s="63"/>
      <c r="G2454" s="63"/>
      <c r="I2454" s="296" t="s">
        <v>792</v>
      </c>
      <c r="J2454" s="296"/>
      <c r="K2454" s="170"/>
      <c r="L2454" s="171"/>
      <c r="M2454" s="50"/>
      <c r="N2454" s="171"/>
      <c r="O2454" s="202"/>
      <c r="P2454" s="202"/>
      <c r="Q2454" s="202"/>
      <c r="R2454" s="162"/>
      <c r="S2454" s="162"/>
    </row>
    <row r="2455" spans="1:19" ht="17.25" thickBot="1">
      <c r="A2455" s="63"/>
      <c r="B2455" s="63"/>
      <c r="C2455" s="63"/>
      <c r="D2455" s="63"/>
      <c r="E2455" s="63"/>
      <c r="F2455" s="63"/>
      <c r="G2455" s="63"/>
      <c r="I2455" s="297" t="s">
        <v>793</v>
      </c>
      <c r="J2455" s="297"/>
      <c r="K2455" s="172">
        <f t="shared" ref="K2455:S2455" si="1139">SUM(K2444:K2454)</f>
        <v>0</v>
      </c>
      <c r="L2455" s="205">
        <f t="shared" si="1139"/>
        <v>0</v>
      </c>
      <c r="M2455" s="205">
        <f t="shared" si="1139"/>
        <v>0</v>
      </c>
      <c r="N2455" s="205">
        <f t="shared" si="1139"/>
        <v>0</v>
      </c>
      <c r="O2455" s="174">
        <f t="shared" si="1139"/>
        <v>0</v>
      </c>
      <c r="P2455" s="174">
        <f t="shared" si="1139"/>
        <v>0</v>
      </c>
      <c r="Q2455" s="174">
        <f t="shared" si="1139"/>
        <v>0</v>
      </c>
      <c r="R2455" s="175">
        <f t="shared" si="1139"/>
        <v>0</v>
      </c>
      <c r="S2455" s="175">
        <f t="shared" si="1139"/>
        <v>0</v>
      </c>
    </row>
    <row r="2456" spans="1:19" ht="17.25" thickBot="1">
      <c r="A2456" s="63"/>
      <c r="B2456" s="63"/>
      <c r="C2456" s="63"/>
      <c r="D2456" s="63"/>
      <c r="E2456" s="63"/>
      <c r="F2456" s="63"/>
      <c r="G2456" s="63"/>
      <c r="I2456" s="298" t="s">
        <v>794</v>
      </c>
      <c r="J2456" s="299"/>
      <c r="K2456" s="176">
        <f t="shared" ref="K2456" si="1140">S2435-K2455</f>
        <v>0</v>
      </c>
      <c r="L2456" s="177">
        <f t="shared" ref="L2456" si="1141">K2455-L2455</f>
        <v>0</v>
      </c>
      <c r="M2456" s="177">
        <f t="shared" ref="M2456" si="1142">K2455-M2455</f>
        <v>0</v>
      </c>
      <c r="N2456" s="177">
        <f t="shared" ref="N2456" si="1143">K2455-N2455</f>
        <v>0</v>
      </c>
      <c r="O2456" s="178">
        <f t="shared" ref="O2456" si="1144">K2455-O2455</f>
        <v>0</v>
      </c>
      <c r="P2456" s="178">
        <f t="shared" ref="P2456" si="1145">K2455-P2455</f>
        <v>0</v>
      </c>
      <c r="Q2456" s="178">
        <f t="shared" ref="Q2456" si="1146">K2455-Q2455</f>
        <v>0</v>
      </c>
      <c r="R2456" s="179">
        <f t="shared" ref="R2456" si="1147">K2455-R2455</f>
        <v>0</v>
      </c>
      <c r="S2456" s="180">
        <f t="shared" ref="S2456" si="1148">L2455-S2455</f>
        <v>0</v>
      </c>
    </row>
    <row r="2457" spans="1:19">
      <c r="A2457" s="63"/>
      <c r="B2457" s="63"/>
      <c r="C2457" s="63"/>
      <c r="D2457" s="63"/>
      <c r="E2457" s="63"/>
      <c r="F2457" s="63"/>
      <c r="G2457" s="63"/>
      <c r="I2457" s="300" t="s">
        <v>795</v>
      </c>
      <c r="J2457" s="301"/>
      <c r="K2457" s="181"/>
      <c r="L2457" s="182"/>
      <c r="M2457" s="182"/>
      <c r="N2457" s="182"/>
      <c r="O2457" s="183"/>
      <c r="P2457" s="182"/>
      <c r="Q2457" s="182"/>
      <c r="R2457" s="182"/>
      <c r="S2457" s="182"/>
    </row>
    <row r="2458" spans="1:19">
      <c r="A2458" s="63"/>
      <c r="B2458" s="63"/>
      <c r="C2458" s="63"/>
      <c r="D2458" s="63"/>
      <c r="E2458" s="63"/>
      <c r="F2458" s="63"/>
      <c r="G2458" s="63"/>
      <c r="I2458" s="302" t="s">
        <v>796</v>
      </c>
      <c r="J2458" s="302"/>
      <c r="K2458" s="184"/>
      <c r="L2458" s="203"/>
      <c r="M2458" s="203"/>
      <c r="N2458" s="203"/>
      <c r="O2458" s="203"/>
      <c r="P2458" s="203"/>
      <c r="Q2458" s="203"/>
      <c r="R2458" s="203"/>
      <c r="S2458" s="203"/>
    </row>
    <row r="2459" spans="1:19">
      <c r="A2459" s="63"/>
      <c r="B2459" s="63"/>
      <c r="C2459" s="63"/>
      <c r="D2459" s="63"/>
      <c r="E2459" s="63"/>
      <c r="F2459" s="63"/>
      <c r="G2459" s="63"/>
      <c r="I2459" s="302" t="s">
        <v>797</v>
      </c>
      <c r="J2459" s="302"/>
      <c r="K2459" s="184"/>
      <c r="L2459" s="203"/>
      <c r="M2459" s="203"/>
      <c r="N2459" s="203"/>
      <c r="O2459" s="203"/>
      <c r="P2459" s="203"/>
      <c r="Q2459" s="203"/>
      <c r="R2459" s="203"/>
      <c r="S2459" s="203"/>
    </row>
    <row r="2460" spans="1:19">
      <c r="A2460" s="63"/>
      <c r="B2460" s="63"/>
      <c r="C2460" s="63"/>
      <c r="D2460" s="63"/>
      <c r="E2460" s="63"/>
      <c r="F2460" s="63"/>
      <c r="G2460" s="63"/>
      <c r="I2460" s="303" t="s">
        <v>798</v>
      </c>
      <c r="J2460" s="303"/>
      <c r="K2460" s="184"/>
      <c r="L2460" s="185"/>
      <c r="M2460" s="185"/>
      <c r="N2460" s="185"/>
      <c r="O2460" s="185"/>
      <c r="P2460" s="204"/>
      <c r="Q2460" s="204"/>
      <c r="R2460" s="204"/>
      <c r="S2460" s="204"/>
    </row>
    <row r="2461" spans="1:19">
      <c r="A2461" s="3" t="s">
        <v>801</v>
      </c>
      <c r="B2461" s="201" t="s">
        <v>802</v>
      </c>
      <c r="C2461" s="201" t="s">
        <v>803</v>
      </c>
      <c r="D2461" s="201" t="s">
        <v>119</v>
      </c>
      <c r="E2461" s="201" t="s">
        <v>148</v>
      </c>
      <c r="F2461" s="201" t="s">
        <v>806</v>
      </c>
      <c r="G2461" s="201" t="s">
        <v>81</v>
      </c>
      <c r="I2461" s="187"/>
      <c r="J2461" s="187"/>
      <c r="K2461" s="187"/>
      <c r="L2461" s="188"/>
      <c r="M2461" s="188"/>
      <c r="N2461" s="188"/>
      <c r="O2461" s="188"/>
      <c r="P2461" s="187"/>
      <c r="Q2461" s="187"/>
      <c r="R2461" s="187"/>
      <c r="S2461" s="187"/>
    </row>
    <row r="2462" spans="1:19">
      <c r="A2462" s="293">
        <v>44162</v>
      </c>
      <c r="B2462" s="161"/>
      <c r="C2462" s="162"/>
      <c r="D2462" s="162"/>
      <c r="E2462" s="162"/>
      <c r="F2462" s="162"/>
      <c r="G2462" s="163"/>
      <c r="I2462" s="191"/>
      <c r="J2462" s="190"/>
      <c r="K2462" s="190"/>
      <c r="L2462" s="190"/>
      <c r="M2462" s="190">
        <v>44162</v>
      </c>
      <c r="N2462" s="189" t="s">
        <v>864</v>
      </c>
      <c r="O2462" s="189"/>
      <c r="P2462" s="189"/>
      <c r="Q2462" s="189"/>
      <c r="R2462" s="189"/>
      <c r="S2462" s="189"/>
    </row>
    <row r="2463" spans="1:19">
      <c r="A2463" s="294"/>
      <c r="B2463" s="164"/>
      <c r="C2463" s="165"/>
      <c r="D2463" s="165"/>
      <c r="E2463" s="165"/>
      <c r="F2463" s="165"/>
      <c r="G2463" s="166"/>
      <c r="I2463" s="304"/>
      <c r="J2463" s="304"/>
      <c r="K2463" s="167"/>
      <c r="L2463" s="168"/>
      <c r="M2463" s="168"/>
      <c r="N2463" s="168"/>
      <c r="O2463" s="169"/>
      <c r="P2463" s="169"/>
      <c r="Q2463" s="169"/>
      <c r="R2463" s="161"/>
      <c r="S2463" s="161"/>
    </row>
    <row r="2464" spans="1:19">
      <c r="A2464" s="294"/>
      <c r="B2464" s="161"/>
      <c r="C2464" s="162"/>
      <c r="D2464" s="162"/>
      <c r="E2464" s="162"/>
      <c r="F2464" s="162"/>
      <c r="G2464" s="163"/>
      <c r="I2464" s="295" t="s">
        <v>782</v>
      </c>
      <c r="J2464" s="296"/>
      <c r="K2464" s="170"/>
      <c r="L2464" s="171"/>
      <c r="M2464" s="50"/>
      <c r="N2464" s="171"/>
      <c r="O2464" s="202"/>
      <c r="P2464" s="202"/>
      <c r="Q2464" s="202"/>
      <c r="R2464" s="162"/>
      <c r="S2464" s="162"/>
    </row>
    <row r="2465" spans="1:19">
      <c r="A2465" s="294"/>
      <c r="B2465" s="164"/>
      <c r="C2465" s="165"/>
      <c r="D2465" s="165"/>
      <c r="E2465" s="165"/>
      <c r="F2465" s="165"/>
      <c r="G2465" s="166"/>
      <c r="I2465" s="295" t="s">
        <v>783</v>
      </c>
      <c r="J2465" s="295"/>
      <c r="K2465" s="170"/>
      <c r="L2465" s="171"/>
      <c r="M2465" s="50"/>
      <c r="N2465" s="171"/>
      <c r="O2465" s="202"/>
      <c r="P2465" s="202"/>
      <c r="Q2465" s="202"/>
      <c r="R2465" s="162"/>
      <c r="S2465" s="162"/>
    </row>
    <row r="2466" spans="1:19">
      <c r="A2466" s="294"/>
      <c r="B2466" s="161"/>
      <c r="C2466" s="162"/>
      <c r="D2466" s="162"/>
      <c r="E2466" s="162"/>
      <c r="F2466" s="162"/>
      <c r="G2466" s="163"/>
      <c r="I2466" s="295" t="s">
        <v>784</v>
      </c>
      <c r="J2466" s="295"/>
      <c r="K2466" s="170"/>
      <c r="L2466" s="171"/>
      <c r="M2466" s="50"/>
      <c r="N2466" s="171"/>
      <c r="O2466" s="202"/>
      <c r="P2466" s="202"/>
      <c r="Q2466" s="202"/>
      <c r="R2466" s="162"/>
      <c r="S2466" s="162"/>
    </row>
    <row r="2467" spans="1:19">
      <c r="A2467" s="294"/>
      <c r="B2467" s="164"/>
      <c r="C2467" s="165"/>
      <c r="D2467" s="165"/>
      <c r="E2467" s="165"/>
      <c r="F2467" s="165"/>
      <c r="G2467" s="166"/>
      <c r="I2467" s="295" t="s">
        <v>785</v>
      </c>
      <c r="J2467" s="295"/>
      <c r="K2467" s="170"/>
      <c r="L2467" s="171"/>
      <c r="M2467" s="50"/>
      <c r="N2467" s="171"/>
      <c r="O2467" s="202"/>
      <c r="P2467" s="202"/>
      <c r="Q2467" s="202"/>
      <c r="R2467" s="162"/>
      <c r="S2467" s="162"/>
    </row>
    <row r="2468" spans="1:19">
      <c r="A2468" s="294"/>
      <c r="B2468" s="161"/>
      <c r="C2468" s="162"/>
      <c r="D2468" s="162"/>
      <c r="E2468" s="162"/>
      <c r="F2468" s="162"/>
      <c r="G2468" s="163"/>
      <c r="I2468" s="295" t="s">
        <v>786</v>
      </c>
      <c r="J2468" s="295"/>
      <c r="K2468" s="170"/>
      <c r="L2468" s="171"/>
      <c r="M2468" s="50"/>
      <c r="N2468" s="171"/>
      <c r="O2468" s="202"/>
      <c r="P2468" s="202"/>
      <c r="Q2468" s="202"/>
      <c r="R2468" s="162"/>
      <c r="S2468" s="162"/>
    </row>
    <row r="2469" spans="1:19">
      <c r="A2469" s="294"/>
      <c r="B2469" s="164"/>
      <c r="C2469" s="165"/>
      <c r="D2469" s="165"/>
      <c r="E2469" s="165"/>
      <c r="F2469" s="165"/>
      <c r="G2469" s="166"/>
      <c r="I2469" s="295" t="s">
        <v>787</v>
      </c>
      <c r="J2469" s="295"/>
      <c r="K2469" s="170"/>
      <c r="L2469" s="171"/>
      <c r="M2469" s="50"/>
      <c r="N2469" s="171"/>
      <c r="O2469" s="202"/>
      <c r="P2469" s="202"/>
      <c r="Q2469" s="202"/>
      <c r="R2469" s="162"/>
      <c r="S2469" s="162"/>
    </row>
    <row r="2470" spans="1:19">
      <c r="A2470" s="294"/>
      <c r="B2470" s="161"/>
      <c r="C2470" s="162"/>
      <c r="D2470" s="162"/>
      <c r="E2470" s="162"/>
      <c r="F2470" s="162"/>
      <c r="G2470" s="163"/>
      <c r="I2470" s="295" t="s">
        <v>788</v>
      </c>
      <c r="J2470" s="295"/>
      <c r="K2470" s="170"/>
      <c r="L2470" s="171"/>
      <c r="M2470" s="50"/>
      <c r="N2470" s="171"/>
      <c r="O2470" s="202"/>
      <c r="P2470" s="202"/>
      <c r="Q2470" s="202"/>
      <c r="R2470" s="162"/>
      <c r="S2470" s="162"/>
    </row>
    <row r="2471" spans="1:19">
      <c r="A2471" s="294"/>
      <c r="B2471" s="164"/>
      <c r="C2471" s="165"/>
      <c r="D2471" s="165"/>
      <c r="E2471" s="165"/>
      <c r="F2471" s="165"/>
      <c r="G2471" s="166"/>
      <c r="I2471" s="295" t="s">
        <v>789</v>
      </c>
      <c r="J2471" s="295"/>
      <c r="K2471" s="170"/>
      <c r="L2471" s="171"/>
      <c r="M2471" s="50"/>
      <c r="N2471" s="171"/>
      <c r="O2471" s="202"/>
      <c r="P2471" s="202"/>
      <c r="Q2471" s="202"/>
      <c r="R2471" s="162"/>
      <c r="S2471" s="162"/>
    </row>
    <row r="2472" spans="1:19">
      <c r="A2472" s="63"/>
      <c r="B2472" s="63"/>
      <c r="C2472" s="63"/>
      <c r="D2472" s="63"/>
      <c r="E2472" s="63"/>
      <c r="F2472" s="63"/>
      <c r="G2472" s="63"/>
      <c r="I2472" s="295" t="s">
        <v>790</v>
      </c>
      <c r="J2472" s="295"/>
      <c r="K2472" s="170"/>
      <c r="L2472" s="171"/>
      <c r="M2472" s="50"/>
      <c r="N2472" s="171"/>
      <c r="O2472" s="202"/>
      <c r="P2472" s="202"/>
      <c r="Q2472" s="202"/>
      <c r="R2472" s="162"/>
      <c r="S2472" s="162"/>
    </row>
    <row r="2473" spans="1:19">
      <c r="A2473" s="63"/>
      <c r="B2473" s="63"/>
      <c r="C2473" s="63"/>
      <c r="D2473" s="63"/>
      <c r="E2473" s="63"/>
      <c r="F2473" s="63"/>
      <c r="G2473" s="63"/>
      <c r="I2473" s="295" t="s">
        <v>791</v>
      </c>
      <c r="J2473" s="295"/>
      <c r="K2473" s="170"/>
      <c r="L2473" s="171"/>
      <c r="M2473" s="50"/>
      <c r="N2473" s="171"/>
      <c r="O2473" s="202"/>
      <c r="P2473" s="202"/>
      <c r="Q2473" s="202"/>
      <c r="R2473" s="162"/>
      <c r="S2473" s="162"/>
    </row>
    <row r="2474" spans="1:19">
      <c r="A2474" s="63"/>
      <c r="B2474" s="63"/>
      <c r="C2474" s="63"/>
      <c r="D2474" s="63"/>
      <c r="E2474" s="63"/>
      <c r="F2474" s="63"/>
      <c r="G2474" s="63"/>
      <c r="I2474" s="296" t="s">
        <v>792</v>
      </c>
      <c r="J2474" s="296"/>
      <c r="K2474" s="170"/>
      <c r="L2474" s="171"/>
      <c r="M2474" s="50"/>
      <c r="N2474" s="171"/>
      <c r="O2474" s="202"/>
      <c r="P2474" s="202"/>
      <c r="Q2474" s="202"/>
      <c r="R2474" s="162"/>
      <c r="S2474" s="162"/>
    </row>
    <row r="2475" spans="1:19" ht="17.25" thickBot="1">
      <c r="A2475" s="63"/>
      <c r="B2475" s="63"/>
      <c r="C2475" s="63"/>
      <c r="D2475" s="63"/>
      <c r="E2475" s="63"/>
      <c r="F2475" s="63"/>
      <c r="G2475" s="63"/>
      <c r="I2475" s="297" t="s">
        <v>793</v>
      </c>
      <c r="J2475" s="297"/>
      <c r="K2475" s="172">
        <f t="shared" ref="K2475:S2475" si="1149">SUM(K2464:K2474)</f>
        <v>0</v>
      </c>
      <c r="L2475" s="205">
        <f t="shared" si="1149"/>
        <v>0</v>
      </c>
      <c r="M2475" s="205">
        <f t="shared" si="1149"/>
        <v>0</v>
      </c>
      <c r="N2475" s="205">
        <f t="shared" si="1149"/>
        <v>0</v>
      </c>
      <c r="O2475" s="174">
        <f t="shared" si="1149"/>
        <v>0</v>
      </c>
      <c r="P2475" s="174">
        <f t="shared" si="1149"/>
        <v>0</v>
      </c>
      <c r="Q2475" s="174">
        <f t="shared" si="1149"/>
        <v>0</v>
      </c>
      <c r="R2475" s="175">
        <f t="shared" si="1149"/>
        <v>0</v>
      </c>
      <c r="S2475" s="175">
        <f t="shared" si="1149"/>
        <v>0</v>
      </c>
    </row>
    <row r="2476" spans="1:19" ht="17.25" thickBot="1">
      <c r="A2476" s="63"/>
      <c r="B2476" s="63"/>
      <c r="C2476" s="63"/>
      <c r="D2476" s="63"/>
      <c r="E2476" s="63"/>
      <c r="F2476" s="63"/>
      <c r="G2476" s="63"/>
      <c r="I2476" s="298" t="s">
        <v>794</v>
      </c>
      <c r="J2476" s="299"/>
      <c r="K2476" s="176">
        <f t="shared" ref="K2476" si="1150">S2455-K2475</f>
        <v>0</v>
      </c>
      <c r="L2476" s="177">
        <f t="shared" ref="L2476" si="1151">K2475-L2475</f>
        <v>0</v>
      </c>
      <c r="M2476" s="177">
        <f t="shared" ref="M2476" si="1152">K2475-M2475</f>
        <v>0</v>
      </c>
      <c r="N2476" s="177">
        <f t="shared" ref="N2476" si="1153">K2475-N2475</f>
        <v>0</v>
      </c>
      <c r="O2476" s="178">
        <f t="shared" ref="O2476" si="1154">K2475-O2475</f>
        <v>0</v>
      </c>
      <c r="P2476" s="178">
        <f t="shared" ref="P2476" si="1155">K2475-P2475</f>
        <v>0</v>
      </c>
      <c r="Q2476" s="178">
        <f t="shared" ref="Q2476" si="1156">K2475-Q2475</f>
        <v>0</v>
      </c>
      <c r="R2476" s="179">
        <f t="shared" ref="R2476" si="1157">K2475-R2475</f>
        <v>0</v>
      </c>
      <c r="S2476" s="180">
        <f t="shared" ref="S2476" si="1158">L2475-S2475</f>
        <v>0</v>
      </c>
    </row>
    <row r="2477" spans="1:19">
      <c r="A2477" s="63"/>
      <c r="B2477" s="63"/>
      <c r="C2477" s="63"/>
      <c r="D2477" s="63"/>
      <c r="E2477" s="63"/>
      <c r="F2477" s="63"/>
      <c r="G2477" s="63"/>
      <c r="I2477" s="300" t="s">
        <v>795</v>
      </c>
      <c r="J2477" s="301"/>
      <c r="K2477" s="181"/>
      <c r="L2477" s="182"/>
      <c r="M2477" s="182"/>
      <c r="N2477" s="182"/>
      <c r="O2477" s="183"/>
      <c r="P2477" s="182"/>
      <c r="Q2477" s="182"/>
      <c r="R2477" s="182"/>
      <c r="S2477" s="182"/>
    </row>
    <row r="2478" spans="1:19">
      <c r="A2478" s="63"/>
      <c r="B2478" s="63"/>
      <c r="C2478" s="63"/>
      <c r="D2478" s="63"/>
      <c r="E2478" s="63"/>
      <c r="F2478" s="63"/>
      <c r="G2478" s="63"/>
      <c r="I2478" s="302" t="s">
        <v>796</v>
      </c>
      <c r="J2478" s="302"/>
      <c r="K2478" s="184"/>
      <c r="L2478" s="203"/>
      <c r="M2478" s="203"/>
      <c r="N2478" s="203"/>
      <c r="O2478" s="203"/>
      <c r="P2478" s="203"/>
      <c r="Q2478" s="203"/>
      <c r="R2478" s="203"/>
      <c r="S2478" s="203"/>
    </row>
    <row r="2479" spans="1:19">
      <c r="A2479" s="63"/>
      <c r="B2479" s="63"/>
      <c r="C2479" s="63"/>
      <c r="D2479" s="63"/>
      <c r="E2479" s="63"/>
      <c r="F2479" s="63"/>
      <c r="G2479" s="63"/>
      <c r="I2479" s="302" t="s">
        <v>797</v>
      </c>
      <c r="J2479" s="302"/>
      <c r="K2479" s="184"/>
      <c r="L2479" s="203"/>
      <c r="M2479" s="203"/>
      <c r="N2479" s="203"/>
      <c r="O2479" s="203"/>
      <c r="P2479" s="203"/>
      <c r="Q2479" s="203"/>
      <c r="R2479" s="203"/>
      <c r="S2479" s="203"/>
    </row>
    <row r="2480" spans="1:19">
      <c r="A2480" s="63"/>
      <c r="B2480" s="63"/>
      <c r="C2480" s="63"/>
      <c r="D2480" s="63"/>
      <c r="E2480" s="63"/>
      <c r="F2480" s="63"/>
      <c r="G2480" s="63"/>
      <c r="I2480" s="303" t="s">
        <v>798</v>
      </c>
      <c r="J2480" s="303"/>
      <c r="K2480" s="184"/>
      <c r="L2480" s="185"/>
      <c r="M2480" s="185"/>
      <c r="N2480" s="185"/>
      <c r="O2480" s="185"/>
      <c r="P2480" s="204"/>
      <c r="Q2480" s="204"/>
      <c r="R2480" s="204"/>
      <c r="S2480" s="204"/>
    </row>
    <row r="2481" spans="1:19">
      <c r="A2481" s="3" t="s">
        <v>801</v>
      </c>
      <c r="B2481" s="201" t="s">
        <v>802</v>
      </c>
      <c r="C2481" s="201" t="s">
        <v>803</v>
      </c>
      <c r="D2481" s="201" t="s">
        <v>119</v>
      </c>
      <c r="E2481" s="201" t="s">
        <v>148</v>
      </c>
      <c r="F2481" s="201" t="s">
        <v>806</v>
      </c>
      <c r="G2481" s="201" t="s">
        <v>81</v>
      </c>
      <c r="I2481" s="187"/>
      <c r="J2481" s="187"/>
      <c r="K2481" s="187"/>
      <c r="L2481" s="188"/>
      <c r="M2481" s="188"/>
      <c r="N2481" s="188"/>
      <c r="O2481" s="188"/>
      <c r="P2481" s="187"/>
      <c r="Q2481" s="187"/>
      <c r="R2481" s="187"/>
      <c r="S2481" s="187"/>
    </row>
    <row r="2482" spans="1:19">
      <c r="A2482" s="293">
        <v>44163</v>
      </c>
      <c r="B2482" s="161"/>
      <c r="C2482" s="162"/>
      <c r="D2482" s="162"/>
      <c r="E2482" s="162"/>
      <c r="F2482" s="162"/>
      <c r="G2482" s="163"/>
      <c r="I2482" s="191"/>
      <c r="J2482" s="190"/>
      <c r="K2482" s="190"/>
      <c r="L2482" s="190"/>
      <c r="M2482" s="190">
        <v>44163</v>
      </c>
      <c r="N2482" s="189" t="s">
        <v>864</v>
      </c>
      <c r="O2482" s="189"/>
      <c r="P2482" s="189"/>
      <c r="Q2482" s="189"/>
      <c r="R2482" s="189"/>
      <c r="S2482" s="189"/>
    </row>
    <row r="2483" spans="1:19">
      <c r="A2483" s="294"/>
      <c r="B2483" s="164"/>
      <c r="C2483" s="165"/>
      <c r="D2483" s="165"/>
      <c r="E2483" s="165"/>
      <c r="F2483" s="165"/>
      <c r="G2483" s="166"/>
      <c r="I2483" s="304"/>
      <c r="J2483" s="304"/>
      <c r="K2483" s="167"/>
      <c r="L2483" s="168"/>
      <c r="M2483" s="168"/>
      <c r="N2483" s="168"/>
      <c r="O2483" s="169"/>
      <c r="P2483" s="169"/>
      <c r="Q2483" s="169"/>
      <c r="R2483" s="161"/>
      <c r="S2483" s="161"/>
    </row>
    <row r="2484" spans="1:19">
      <c r="A2484" s="294"/>
      <c r="B2484" s="161"/>
      <c r="C2484" s="162"/>
      <c r="D2484" s="162"/>
      <c r="E2484" s="162"/>
      <c r="F2484" s="162"/>
      <c r="G2484" s="163"/>
      <c r="I2484" s="295" t="s">
        <v>782</v>
      </c>
      <c r="J2484" s="296"/>
      <c r="K2484" s="170"/>
      <c r="L2484" s="171"/>
      <c r="M2484" s="50"/>
      <c r="N2484" s="171"/>
      <c r="O2484" s="202"/>
      <c r="P2484" s="202"/>
      <c r="Q2484" s="202"/>
      <c r="R2484" s="162"/>
      <c r="S2484" s="162"/>
    </row>
    <row r="2485" spans="1:19">
      <c r="A2485" s="294"/>
      <c r="B2485" s="164"/>
      <c r="C2485" s="165"/>
      <c r="D2485" s="165"/>
      <c r="E2485" s="165"/>
      <c r="F2485" s="165"/>
      <c r="G2485" s="166"/>
      <c r="I2485" s="295" t="s">
        <v>783</v>
      </c>
      <c r="J2485" s="295"/>
      <c r="K2485" s="170"/>
      <c r="L2485" s="171"/>
      <c r="M2485" s="50"/>
      <c r="N2485" s="171"/>
      <c r="O2485" s="202"/>
      <c r="P2485" s="202"/>
      <c r="Q2485" s="202"/>
      <c r="R2485" s="162"/>
      <c r="S2485" s="162"/>
    </row>
    <row r="2486" spans="1:19">
      <c r="A2486" s="294"/>
      <c r="B2486" s="161"/>
      <c r="C2486" s="162"/>
      <c r="D2486" s="162"/>
      <c r="E2486" s="162"/>
      <c r="F2486" s="162"/>
      <c r="G2486" s="163"/>
      <c r="I2486" s="295" t="s">
        <v>784</v>
      </c>
      <c r="J2486" s="295"/>
      <c r="K2486" s="170"/>
      <c r="L2486" s="171"/>
      <c r="M2486" s="50"/>
      <c r="N2486" s="171"/>
      <c r="O2486" s="202"/>
      <c r="P2486" s="202"/>
      <c r="Q2486" s="202"/>
      <c r="R2486" s="162"/>
      <c r="S2486" s="162"/>
    </row>
    <row r="2487" spans="1:19">
      <c r="A2487" s="294"/>
      <c r="B2487" s="164"/>
      <c r="C2487" s="165"/>
      <c r="D2487" s="165"/>
      <c r="E2487" s="165"/>
      <c r="F2487" s="165"/>
      <c r="G2487" s="166"/>
      <c r="I2487" s="295" t="s">
        <v>785</v>
      </c>
      <c r="J2487" s="295"/>
      <c r="K2487" s="170"/>
      <c r="L2487" s="171"/>
      <c r="M2487" s="50"/>
      <c r="N2487" s="171"/>
      <c r="O2487" s="202"/>
      <c r="P2487" s="202"/>
      <c r="Q2487" s="202"/>
      <c r="R2487" s="162"/>
      <c r="S2487" s="162"/>
    </row>
    <row r="2488" spans="1:19">
      <c r="A2488" s="294"/>
      <c r="B2488" s="161"/>
      <c r="C2488" s="162"/>
      <c r="D2488" s="162"/>
      <c r="E2488" s="162"/>
      <c r="F2488" s="162"/>
      <c r="G2488" s="163"/>
      <c r="I2488" s="295" t="s">
        <v>786</v>
      </c>
      <c r="J2488" s="295"/>
      <c r="K2488" s="170"/>
      <c r="L2488" s="171"/>
      <c r="M2488" s="50"/>
      <c r="N2488" s="171"/>
      <c r="O2488" s="202"/>
      <c r="P2488" s="202"/>
      <c r="Q2488" s="202"/>
      <c r="R2488" s="162"/>
      <c r="S2488" s="162"/>
    </row>
    <row r="2489" spans="1:19">
      <c r="A2489" s="294"/>
      <c r="B2489" s="164"/>
      <c r="C2489" s="165"/>
      <c r="D2489" s="165"/>
      <c r="E2489" s="165"/>
      <c r="F2489" s="165"/>
      <c r="G2489" s="166"/>
      <c r="I2489" s="295" t="s">
        <v>787</v>
      </c>
      <c r="J2489" s="295"/>
      <c r="K2489" s="170"/>
      <c r="L2489" s="171"/>
      <c r="M2489" s="50"/>
      <c r="N2489" s="171"/>
      <c r="O2489" s="202"/>
      <c r="P2489" s="202"/>
      <c r="Q2489" s="202"/>
      <c r="R2489" s="162"/>
      <c r="S2489" s="162"/>
    </row>
    <row r="2490" spans="1:19">
      <c r="A2490" s="294"/>
      <c r="B2490" s="161"/>
      <c r="C2490" s="162"/>
      <c r="D2490" s="162"/>
      <c r="E2490" s="162"/>
      <c r="F2490" s="162"/>
      <c r="G2490" s="163"/>
      <c r="I2490" s="295" t="s">
        <v>788</v>
      </c>
      <c r="J2490" s="295"/>
      <c r="K2490" s="170"/>
      <c r="L2490" s="171"/>
      <c r="M2490" s="50"/>
      <c r="N2490" s="171"/>
      <c r="O2490" s="202"/>
      <c r="P2490" s="202"/>
      <c r="Q2490" s="202"/>
      <c r="R2490" s="162"/>
      <c r="S2490" s="162"/>
    </row>
    <row r="2491" spans="1:19">
      <c r="A2491" s="294"/>
      <c r="B2491" s="164"/>
      <c r="C2491" s="165"/>
      <c r="D2491" s="165"/>
      <c r="E2491" s="165"/>
      <c r="F2491" s="165"/>
      <c r="G2491" s="166"/>
      <c r="I2491" s="295" t="s">
        <v>789</v>
      </c>
      <c r="J2491" s="295"/>
      <c r="K2491" s="170"/>
      <c r="L2491" s="171"/>
      <c r="M2491" s="50"/>
      <c r="N2491" s="171"/>
      <c r="O2491" s="202"/>
      <c r="P2491" s="202"/>
      <c r="Q2491" s="202"/>
      <c r="R2491" s="162"/>
      <c r="S2491" s="162"/>
    </row>
    <row r="2492" spans="1:19">
      <c r="A2492" s="63"/>
      <c r="B2492" s="63"/>
      <c r="C2492" s="63"/>
      <c r="D2492" s="63"/>
      <c r="E2492" s="63"/>
      <c r="F2492" s="63"/>
      <c r="G2492" s="63"/>
      <c r="I2492" s="295" t="s">
        <v>790</v>
      </c>
      <c r="J2492" s="295"/>
      <c r="K2492" s="170"/>
      <c r="L2492" s="171"/>
      <c r="M2492" s="50"/>
      <c r="N2492" s="171"/>
      <c r="O2492" s="202"/>
      <c r="P2492" s="202"/>
      <c r="Q2492" s="202"/>
      <c r="R2492" s="162"/>
      <c r="S2492" s="162"/>
    </row>
    <row r="2493" spans="1:19">
      <c r="A2493" s="63"/>
      <c r="B2493" s="63"/>
      <c r="C2493" s="63"/>
      <c r="D2493" s="63"/>
      <c r="E2493" s="63"/>
      <c r="F2493" s="63"/>
      <c r="G2493" s="63"/>
      <c r="I2493" s="295" t="s">
        <v>791</v>
      </c>
      <c r="J2493" s="295"/>
      <c r="K2493" s="170"/>
      <c r="L2493" s="171"/>
      <c r="M2493" s="50"/>
      <c r="N2493" s="171"/>
      <c r="O2493" s="202"/>
      <c r="P2493" s="202"/>
      <c r="Q2493" s="202"/>
      <c r="R2493" s="162"/>
      <c r="S2493" s="162"/>
    </row>
    <row r="2494" spans="1:19">
      <c r="A2494" s="63"/>
      <c r="B2494" s="63"/>
      <c r="C2494" s="63"/>
      <c r="D2494" s="63"/>
      <c r="E2494" s="63"/>
      <c r="F2494" s="63"/>
      <c r="G2494" s="63"/>
      <c r="I2494" s="296" t="s">
        <v>792</v>
      </c>
      <c r="J2494" s="296"/>
      <c r="K2494" s="170"/>
      <c r="L2494" s="171"/>
      <c r="M2494" s="50"/>
      <c r="N2494" s="171"/>
      <c r="O2494" s="202"/>
      <c r="P2494" s="202"/>
      <c r="Q2494" s="202"/>
      <c r="R2494" s="162"/>
      <c r="S2494" s="162"/>
    </row>
    <row r="2495" spans="1:19" ht="17.25" thickBot="1">
      <c r="A2495" s="63"/>
      <c r="B2495" s="63"/>
      <c r="C2495" s="63"/>
      <c r="D2495" s="63"/>
      <c r="E2495" s="63"/>
      <c r="F2495" s="63"/>
      <c r="G2495" s="63"/>
      <c r="I2495" s="297" t="s">
        <v>793</v>
      </c>
      <c r="J2495" s="297"/>
      <c r="K2495" s="172">
        <f t="shared" ref="K2495:S2495" si="1159">SUM(K2484:K2494)</f>
        <v>0</v>
      </c>
      <c r="L2495" s="205">
        <f t="shared" si="1159"/>
        <v>0</v>
      </c>
      <c r="M2495" s="205">
        <f t="shared" si="1159"/>
        <v>0</v>
      </c>
      <c r="N2495" s="205">
        <f t="shared" si="1159"/>
        <v>0</v>
      </c>
      <c r="O2495" s="174">
        <f t="shared" si="1159"/>
        <v>0</v>
      </c>
      <c r="P2495" s="174">
        <f t="shared" si="1159"/>
        <v>0</v>
      </c>
      <c r="Q2495" s="174">
        <f t="shared" si="1159"/>
        <v>0</v>
      </c>
      <c r="R2495" s="175">
        <f t="shared" si="1159"/>
        <v>0</v>
      </c>
      <c r="S2495" s="175">
        <f t="shared" si="1159"/>
        <v>0</v>
      </c>
    </row>
    <row r="2496" spans="1:19" ht="17.25" thickBot="1">
      <c r="A2496" s="63"/>
      <c r="B2496" s="63"/>
      <c r="C2496" s="63"/>
      <c r="D2496" s="63"/>
      <c r="E2496" s="63"/>
      <c r="F2496" s="63"/>
      <c r="G2496" s="63"/>
      <c r="I2496" s="298" t="s">
        <v>794</v>
      </c>
      <c r="J2496" s="299"/>
      <c r="K2496" s="176">
        <f t="shared" ref="K2496" si="1160">S2475-K2495</f>
        <v>0</v>
      </c>
      <c r="L2496" s="177">
        <f t="shared" ref="L2496" si="1161">K2495-L2495</f>
        <v>0</v>
      </c>
      <c r="M2496" s="177">
        <f t="shared" ref="M2496" si="1162">K2495-M2495</f>
        <v>0</v>
      </c>
      <c r="N2496" s="177">
        <f t="shared" ref="N2496" si="1163">K2495-N2495</f>
        <v>0</v>
      </c>
      <c r="O2496" s="178">
        <f t="shared" ref="O2496" si="1164">K2495-O2495</f>
        <v>0</v>
      </c>
      <c r="P2496" s="178">
        <f t="shared" ref="P2496" si="1165">K2495-P2495</f>
        <v>0</v>
      </c>
      <c r="Q2496" s="178">
        <f t="shared" ref="Q2496" si="1166">K2495-Q2495</f>
        <v>0</v>
      </c>
      <c r="R2496" s="179">
        <f t="shared" ref="R2496" si="1167">K2495-R2495</f>
        <v>0</v>
      </c>
      <c r="S2496" s="180">
        <f t="shared" ref="S2496" si="1168">L2495-S2495</f>
        <v>0</v>
      </c>
    </row>
    <row r="2497" spans="1:19">
      <c r="A2497" s="63"/>
      <c r="B2497" s="63"/>
      <c r="C2497" s="63"/>
      <c r="D2497" s="63"/>
      <c r="E2497" s="63"/>
      <c r="F2497" s="63"/>
      <c r="G2497" s="63"/>
      <c r="I2497" s="300" t="s">
        <v>795</v>
      </c>
      <c r="J2497" s="301"/>
      <c r="K2497" s="181"/>
      <c r="L2497" s="182"/>
      <c r="M2497" s="182"/>
      <c r="N2497" s="182"/>
      <c r="O2497" s="183"/>
      <c r="P2497" s="182"/>
      <c r="Q2497" s="182"/>
      <c r="R2497" s="182"/>
      <c r="S2497" s="182"/>
    </row>
    <row r="2498" spans="1:19">
      <c r="A2498" s="63"/>
      <c r="B2498" s="63"/>
      <c r="C2498" s="63"/>
      <c r="D2498" s="63"/>
      <c r="E2498" s="63"/>
      <c r="F2498" s="63"/>
      <c r="G2498" s="63"/>
      <c r="I2498" s="302" t="s">
        <v>796</v>
      </c>
      <c r="J2498" s="302"/>
      <c r="K2498" s="184"/>
      <c r="L2498" s="203"/>
      <c r="M2498" s="203"/>
      <c r="N2498" s="203"/>
      <c r="O2498" s="203"/>
      <c r="P2498" s="203"/>
      <c r="Q2498" s="203"/>
      <c r="R2498" s="203"/>
      <c r="S2498" s="203"/>
    </row>
    <row r="2499" spans="1:19">
      <c r="A2499" s="63"/>
      <c r="B2499" s="63"/>
      <c r="C2499" s="63"/>
      <c r="D2499" s="63"/>
      <c r="E2499" s="63"/>
      <c r="F2499" s="63"/>
      <c r="G2499" s="63"/>
      <c r="I2499" s="302" t="s">
        <v>797</v>
      </c>
      <c r="J2499" s="302"/>
      <c r="K2499" s="184"/>
      <c r="L2499" s="203"/>
      <c r="M2499" s="203"/>
      <c r="N2499" s="203"/>
      <c r="O2499" s="203"/>
      <c r="P2499" s="203"/>
      <c r="Q2499" s="203"/>
      <c r="R2499" s="203"/>
      <c r="S2499" s="203"/>
    </row>
    <row r="2500" spans="1:19">
      <c r="A2500" s="63"/>
      <c r="B2500" s="63"/>
      <c r="C2500" s="63"/>
      <c r="D2500" s="63"/>
      <c r="E2500" s="63"/>
      <c r="F2500" s="63"/>
      <c r="G2500" s="63"/>
      <c r="I2500" s="303" t="s">
        <v>798</v>
      </c>
      <c r="J2500" s="303"/>
      <c r="K2500" s="184"/>
      <c r="L2500" s="185"/>
      <c r="M2500" s="185"/>
      <c r="N2500" s="185"/>
      <c r="O2500" s="185"/>
      <c r="P2500" s="204"/>
      <c r="Q2500" s="204"/>
      <c r="R2500" s="204"/>
      <c r="S2500" s="204"/>
    </row>
    <row r="2501" spans="1:19">
      <c r="A2501" s="3" t="s">
        <v>801</v>
      </c>
      <c r="B2501" s="201" t="s">
        <v>802</v>
      </c>
      <c r="C2501" s="201" t="s">
        <v>803</v>
      </c>
      <c r="D2501" s="201" t="s">
        <v>119</v>
      </c>
      <c r="E2501" s="201" t="s">
        <v>148</v>
      </c>
      <c r="F2501" s="201" t="s">
        <v>806</v>
      </c>
      <c r="G2501" s="201" t="s">
        <v>81</v>
      </c>
      <c r="I2501" s="187"/>
      <c r="J2501" s="187"/>
      <c r="K2501" s="187"/>
      <c r="L2501" s="188"/>
      <c r="M2501" s="188"/>
      <c r="N2501" s="188"/>
      <c r="O2501" s="188"/>
      <c r="P2501" s="187"/>
      <c r="Q2501" s="187"/>
      <c r="R2501" s="187"/>
      <c r="S2501" s="187"/>
    </row>
    <row r="2502" spans="1:19">
      <c r="A2502" s="293">
        <v>44164</v>
      </c>
      <c r="B2502" s="161"/>
      <c r="C2502" s="162"/>
      <c r="D2502" s="162"/>
      <c r="E2502" s="162"/>
      <c r="F2502" s="162"/>
      <c r="G2502" s="163"/>
      <c r="I2502" s="191"/>
      <c r="J2502" s="190"/>
      <c r="K2502" s="190"/>
      <c r="L2502" s="190"/>
      <c r="M2502" s="190">
        <v>44164</v>
      </c>
      <c r="N2502" s="189" t="s">
        <v>864</v>
      </c>
      <c r="O2502" s="189"/>
      <c r="P2502" s="189"/>
      <c r="Q2502" s="189"/>
      <c r="R2502" s="189"/>
      <c r="S2502" s="189"/>
    </row>
    <row r="2503" spans="1:19">
      <c r="A2503" s="294"/>
      <c r="B2503" s="164"/>
      <c r="C2503" s="165"/>
      <c r="D2503" s="165"/>
      <c r="E2503" s="165"/>
      <c r="F2503" s="165"/>
      <c r="G2503" s="166"/>
      <c r="I2503" s="304"/>
      <c r="J2503" s="304"/>
      <c r="K2503" s="167"/>
      <c r="L2503" s="168"/>
      <c r="M2503" s="168"/>
      <c r="N2503" s="168"/>
      <c r="O2503" s="169"/>
      <c r="P2503" s="169"/>
      <c r="Q2503" s="169"/>
      <c r="R2503" s="161"/>
      <c r="S2503" s="161"/>
    </row>
    <row r="2504" spans="1:19">
      <c r="A2504" s="294"/>
      <c r="B2504" s="161"/>
      <c r="C2504" s="162"/>
      <c r="D2504" s="162"/>
      <c r="E2504" s="162"/>
      <c r="F2504" s="162"/>
      <c r="G2504" s="163"/>
      <c r="I2504" s="295" t="s">
        <v>782</v>
      </c>
      <c r="J2504" s="296"/>
      <c r="K2504" s="170"/>
      <c r="L2504" s="171"/>
      <c r="M2504" s="50"/>
      <c r="N2504" s="171"/>
      <c r="O2504" s="202"/>
      <c r="P2504" s="202"/>
      <c r="Q2504" s="202"/>
      <c r="R2504" s="162"/>
      <c r="S2504" s="162"/>
    </row>
    <row r="2505" spans="1:19">
      <c r="A2505" s="294"/>
      <c r="B2505" s="164"/>
      <c r="C2505" s="165"/>
      <c r="D2505" s="165"/>
      <c r="E2505" s="165"/>
      <c r="F2505" s="165"/>
      <c r="G2505" s="166"/>
      <c r="I2505" s="295" t="s">
        <v>783</v>
      </c>
      <c r="J2505" s="295"/>
      <c r="K2505" s="170"/>
      <c r="L2505" s="171"/>
      <c r="M2505" s="50"/>
      <c r="N2505" s="171"/>
      <c r="O2505" s="202"/>
      <c r="P2505" s="202"/>
      <c r="Q2505" s="202"/>
      <c r="R2505" s="162"/>
      <c r="S2505" s="162"/>
    </row>
    <row r="2506" spans="1:19">
      <c r="A2506" s="294"/>
      <c r="B2506" s="161"/>
      <c r="C2506" s="162"/>
      <c r="D2506" s="162"/>
      <c r="E2506" s="162"/>
      <c r="F2506" s="162"/>
      <c r="G2506" s="163"/>
      <c r="I2506" s="295" t="s">
        <v>784</v>
      </c>
      <c r="J2506" s="295"/>
      <c r="K2506" s="170"/>
      <c r="L2506" s="171"/>
      <c r="M2506" s="50"/>
      <c r="N2506" s="171"/>
      <c r="O2506" s="202"/>
      <c r="P2506" s="202"/>
      <c r="Q2506" s="202"/>
      <c r="R2506" s="162"/>
      <c r="S2506" s="162"/>
    </row>
    <row r="2507" spans="1:19">
      <c r="A2507" s="294"/>
      <c r="B2507" s="164"/>
      <c r="C2507" s="165"/>
      <c r="D2507" s="165"/>
      <c r="E2507" s="165"/>
      <c r="F2507" s="165"/>
      <c r="G2507" s="166"/>
      <c r="I2507" s="295" t="s">
        <v>785</v>
      </c>
      <c r="J2507" s="295"/>
      <c r="K2507" s="170"/>
      <c r="L2507" s="171"/>
      <c r="M2507" s="50"/>
      <c r="N2507" s="171"/>
      <c r="O2507" s="202"/>
      <c r="P2507" s="202"/>
      <c r="Q2507" s="202"/>
      <c r="R2507" s="162"/>
      <c r="S2507" s="162"/>
    </row>
    <row r="2508" spans="1:19">
      <c r="A2508" s="294"/>
      <c r="B2508" s="161"/>
      <c r="C2508" s="162"/>
      <c r="D2508" s="162"/>
      <c r="E2508" s="162"/>
      <c r="F2508" s="162"/>
      <c r="G2508" s="163"/>
      <c r="I2508" s="295" t="s">
        <v>786</v>
      </c>
      <c r="J2508" s="295"/>
      <c r="K2508" s="170"/>
      <c r="L2508" s="171"/>
      <c r="M2508" s="50"/>
      <c r="N2508" s="171"/>
      <c r="O2508" s="202"/>
      <c r="P2508" s="202"/>
      <c r="Q2508" s="202"/>
      <c r="R2508" s="162"/>
      <c r="S2508" s="162"/>
    </row>
    <row r="2509" spans="1:19">
      <c r="A2509" s="294"/>
      <c r="B2509" s="164"/>
      <c r="C2509" s="165"/>
      <c r="D2509" s="165"/>
      <c r="E2509" s="165"/>
      <c r="F2509" s="165"/>
      <c r="G2509" s="166"/>
      <c r="I2509" s="295" t="s">
        <v>787</v>
      </c>
      <c r="J2509" s="295"/>
      <c r="K2509" s="170"/>
      <c r="L2509" s="171"/>
      <c r="M2509" s="50"/>
      <c r="N2509" s="171"/>
      <c r="O2509" s="202"/>
      <c r="P2509" s="202"/>
      <c r="Q2509" s="202"/>
      <c r="R2509" s="162"/>
      <c r="S2509" s="162"/>
    </row>
    <row r="2510" spans="1:19">
      <c r="A2510" s="294"/>
      <c r="B2510" s="161"/>
      <c r="C2510" s="162"/>
      <c r="D2510" s="162"/>
      <c r="E2510" s="162"/>
      <c r="F2510" s="162"/>
      <c r="G2510" s="163"/>
      <c r="I2510" s="295" t="s">
        <v>788</v>
      </c>
      <c r="J2510" s="295"/>
      <c r="K2510" s="170"/>
      <c r="L2510" s="171"/>
      <c r="M2510" s="50"/>
      <c r="N2510" s="171"/>
      <c r="O2510" s="202"/>
      <c r="P2510" s="202"/>
      <c r="Q2510" s="202"/>
      <c r="R2510" s="162"/>
      <c r="S2510" s="162"/>
    </row>
    <row r="2511" spans="1:19">
      <c r="A2511" s="294"/>
      <c r="B2511" s="164"/>
      <c r="C2511" s="165"/>
      <c r="D2511" s="165"/>
      <c r="E2511" s="165"/>
      <c r="F2511" s="165"/>
      <c r="G2511" s="166"/>
      <c r="I2511" s="295" t="s">
        <v>789</v>
      </c>
      <c r="J2511" s="295"/>
      <c r="K2511" s="170"/>
      <c r="L2511" s="171"/>
      <c r="M2511" s="50"/>
      <c r="N2511" s="171"/>
      <c r="O2511" s="202"/>
      <c r="P2511" s="202"/>
      <c r="Q2511" s="202"/>
      <c r="R2511" s="162"/>
      <c r="S2511" s="162"/>
    </row>
    <row r="2512" spans="1:19">
      <c r="A2512" s="63"/>
      <c r="B2512" s="63"/>
      <c r="C2512" s="63"/>
      <c r="D2512" s="63"/>
      <c r="E2512" s="63"/>
      <c r="F2512" s="63"/>
      <c r="G2512" s="63"/>
      <c r="I2512" s="295" t="s">
        <v>790</v>
      </c>
      <c r="J2512" s="295"/>
      <c r="K2512" s="170"/>
      <c r="L2512" s="171"/>
      <c r="M2512" s="50"/>
      <c r="N2512" s="171"/>
      <c r="O2512" s="202"/>
      <c r="P2512" s="202"/>
      <c r="Q2512" s="202"/>
      <c r="R2512" s="162"/>
      <c r="S2512" s="162"/>
    </row>
    <row r="2513" spans="1:19">
      <c r="A2513" s="63"/>
      <c r="B2513" s="63"/>
      <c r="C2513" s="63"/>
      <c r="D2513" s="63"/>
      <c r="E2513" s="63"/>
      <c r="F2513" s="63"/>
      <c r="G2513" s="63"/>
      <c r="I2513" s="295" t="s">
        <v>791</v>
      </c>
      <c r="J2513" s="295"/>
      <c r="K2513" s="170"/>
      <c r="L2513" s="171"/>
      <c r="M2513" s="50"/>
      <c r="N2513" s="171"/>
      <c r="O2513" s="202"/>
      <c r="P2513" s="202"/>
      <c r="Q2513" s="202"/>
      <c r="R2513" s="162"/>
      <c r="S2513" s="162"/>
    </row>
    <row r="2514" spans="1:19">
      <c r="A2514" s="63"/>
      <c r="B2514" s="63"/>
      <c r="C2514" s="63"/>
      <c r="D2514" s="63"/>
      <c r="E2514" s="63"/>
      <c r="F2514" s="63"/>
      <c r="G2514" s="63"/>
      <c r="I2514" s="296" t="s">
        <v>792</v>
      </c>
      <c r="J2514" s="296"/>
      <c r="K2514" s="170"/>
      <c r="L2514" s="171"/>
      <c r="M2514" s="50"/>
      <c r="N2514" s="171"/>
      <c r="O2514" s="202"/>
      <c r="P2514" s="202"/>
      <c r="Q2514" s="202"/>
      <c r="R2514" s="162"/>
      <c r="S2514" s="162"/>
    </row>
    <row r="2515" spans="1:19" ht="17.25" thickBot="1">
      <c r="A2515" s="63"/>
      <c r="B2515" s="63"/>
      <c r="C2515" s="63"/>
      <c r="D2515" s="63"/>
      <c r="E2515" s="63"/>
      <c r="F2515" s="63"/>
      <c r="G2515" s="63"/>
      <c r="I2515" s="297" t="s">
        <v>793</v>
      </c>
      <c r="J2515" s="297"/>
      <c r="K2515" s="172">
        <f t="shared" ref="K2515:S2515" si="1169">SUM(K2504:K2514)</f>
        <v>0</v>
      </c>
      <c r="L2515" s="205">
        <f t="shared" si="1169"/>
        <v>0</v>
      </c>
      <c r="M2515" s="205">
        <f t="shared" si="1169"/>
        <v>0</v>
      </c>
      <c r="N2515" s="205">
        <f t="shared" si="1169"/>
        <v>0</v>
      </c>
      <c r="O2515" s="174">
        <f t="shared" si="1169"/>
        <v>0</v>
      </c>
      <c r="P2515" s="174">
        <f t="shared" si="1169"/>
        <v>0</v>
      </c>
      <c r="Q2515" s="174">
        <f t="shared" si="1169"/>
        <v>0</v>
      </c>
      <c r="R2515" s="175">
        <f t="shared" si="1169"/>
        <v>0</v>
      </c>
      <c r="S2515" s="175">
        <f t="shared" si="1169"/>
        <v>0</v>
      </c>
    </row>
    <row r="2516" spans="1:19" ht="17.25" thickBot="1">
      <c r="A2516" s="63"/>
      <c r="B2516" s="63"/>
      <c r="C2516" s="63"/>
      <c r="D2516" s="63"/>
      <c r="E2516" s="63"/>
      <c r="F2516" s="63"/>
      <c r="G2516" s="63"/>
      <c r="I2516" s="298" t="s">
        <v>794</v>
      </c>
      <c r="J2516" s="299"/>
      <c r="K2516" s="176">
        <f t="shared" ref="K2516" si="1170">S2495-K2515</f>
        <v>0</v>
      </c>
      <c r="L2516" s="177">
        <f t="shared" ref="L2516" si="1171">K2515-L2515</f>
        <v>0</v>
      </c>
      <c r="M2516" s="177">
        <f t="shared" ref="M2516" si="1172">K2515-M2515</f>
        <v>0</v>
      </c>
      <c r="N2516" s="177">
        <f t="shared" ref="N2516" si="1173">K2515-N2515</f>
        <v>0</v>
      </c>
      <c r="O2516" s="178">
        <f t="shared" ref="O2516" si="1174">K2515-O2515</f>
        <v>0</v>
      </c>
      <c r="P2516" s="178">
        <f t="shared" ref="P2516" si="1175">K2515-P2515</f>
        <v>0</v>
      </c>
      <c r="Q2516" s="178">
        <f t="shared" ref="Q2516" si="1176">K2515-Q2515</f>
        <v>0</v>
      </c>
      <c r="R2516" s="179">
        <f t="shared" ref="R2516" si="1177">K2515-R2515</f>
        <v>0</v>
      </c>
      <c r="S2516" s="180">
        <f t="shared" ref="S2516" si="1178">L2515-S2515</f>
        <v>0</v>
      </c>
    </row>
    <row r="2517" spans="1:19">
      <c r="A2517" s="63"/>
      <c r="B2517" s="63"/>
      <c r="C2517" s="63"/>
      <c r="D2517" s="63"/>
      <c r="E2517" s="63"/>
      <c r="F2517" s="63"/>
      <c r="G2517" s="63"/>
      <c r="I2517" s="300" t="s">
        <v>795</v>
      </c>
      <c r="J2517" s="301"/>
      <c r="K2517" s="181"/>
      <c r="L2517" s="182"/>
      <c r="M2517" s="182"/>
      <c r="N2517" s="182"/>
      <c r="O2517" s="183"/>
      <c r="P2517" s="182"/>
      <c r="Q2517" s="182"/>
      <c r="R2517" s="182"/>
      <c r="S2517" s="182"/>
    </row>
    <row r="2518" spans="1:19">
      <c r="A2518" s="63"/>
      <c r="B2518" s="63"/>
      <c r="C2518" s="63"/>
      <c r="D2518" s="63"/>
      <c r="E2518" s="63"/>
      <c r="F2518" s="63"/>
      <c r="G2518" s="63"/>
      <c r="I2518" s="302" t="s">
        <v>796</v>
      </c>
      <c r="J2518" s="302"/>
      <c r="K2518" s="184"/>
      <c r="L2518" s="203"/>
      <c r="M2518" s="203"/>
      <c r="N2518" s="203"/>
      <c r="O2518" s="203"/>
      <c r="P2518" s="203"/>
      <c r="Q2518" s="203"/>
      <c r="R2518" s="203"/>
      <c r="S2518" s="203"/>
    </row>
    <row r="2519" spans="1:19">
      <c r="A2519" s="63"/>
      <c r="B2519" s="63"/>
      <c r="C2519" s="63"/>
      <c r="D2519" s="63"/>
      <c r="E2519" s="63"/>
      <c r="F2519" s="63"/>
      <c r="G2519" s="63"/>
      <c r="I2519" s="302" t="s">
        <v>797</v>
      </c>
      <c r="J2519" s="302"/>
      <c r="K2519" s="184"/>
      <c r="L2519" s="203"/>
      <c r="M2519" s="203"/>
      <c r="N2519" s="203"/>
      <c r="O2519" s="203"/>
      <c r="P2519" s="203"/>
      <c r="Q2519" s="203"/>
      <c r="R2519" s="203"/>
      <c r="S2519" s="203"/>
    </row>
    <row r="2520" spans="1:19">
      <c r="A2520" s="63"/>
      <c r="B2520" s="63"/>
      <c r="C2520" s="63"/>
      <c r="D2520" s="63"/>
      <c r="E2520" s="63"/>
      <c r="F2520" s="63"/>
      <c r="G2520" s="63"/>
      <c r="I2520" s="303" t="s">
        <v>798</v>
      </c>
      <c r="J2520" s="303"/>
      <c r="K2520" s="184"/>
      <c r="L2520" s="185"/>
      <c r="M2520" s="185"/>
      <c r="N2520" s="185"/>
      <c r="O2520" s="185"/>
      <c r="P2520" s="204"/>
      <c r="Q2520" s="204"/>
      <c r="R2520" s="204"/>
      <c r="S2520" s="204"/>
    </row>
    <row r="2521" spans="1:19">
      <c r="A2521" s="3" t="s">
        <v>801</v>
      </c>
      <c r="B2521" s="201" t="s">
        <v>802</v>
      </c>
      <c r="C2521" s="201" t="s">
        <v>803</v>
      </c>
      <c r="D2521" s="201" t="s">
        <v>119</v>
      </c>
      <c r="E2521" s="201" t="s">
        <v>148</v>
      </c>
      <c r="F2521" s="201" t="s">
        <v>806</v>
      </c>
      <c r="G2521" s="201" t="s">
        <v>81</v>
      </c>
      <c r="I2521" s="187"/>
      <c r="J2521" s="187"/>
      <c r="K2521" s="187"/>
      <c r="L2521" s="188"/>
      <c r="M2521" s="188"/>
      <c r="N2521" s="188"/>
      <c r="O2521" s="188"/>
      <c r="P2521" s="187"/>
      <c r="Q2521" s="187"/>
      <c r="R2521" s="187"/>
      <c r="S2521" s="187"/>
    </row>
    <row r="2522" spans="1:19">
      <c r="A2522" s="293">
        <v>44165</v>
      </c>
      <c r="B2522" s="161"/>
      <c r="C2522" s="162"/>
      <c r="D2522" s="162"/>
      <c r="E2522" s="162"/>
      <c r="F2522" s="162"/>
      <c r="G2522" s="163"/>
      <c r="I2522" s="191"/>
      <c r="J2522" s="190"/>
      <c r="K2522" s="190"/>
      <c r="L2522" s="190"/>
      <c r="M2522" s="190">
        <v>44165</v>
      </c>
      <c r="N2522" s="189" t="s">
        <v>864</v>
      </c>
      <c r="O2522" s="189"/>
      <c r="P2522" s="189"/>
      <c r="Q2522" s="189"/>
      <c r="R2522" s="189"/>
      <c r="S2522" s="189"/>
    </row>
    <row r="2523" spans="1:19">
      <c r="A2523" s="294"/>
      <c r="B2523" s="164"/>
      <c r="C2523" s="165"/>
      <c r="D2523" s="165"/>
      <c r="E2523" s="165"/>
      <c r="F2523" s="165"/>
      <c r="G2523" s="166"/>
      <c r="I2523" s="304"/>
      <c r="J2523" s="304"/>
      <c r="K2523" s="167"/>
      <c r="L2523" s="168"/>
      <c r="M2523" s="168"/>
      <c r="N2523" s="168"/>
      <c r="O2523" s="169"/>
      <c r="P2523" s="169"/>
      <c r="Q2523" s="169"/>
      <c r="R2523" s="161"/>
      <c r="S2523" s="161"/>
    </row>
    <row r="2524" spans="1:19">
      <c r="A2524" s="294"/>
      <c r="B2524" s="161"/>
      <c r="C2524" s="162"/>
      <c r="D2524" s="162"/>
      <c r="E2524" s="162"/>
      <c r="F2524" s="162"/>
      <c r="G2524" s="163"/>
      <c r="I2524" s="295" t="s">
        <v>782</v>
      </c>
      <c r="J2524" s="296"/>
      <c r="K2524" s="170"/>
      <c r="L2524" s="171"/>
      <c r="M2524" s="50"/>
      <c r="N2524" s="171"/>
      <c r="O2524" s="202"/>
      <c r="P2524" s="202"/>
      <c r="Q2524" s="202"/>
      <c r="R2524" s="162"/>
      <c r="S2524" s="162"/>
    </row>
    <row r="2525" spans="1:19">
      <c r="A2525" s="294"/>
      <c r="B2525" s="164"/>
      <c r="C2525" s="165"/>
      <c r="D2525" s="165"/>
      <c r="E2525" s="165"/>
      <c r="F2525" s="165"/>
      <c r="G2525" s="166"/>
      <c r="I2525" s="295" t="s">
        <v>783</v>
      </c>
      <c r="J2525" s="295"/>
      <c r="K2525" s="170"/>
      <c r="L2525" s="171"/>
      <c r="M2525" s="50"/>
      <c r="N2525" s="171"/>
      <c r="O2525" s="202"/>
      <c r="P2525" s="202"/>
      <c r="Q2525" s="202"/>
      <c r="R2525" s="162"/>
      <c r="S2525" s="162"/>
    </row>
    <row r="2526" spans="1:19">
      <c r="A2526" s="294"/>
      <c r="B2526" s="161"/>
      <c r="C2526" s="162"/>
      <c r="D2526" s="162"/>
      <c r="E2526" s="162"/>
      <c r="F2526" s="162"/>
      <c r="G2526" s="163"/>
      <c r="I2526" s="295" t="s">
        <v>784</v>
      </c>
      <c r="J2526" s="295"/>
      <c r="K2526" s="170"/>
      <c r="L2526" s="171"/>
      <c r="M2526" s="50"/>
      <c r="N2526" s="171"/>
      <c r="O2526" s="202"/>
      <c r="P2526" s="202"/>
      <c r="Q2526" s="202"/>
      <c r="R2526" s="162"/>
      <c r="S2526" s="162"/>
    </row>
    <row r="2527" spans="1:19">
      <c r="A2527" s="294"/>
      <c r="B2527" s="164"/>
      <c r="C2527" s="165"/>
      <c r="D2527" s="165"/>
      <c r="E2527" s="165"/>
      <c r="F2527" s="165"/>
      <c r="G2527" s="166"/>
      <c r="I2527" s="295" t="s">
        <v>785</v>
      </c>
      <c r="J2527" s="295"/>
      <c r="K2527" s="170"/>
      <c r="L2527" s="171"/>
      <c r="M2527" s="50"/>
      <c r="N2527" s="171"/>
      <c r="O2527" s="202"/>
      <c r="P2527" s="202"/>
      <c r="Q2527" s="202"/>
      <c r="R2527" s="162"/>
      <c r="S2527" s="162"/>
    </row>
    <row r="2528" spans="1:19">
      <c r="A2528" s="294"/>
      <c r="B2528" s="161"/>
      <c r="C2528" s="162"/>
      <c r="D2528" s="162"/>
      <c r="E2528" s="162"/>
      <c r="F2528" s="162"/>
      <c r="G2528" s="163"/>
      <c r="I2528" s="295" t="s">
        <v>786</v>
      </c>
      <c r="J2528" s="295"/>
      <c r="K2528" s="170"/>
      <c r="L2528" s="171"/>
      <c r="M2528" s="50"/>
      <c r="N2528" s="171"/>
      <c r="O2528" s="202"/>
      <c r="P2528" s="202"/>
      <c r="Q2528" s="202"/>
      <c r="R2528" s="162"/>
      <c r="S2528" s="162"/>
    </row>
    <row r="2529" spans="1:19">
      <c r="A2529" s="294"/>
      <c r="B2529" s="164"/>
      <c r="C2529" s="165"/>
      <c r="D2529" s="165"/>
      <c r="E2529" s="165"/>
      <c r="F2529" s="165"/>
      <c r="G2529" s="166"/>
      <c r="I2529" s="295" t="s">
        <v>787</v>
      </c>
      <c r="J2529" s="295"/>
      <c r="K2529" s="170"/>
      <c r="L2529" s="171"/>
      <c r="M2529" s="50"/>
      <c r="N2529" s="171"/>
      <c r="O2529" s="202"/>
      <c r="P2529" s="202"/>
      <c r="Q2529" s="202"/>
      <c r="R2529" s="162"/>
      <c r="S2529" s="162"/>
    </row>
    <row r="2530" spans="1:19">
      <c r="A2530" s="294"/>
      <c r="B2530" s="161"/>
      <c r="C2530" s="162"/>
      <c r="D2530" s="162"/>
      <c r="E2530" s="162"/>
      <c r="F2530" s="162"/>
      <c r="G2530" s="163"/>
      <c r="I2530" s="295" t="s">
        <v>788</v>
      </c>
      <c r="J2530" s="295"/>
      <c r="K2530" s="170"/>
      <c r="L2530" s="171"/>
      <c r="M2530" s="50"/>
      <c r="N2530" s="171"/>
      <c r="O2530" s="202"/>
      <c r="P2530" s="202"/>
      <c r="Q2530" s="202"/>
      <c r="R2530" s="162"/>
      <c r="S2530" s="162"/>
    </row>
    <row r="2531" spans="1:19">
      <c r="A2531" s="294"/>
      <c r="B2531" s="164"/>
      <c r="C2531" s="165"/>
      <c r="D2531" s="165"/>
      <c r="E2531" s="165"/>
      <c r="F2531" s="165"/>
      <c r="G2531" s="166"/>
      <c r="I2531" s="295" t="s">
        <v>789</v>
      </c>
      <c r="J2531" s="295"/>
      <c r="K2531" s="170"/>
      <c r="L2531" s="171"/>
      <c r="M2531" s="50"/>
      <c r="N2531" s="171"/>
      <c r="O2531" s="202"/>
      <c r="P2531" s="202"/>
      <c r="Q2531" s="202"/>
      <c r="R2531" s="162"/>
      <c r="S2531" s="162"/>
    </row>
    <row r="2532" spans="1:19">
      <c r="A2532" s="63"/>
      <c r="B2532" s="63"/>
      <c r="C2532" s="63"/>
      <c r="D2532" s="63"/>
      <c r="E2532" s="63"/>
      <c r="F2532" s="63"/>
      <c r="G2532" s="63"/>
      <c r="I2532" s="295" t="s">
        <v>790</v>
      </c>
      <c r="J2532" s="295"/>
      <c r="K2532" s="170"/>
      <c r="L2532" s="171"/>
      <c r="M2532" s="50"/>
      <c r="N2532" s="171"/>
      <c r="O2532" s="202"/>
      <c r="P2532" s="202"/>
      <c r="Q2532" s="202"/>
      <c r="R2532" s="162"/>
      <c r="S2532" s="162"/>
    </row>
    <row r="2533" spans="1:19">
      <c r="A2533" s="63"/>
      <c r="B2533" s="63"/>
      <c r="C2533" s="63"/>
      <c r="D2533" s="63"/>
      <c r="E2533" s="63"/>
      <c r="F2533" s="63"/>
      <c r="G2533" s="63"/>
      <c r="I2533" s="295" t="s">
        <v>791</v>
      </c>
      <c r="J2533" s="295"/>
      <c r="K2533" s="170"/>
      <c r="L2533" s="171"/>
      <c r="M2533" s="50"/>
      <c r="N2533" s="171"/>
      <c r="O2533" s="202"/>
      <c r="P2533" s="202"/>
      <c r="Q2533" s="202"/>
      <c r="R2533" s="162"/>
      <c r="S2533" s="162"/>
    </row>
    <row r="2534" spans="1:19">
      <c r="A2534" s="63"/>
      <c r="B2534" s="63"/>
      <c r="C2534" s="63"/>
      <c r="D2534" s="63"/>
      <c r="E2534" s="63"/>
      <c r="F2534" s="63"/>
      <c r="G2534" s="63"/>
      <c r="I2534" s="296" t="s">
        <v>792</v>
      </c>
      <c r="J2534" s="296"/>
      <c r="K2534" s="170"/>
      <c r="L2534" s="171"/>
      <c r="M2534" s="50"/>
      <c r="N2534" s="171"/>
      <c r="O2534" s="202"/>
      <c r="P2534" s="202"/>
      <c r="Q2534" s="202"/>
      <c r="R2534" s="162"/>
      <c r="S2534" s="162"/>
    </row>
    <row r="2535" spans="1:19" ht="17.25" thickBot="1">
      <c r="A2535" s="63"/>
      <c r="B2535" s="63"/>
      <c r="C2535" s="63"/>
      <c r="D2535" s="63"/>
      <c r="E2535" s="63"/>
      <c r="F2535" s="63"/>
      <c r="G2535" s="63"/>
      <c r="I2535" s="297" t="s">
        <v>793</v>
      </c>
      <c r="J2535" s="297"/>
      <c r="K2535" s="172">
        <f t="shared" ref="K2535:S2535" si="1179">SUM(K2524:K2534)</f>
        <v>0</v>
      </c>
      <c r="L2535" s="205">
        <f t="shared" si="1179"/>
        <v>0</v>
      </c>
      <c r="M2535" s="205">
        <f t="shared" si="1179"/>
        <v>0</v>
      </c>
      <c r="N2535" s="205">
        <f t="shared" si="1179"/>
        <v>0</v>
      </c>
      <c r="O2535" s="174">
        <f t="shared" si="1179"/>
        <v>0</v>
      </c>
      <c r="P2535" s="174">
        <f t="shared" si="1179"/>
        <v>0</v>
      </c>
      <c r="Q2535" s="174">
        <f t="shared" si="1179"/>
        <v>0</v>
      </c>
      <c r="R2535" s="175">
        <f t="shared" si="1179"/>
        <v>0</v>
      </c>
      <c r="S2535" s="175">
        <f t="shared" si="1179"/>
        <v>0</v>
      </c>
    </row>
    <row r="2536" spans="1:19" ht="17.25" thickBot="1">
      <c r="A2536" s="63"/>
      <c r="B2536" s="63"/>
      <c r="C2536" s="63"/>
      <c r="D2536" s="63"/>
      <c r="E2536" s="63"/>
      <c r="F2536" s="63"/>
      <c r="G2536" s="63"/>
      <c r="I2536" s="298" t="s">
        <v>794</v>
      </c>
      <c r="J2536" s="299"/>
      <c r="K2536" s="176">
        <f t="shared" ref="K2536" si="1180">S2515-K2535</f>
        <v>0</v>
      </c>
      <c r="L2536" s="177">
        <f t="shared" ref="L2536" si="1181">K2535-L2535</f>
        <v>0</v>
      </c>
      <c r="M2536" s="177">
        <f t="shared" ref="M2536" si="1182">K2535-M2535</f>
        <v>0</v>
      </c>
      <c r="N2536" s="177">
        <f t="shared" ref="N2536" si="1183">K2535-N2535</f>
        <v>0</v>
      </c>
      <c r="O2536" s="178">
        <f t="shared" ref="O2536" si="1184">K2535-O2535</f>
        <v>0</v>
      </c>
      <c r="P2536" s="178">
        <f t="shared" ref="P2536" si="1185">K2535-P2535</f>
        <v>0</v>
      </c>
      <c r="Q2536" s="178">
        <f t="shared" ref="Q2536" si="1186">K2535-Q2535</f>
        <v>0</v>
      </c>
      <c r="R2536" s="179">
        <f t="shared" ref="R2536" si="1187">K2535-R2535</f>
        <v>0</v>
      </c>
      <c r="S2536" s="180">
        <f t="shared" ref="S2536" si="1188">L2535-S2535</f>
        <v>0</v>
      </c>
    </row>
    <row r="2537" spans="1:19">
      <c r="A2537" s="63"/>
      <c r="B2537" s="63"/>
      <c r="C2537" s="63"/>
      <c r="D2537" s="63"/>
      <c r="E2537" s="63"/>
      <c r="F2537" s="63"/>
      <c r="G2537" s="63"/>
      <c r="I2537" s="300" t="s">
        <v>795</v>
      </c>
      <c r="J2537" s="301"/>
      <c r="K2537" s="181"/>
      <c r="L2537" s="182"/>
      <c r="M2537" s="182"/>
      <c r="N2537" s="182"/>
      <c r="O2537" s="183"/>
      <c r="P2537" s="182"/>
      <c r="Q2537" s="182"/>
      <c r="R2537" s="182"/>
      <c r="S2537" s="182"/>
    </row>
    <row r="2538" spans="1:19">
      <c r="A2538" s="63"/>
      <c r="B2538" s="63"/>
      <c r="C2538" s="63"/>
      <c r="D2538" s="63"/>
      <c r="E2538" s="63"/>
      <c r="F2538" s="63"/>
      <c r="G2538" s="63"/>
      <c r="I2538" s="302" t="s">
        <v>796</v>
      </c>
      <c r="J2538" s="302"/>
      <c r="K2538" s="184"/>
      <c r="L2538" s="203"/>
      <c r="M2538" s="203"/>
      <c r="N2538" s="203"/>
      <c r="O2538" s="203"/>
      <c r="P2538" s="203"/>
      <c r="Q2538" s="203"/>
      <c r="R2538" s="203"/>
      <c r="S2538" s="203"/>
    </row>
    <row r="2539" spans="1:19">
      <c r="A2539" s="63"/>
      <c r="B2539" s="63"/>
      <c r="C2539" s="63"/>
      <c r="D2539" s="63"/>
      <c r="E2539" s="63"/>
      <c r="F2539" s="63"/>
      <c r="G2539" s="63"/>
      <c r="I2539" s="302" t="s">
        <v>797</v>
      </c>
      <c r="J2539" s="302"/>
      <c r="K2539" s="184"/>
      <c r="L2539" s="203"/>
      <c r="M2539" s="203"/>
      <c r="N2539" s="203"/>
      <c r="O2539" s="203"/>
      <c r="P2539" s="203"/>
      <c r="Q2539" s="203"/>
      <c r="R2539" s="203"/>
      <c r="S2539" s="203"/>
    </row>
    <row r="2540" spans="1:19">
      <c r="A2540" s="63"/>
      <c r="B2540" s="63"/>
      <c r="C2540" s="63"/>
      <c r="D2540" s="63"/>
      <c r="E2540" s="63"/>
      <c r="F2540" s="63"/>
      <c r="G2540" s="63"/>
      <c r="I2540" s="303" t="s">
        <v>798</v>
      </c>
      <c r="J2540" s="303"/>
      <c r="K2540" s="184"/>
      <c r="L2540" s="185"/>
      <c r="M2540" s="185"/>
      <c r="N2540" s="185"/>
      <c r="O2540" s="185"/>
      <c r="P2540" s="204"/>
      <c r="Q2540" s="204"/>
      <c r="R2540" s="204"/>
      <c r="S2540" s="204"/>
    </row>
    <row r="2541" spans="1:19">
      <c r="A2541" s="3" t="s">
        <v>801</v>
      </c>
      <c r="B2541" s="201" t="s">
        <v>802</v>
      </c>
      <c r="C2541" s="201" t="s">
        <v>803</v>
      </c>
      <c r="D2541" s="201" t="s">
        <v>119</v>
      </c>
      <c r="E2541" s="201" t="s">
        <v>148</v>
      </c>
      <c r="F2541" s="201" t="s">
        <v>806</v>
      </c>
      <c r="G2541" s="201" t="s">
        <v>81</v>
      </c>
      <c r="I2541" s="187"/>
      <c r="J2541" s="187"/>
      <c r="K2541" s="187"/>
      <c r="L2541" s="188"/>
      <c r="M2541" s="188"/>
      <c r="N2541" s="188"/>
      <c r="O2541" s="188"/>
      <c r="P2541" s="187"/>
      <c r="Q2541" s="187"/>
      <c r="R2541" s="187"/>
      <c r="S2541" s="187"/>
    </row>
    <row r="2542" spans="1:19">
      <c r="A2542" s="293">
        <v>44166</v>
      </c>
      <c r="B2542" s="161"/>
      <c r="C2542" s="162"/>
      <c r="D2542" s="162"/>
      <c r="E2542" s="162"/>
      <c r="F2542" s="162"/>
      <c r="G2542" s="163"/>
      <c r="I2542" s="191"/>
      <c r="J2542" s="190"/>
      <c r="K2542" s="190"/>
      <c r="L2542" s="190"/>
      <c r="M2542" s="190">
        <v>44166</v>
      </c>
      <c r="N2542" s="189" t="s">
        <v>864</v>
      </c>
      <c r="O2542" s="189"/>
      <c r="P2542" s="189"/>
      <c r="Q2542" s="189"/>
      <c r="R2542" s="189"/>
      <c r="S2542" s="189"/>
    </row>
    <row r="2543" spans="1:19">
      <c r="A2543" s="294"/>
      <c r="B2543" s="164"/>
      <c r="C2543" s="165"/>
      <c r="D2543" s="165"/>
      <c r="E2543" s="165"/>
      <c r="F2543" s="165"/>
      <c r="G2543" s="166"/>
      <c r="I2543" s="304"/>
      <c r="J2543" s="304"/>
      <c r="K2543" s="167"/>
      <c r="L2543" s="168"/>
      <c r="M2543" s="168"/>
      <c r="N2543" s="168"/>
      <c r="O2543" s="169"/>
      <c r="P2543" s="169"/>
      <c r="Q2543" s="169"/>
      <c r="R2543" s="161"/>
      <c r="S2543" s="161"/>
    </row>
    <row r="2544" spans="1:19">
      <c r="A2544" s="294"/>
      <c r="B2544" s="161"/>
      <c r="C2544" s="162"/>
      <c r="D2544" s="162"/>
      <c r="E2544" s="162"/>
      <c r="F2544" s="162"/>
      <c r="G2544" s="163"/>
      <c r="I2544" s="295" t="s">
        <v>782</v>
      </c>
      <c r="J2544" s="296"/>
      <c r="K2544" s="170"/>
      <c r="L2544" s="171"/>
      <c r="M2544" s="50"/>
      <c r="N2544" s="171"/>
      <c r="O2544" s="202"/>
      <c r="P2544" s="202"/>
      <c r="Q2544" s="202"/>
      <c r="R2544" s="162"/>
      <c r="S2544" s="162"/>
    </row>
    <row r="2545" spans="1:19">
      <c r="A2545" s="294"/>
      <c r="B2545" s="164"/>
      <c r="C2545" s="165"/>
      <c r="D2545" s="165"/>
      <c r="E2545" s="165"/>
      <c r="F2545" s="165"/>
      <c r="G2545" s="166"/>
      <c r="I2545" s="295" t="s">
        <v>783</v>
      </c>
      <c r="J2545" s="295"/>
      <c r="K2545" s="170"/>
      <c r="L2545" s="171"/>
      <c r="M2545" s="50"/>
      <c r="N2545" s="171"/>
      <c r="O2545" s="202"/>
      <c r="P2545" s="202"/>
      <c r="Q2545" s="202"/>
      <c r="R2545" s="162"/>
      <c r="S2545" s="162"/>
    </row>
    <row r="2546" spans="1:19">
      <c r="A2546" s="294"/>
      <c r="B2546" s="161"/>
      <c r="C2546" s="162"/>
      <c r="D2546" s="162"/>
      <c r="E2546" s="162"/>
      <c r="F2546" s="162"/>
      <c r="G2546" s="163"/>
      <c r="I2546" s="295" t="s">
        <v>784</v>
      </c>
      <c r="J2546" s="295"/>
      <c r="K2546" s="170"/>
      <c r="L2546" s="171"/>
      <c r="M2546" s="50"/>
      <c r="N2546" s="171"/>
      <c r="O2546" s="202"/>
      <c r="P2546" s="202"/>
      <c r="Q2546" s="202"/>
      <c r="R2546" s="162"/>
      <c r="S2546" s="162"/>
    </row>
    <row r="2547" spans="1:19">
      <c r="A2547" s="294"/>
      <c r="B2547" s="164"/>
      <c r="C2547" s="165"/>
      <c r="D2547" s="165"/>
      <c r="E2547" s="165"/>
      <c r="F2547" s="165"/>
      <c r="G2547" s="166"/>
      <c r="I2547" s="295" t="s">
        <v>785</v>
      </c>
      <c r="J2547" s="295"/>
      <c r="K2547" s="170"/>
      <c r="L2547" s="171"/>
      <c r="M2547" s="50"/>
      <c r="N2547" s="171"/>
      <c r="O2547" s="202"/>
      <c r="P2547" s="202"/>
      <c r="Q2547" s="202"/>
      <c r="R2547" s="162"/>
      <c r="S2547" s="162"/>
    </row>
    <row r="2548" spans="1:19">
      <c r="A2548" s="294"/>
      <c r="B2548" s="161"/>
      <c r="C2548" s="162"/>
      <c r="D2548" s="162"/>
      <c r="E2548" s="162"/>
      <c r="F2548" s="162"/>
      <c r="G2548" s="163"/>
      <c r="I2548" s="295" t="s">
        <v>786</v>
      </c>
      <c r="J2548" s="295"/>
      <c r="K2548" s="170"/>
      <c r="L2548" s="171"/>
      <c r="M2548" s="50"/>
      <c r="N2548" s="171"/>
      <c r="O2548" s="202"/>
      <c r="P2548" s="202"/>
      <c r="Q2548" s="202"/>
      <c r="R2548" s="162"/>
      <c r="S2548" s="162"/>
    </row>
    <row r="2549" spans="1:19">
      <c r="A2549" s="294"/>
      <c r="B2549" s="164"/>
      <c r="C2549" s="165"/>
      <c r="D2549" s="165"/>
      <c r="E2549" s="165"/>
      <c r="F2549" s="165"/>
      <c r="G2549" s="166"/>
      <c r="I2549" s="295" t="s">
        <v>787</v>
      </c>
      <c r="J2549" s="295"/>
      <c r="K2549" s="170"/>
      <c r="L2549" s="171"/>
      <c r="M2549" s="50"/>
      <c r="N2549" s="171"/>
      <c r="O2549" s="202"/>
      <c r="P2549" s="202"/>
      <c r="Q2549" s="202"/>
      <c r="R2549" s="162"/>
      <c r="S2549" s="162"/>
    </row>
    <row r="2550" spans="1:19">
      <c r="A2550" s="294"/>
      <c r="B2550" s="161"/>
      <c r="C2550" s="162"/>
      <c r="D2550" s="162"/>
      <c r="E2550" s="162"/>
      <c r="F2550" s="162"/>
      <c r="G2550" s="163"/>
      <c r="I2550" s="295" t="s">
        <v>788</v>
      </c>
      <c r="J2550" s="295"/>
      <c r="K2550" s="170"/>
      <c r="L2550" s="171"/>
      <c r="M2550" s="50"/>
      <c r="N2550" s="171"/>
      <c r="O2550" s="202"/>
      <c r="P2550" s="202"/>
      <c r="Q2550" s="202"/>
      <c r="R2550" s="162"/>
      <c r="S2550" s="162"/>
    </row>
    <row r="2551" spans="1:19">
      <c r="A2551" s="294"/>
      <c r="B2551" s="164"/>
      <c r="C2551" s="165"/>
      <c r="D2551" s="165"/>
      <c r="E2551" s="165"/>
      <c r="F2551" s="165"/>
      <c r="G2551" s="166"/>
      <c r="I2551" s="295" t="s">
        <v>789</v>
      </c>
      <c r="J2551" s="295"/>
      <c r="K2551" s="170"/>
      <c r="L2551" s="171"/>
      <c r="M2551" s="50"/>
      <c r="N2551" s="171"/>
      <c r="O2551" s="202"/>
      <c r="P2551" s="202"/>
      <c r="Q2551" s="202"/>
      <c r="R2551" s="162"/>
      <c r="S2551" s="162"/>
    </row>
    <row r="2552" spans="1:19">
      <c r="A2552" s="63"/>
      <c r="B2552" s="63"/>
      <c r="C2552" s="63"/>
      <c r="D2552" s="63"/>
      <c r="E2552" s="63"/>
      <c r="F2552" s="63"/>
      <c r="G2552" s="63"/>
      <c r="I2552" s="295" t="s">
        <v>790</v>
      </c>
      <c r="J2552" s="295"/>
      <c r="K2552" s="170"/>
      <c r="L2552" s="171"/>
      <c r="M2552" s="50"/>
      <c r="N2552" s="171"/>
      <c r="O2552" s="202"/>
      <c r="P2552" s="202"/>
      <c r="Q2552" s="202"/>
      <c r="R2552" s="162"/>
      <c r="S2552" s="162"/>
    </row>
    <row r="2553" spans="1:19">
      <c r="A2553" s="63"/>
      <c r="B2553" s="63"/>
      <c r="C2553" s="63"/>
      <c r="D2553" s="63"/>
      <c r="E2553" s="63"/>
      <c r="F2553" s="63"/>
      <c r="G2553" s="63"/>
      <c r="I2553" s="295" t="s">
        <v>791</v>
      </c>
      <c r="J2553" s="295"/>
      <c r="K2553" s="170"/>
      <c r="L2553" s="171"/>
      <c r="M2553" s="50"/>
      <c r="N2553" s="171"/>
      <c r="O2553" s="202"/>
      <c r="P2553" s="202"/>
      <c r="Q2553" s="202"/>
      <c r="R2553" s="162"/>
      <c r="S2553" s="162"/>
    </row>
    <row r="2554" spans="1:19">
      <c r="A2554" s="63"/>
      <c r="B2554" s="63"/>
      <c r="C2554" s="63"/>
      <c r="D2554" s="63"/>
      <c r="E2554" s="63"/>
      <c r="F2554" s="63"/>
      <c r="G2554" s="63"/>
      <c r="I2554" s="296" t="s">
        <v>792</v>
      </c>
      <c r="J2554" s="296"/>
      <c r="K2554" s="170"/>
      <c r="L2554" s="171"/>
      <c r="M2554" s="50"/>
      <c r="N2554" s="171"/>
      <c r="O2554" s="202"/>
      <c r="P2554" s="202"/>
      <c r="Q2554" s="202"/>
      <c r="R2554" s="162"/>
      <c r="S2554" s="162"/>
    </row>
    <row r="2555" spans="1:19" ht="17.25" thickBot="1">
      <c r="A2555" s="63"/>
      <c r="B2555" s="63"/>
      <c r="C2555" s="63"/>
      <c r="D2555" s="63"/>
      <c r="E2555" s="63"/>
      <c r="F2555" s="63"/>
      <c r="G2555" s="63"/>
      <c r="I2555" s="297" t="s">
        <v>793</v>
      </c>
      <c r="J2555" s="297"/>
      <c r="K2555" s="172">
        <f t="shared" ref="K2555:S2555" si="1189">SUM(K2544:K2554)</f>
        <v>0</v>
      </c>
      <c r="L2555" s="205">
        <f t="shared" si="1189"/>
        <v>0</v>
      </c>
      <c r="M2555" s="205">
        <f t="shared" si="1189"/>
        <v>0</v>
      </c>
      <c r="N2555" s="205">
        <f t="shared" si="1189"/>
        <v>0</v>
      </c>
      <c r="O2555" s="174">
        <f t="shared" si="1189"/>
        <v>0</v>
      </c>
      <c r="P2555" s="174">
        <f t="shared" si="1189"/>
        <v>0</v>
      </c>
      <c r="Q2555" s="174">
        <f t="shared" si="1189"/>
        <v>0</v>
      </c>
      <c r="R2555" s="175">
        <f t="shared" si="1189"/>
        <v>0</v>
      </c>
      <c r="S2555" s="175">
        <f t="shared" si="1189"/>
        <v>0</v>
      </c>
    </row>
    <row r="2556" spans="1:19" ht="17.25" thickBot="1">
      <c r="A2556" s="63"/>
      <c r="B2556" s="63"/>
      <c r="C2556" s="63"/>
      <c r="D2556" s="63"/>
      <c r="E2556" s="63"/>
      <c r="F2556" s="63"/>
      <c r="G2556" s="63"/>
      <c r="I2556" s="298" t="s">
        <v>794</v>
      </c>
      <c r="J2556" s="299"/>
      <c r="K2556" s="176">
        <f t="shared" ref="K2556" si="1190">S2535-K2555</f>
        <v>0</v>
      </c>
      <c r="L2556" s="177">
        <f t="shared" ref="L2556" si="1191">K2555-L2555</f>
        <v>0</v>
      </c>
      <c r="M2556" s="177">
        <f t="shared" ref="M2556" si="1192">K2555-M2555</f>
        <v>0</v>
      </c>
      <c r="N2556" s="177">
        <f t="shared" ref="N2556" si="1193">K2555-N2555</f>
        <v>0</v>
      </c>
      <c r="O2556" s="178">
        <f t="shared" ref="O2556" si="1194">K2555-O2555</f>
        <v>0</v>
      </c>
      <c r="P2556" s="178">
        <f t="shared" ref="P2556" si="1195">K2555-P2555</f>
        <v>0</v>
      </c>
      <c r="Q2556" s="178">
        <f t="shared" ref="Q2556" si="1196">K2555-Q2555</f>
        <v>0</v>
      </c>
      <c r="R2556" s="179">
        <f t="shared" ref="R2556" si="1197">K2555-R2555</f>
        <v>0</v>
      </c>
      <c r="S2556" s="180">
        <f t="shared" ref="S2556" si="1198">L2555-S2555</f>
        <v>0</v>
      </c>
    </row>
    <row r="2557" spans="1:19">
      <c r="A2557" s="63"/>
      <c r="B2557" s="63"/>
      <c r="C2557" s="63"/>
      <c r="D2557" s="63"/>
      <c r="E2557" s="63"/>
      <c r="F2557" s="63"/>
      <c r="G2557" s="63"/>
      <c r="I2557" s="300" t="s">
        <v>795</v>
      </c>
      <c r="J2557" s="301"/>
      <c r="K2557" s="181"/>
      <c r="L2557" s="182"/>
      <c r="M2557" s="182"/>
      <c r="N2557" s="182"/>
      <c r="O2557" s="183"/>
      <c r="P2557" s="182"/>
      <c r="Q2557" s="182"/>
      <c r="R2557" s="182"/>
      <c r="S2557" s="182"/>
    </row>
    <row r="2558" spans="1:19">
      <c r="A2558" s="63"/>
      <c r="B2558" s="63"/>
      <c r="C2558" s="63"/>
      <c r="D2558" s="63"/>
      <c r="E2558" s="63"/>
      <c r="F2558" s="63"/>
      <c r="G2558" s="63"/>
      <c r="I2558" s="302" t="s">
        <v>796</v>
      </c>
      <c r="J2558" s="302"/>
      <c r="K2558" s="184"/>
      <c r="L2558" s="203"/>
      <c r="M2558" s="203"/>
      <c r="N2558" s="203"/>
      <c r="O2558" s="203"/>
      <c r="P2558" s="203"/>
      <c r="Q2558" s="203"/>
      <c r="R2558" s="203"/>
      <c r="S2558" s="203"/>
    </row>
    <row r="2559" spans="1:19">
      <c r="A2559" s="63"/>
      <c r="B2559" s="63"/>
      <c r="C2559" s="63"/>
      <c r="D2559" s="63"/>
      <c r="E2559" s="63"/>
      <c r="F2559" s="63"/>
      <c r="G2559" s="63"/>
      <c r="I2559" s="302" t="s">
        <v>797</v>
      </c>
      <c r="J2559" s="302"/>
      <c r="K2559" s="184"/>
      <c r="L2559" s="203"/>
      <c r="M2559" s="203"/>
      <c r="N2559" s="203"/>
      <c r="O2559" s="203"/>
      <c r="P2559" s="203"/>
      <c r="Q2559" s="203"/>
      <c r="R2559" s="203"/>
      <c r="S2559" s="203"/>
    </row>
    <row r="2560" spans="1:19">
      <c r="A2560" s="63"/>
      <c r="B2560" s="63"/>
      <c r="C2560" s="63"/>
      <c r="D2560" s="63"/>
      <c r="E2560" s="63"/>
      <c r="F2560" s="63"/>
      <c r="G2560" s="63"/>
      <c r="I2560" s="303" t="s">
        <v>798</v>
      </c>
      <c r="J2560" s="303"/>
      <c r="K2560" s="184"/>
      <c r="L2560" s="185"/>
      <c r="M2560" s="185"/>
      <c r="N2560" s="185"/>
      <c r="O2560" s="185"/>
      <c r="P2560" s="204"/>
      <c r="Q2560" s="204"/>
      <c r="R2560" s="204"/>
      <c r="S2560" s="204"/>
    </row>
    <row r="2561" spans="1:19">
      <c r="A2561" s="3" t="s">
        <v>801</v>
      </c>
      <c r="B2561" s="201" t="s">
        <v>802</v>
      </c>
      <c r="C2561" s="201" t="s">
        <v>803</v>
      </c>
      <c r="D2561" s="201" t="s">
        <v>119</v>
      </c>
      <c r="E2561" s="201" t="s">
        <v>148</v>
      </c>
      <c r="F2561" s="201" t="s">
        <v>806</v>
      </c>
      <c r="G2561" s="201" t="s">
        <v>81</v>
      </c>
      <c r="I2561" s="187"/>
      <c r="J2561" s="187"/>
      <c r="K2561" s="187"/>
      <c r="L2561" s="188"/>
      <c r="M2561" s="188"/>
      <c r="N2561" s="188"/>
      <c r="O2561" s="188"/>
      <c r="P2561" s="187"/>
      <c r="Q2561" s="187"/>
      <c r="R2561" s="187"/>
      <c r="S2561" s="187"/>
    </row>
    <row r="2562" spans="1:19">
      <c r="A2562" s="293">
        <v>44167</v>
      </c>
      <c r="B2562" s="161"/>
      <c r="C2562" s="162"/>
      <c r="D2562" s="162"/>
      <c r="E2562" s="162"/>
      <c r="F2562" s="162"/>
      <c r="G2562" s="163"/>
      <c r="I2562" s="191"/>
      <c r="J2562" s="190"/>
      <c r="K2562" s="190"/>
      <c r="L2562" s="190"/>
      <c r="M2562" s="190">
        <v>44167</v>
      </c>
      <c r="N2562" s="189" t="s">
        <v>864</v>
      </c>
      <c r="O2562" s="189"/>
      <c r="P2562" s="189"/>
      <c r="Q2562" s="189"/>
      <c r="R2562" s="189"/>
      <c r="S2562" s="189"/>
    </row>
    <row r="2563" spans="1:19">
      <c r="A2563" s="294"/>
      <c r="B2563" s="164"/>
      <c r="C2563" s="165"/>
      <c r="D2563" s="165"/>
      <c r="E2563" s="165"/>
      <c r="F2563" s="165"/>
      <c r="G2563" s="166"/>
      <c r="I2563" s="304"/>
      <c r="J2563" s="304"/>
      <c r="K2563" s="167"/>
      <c r="L2563" s="168"/>
      <c r="M2563" s="168"/>
      <c r="N2563" s="168"/>
      <c r="O2563" s="169"/>
      <c r="P2563" s="169"/>
      <c r="Q2563" s="169"/>
      <c r="R2563" s="161"/>
      <c r="S2563" s="161"/>
    </row>
    <row r="2564" spans="1:19">
      <c r="A2564" s="294"/>
      <c r="B2564" s="161"/>
      <c r="C2564" s="162"/>
      <c r="D2564" s="162"/>
      <c r="E2564" s="162"/>
      <c r="F2564" s="162"/>
      <c r="G2564" s="163"/>
      <c r="I2564" s="295" t="s">
        <v>782</v>
      </c>
      <c r="J2564" s="296"/>
      <c r="K2564" s="170"/>
      <c r="L2564" s="171"/>
      <c r="M2564" s="50"/>
      <c r="N2564" s="171"/>
      <c r="O2564" s="202"/>
      <c r="P2564" s="202"/>
      <c r="Q2564" s="202"/>
      <c r="R2564" s="162"/>
      <c r="S2564" s="162"/>
    </row>
    <row r="2565" spans="1:19">
      <c r="A2565" s="294"/>
      <c r="B2565" s="164"/>
      <c r="C2565" s="165"/>
      <c r="D2565" s="165"/>
      <c r="E2565" s="165"/>
      <c r="F2565" s="165"/>
      <c r="G2565" s="166"/>
      <c r="I2565" s="295" t="s">
        <v>783</v>
      </c>
      <c r="J2565" s="295"/>
      <c r="K2565" s="170"/>
      <c r="L2565" s="171"/>
      <c r="M2565" s="50"/>
      <c r="N2565" s="171"/>
      <c r="O2565" s="202"/>
      <c r="P2565" s="202"/>
      <c r="Q2565" s="202"/>
      <c r="R2565" s="162"/>
      <c r="S2565" s="162"/>
    </row>
    <row r="2566" spans="1:19">
      <c r="A2566" s="294"/>
      <c r="B2566" s="161"/>
      <c r="C2566" s="162"/>
      <c r="D2566" s="162"/>
      <c r="E2566" s="162"/>
      <c r="F2566" s="162"/>
      <c r="G2566" s="163"/>
      <c r="I2566" s="295" t="s">
        <v>784</v>
      </c>
      <c r="J2566" s="295"/>
      <c r="K2566" s="170"/>
      <c r="L2566" s="171"/>
      <c r="M2566" s="50"/>
      <c r="N2566" s="171"/>
      <c r="O2566" s="202"/>
      <c r="P2566" s="202"/>
      <c r="Q2566" s="202"/>
      <c r="R2566" s="162"/>
      <c r="S2566" s="162"/>
    </row>
    <row r="2567" spans="1:19">
      <c r="A2567" s="294"/>
      <c r="B2567" s="164"/>
      <c r="C2567" s="165"/>
      <c r="D2567" s="165"/>
      <c r="E2567" s="165"/>
      <c r="F2567" s="165"/>
      <c r="G2567" s="166"/>
      <c r="I2567" s="295" t="s">
        <v>785</v>
      </c>
      <c r="J2567" s="295"/>
      <c r="K2567" s="170"/>
      <c r="L2567" s="171"/>
      <c r="M2567" s="50"/>
      <c r="N2567" s="171"/>
      <c r="O2567" s="202"/>
      <c r="P2567" s="202"/>
      <c r="Q2567" s="202"/>
      <c r="R2567" s="162"/>
      <c r="S2567" s="162"/>
    </row>
    <row r="2568" spans="1:19">
      <c r="A2568" s="294"/>
      <c r="B2568" s="161"/>
      <c r="C2568" s="162"/>
      <c r="D2568" s="162"/>
      <c r="E2568" s="162"/>
      <c r="F2568" s="162"/>
      <c r="G2568" s="163"/>
      <c r="I2568" s="295" t="s">
        <v>786</v>
      </c>
      <c r="J2568" s="295"/>
      <c r="K2568" s="170"/>
      <c r="L2568" s="171"/>
      <c r="M2568" s="50"/>
      <c r="N2568" s="171"/>
      <c r="O2568" s="202"/>
      <c r="P2568" s="202"/>
      <c r="Q2568" s="202"/>
      <c r="R2568" s="162"/>
      <c r="S2568" s="162"/>
    </row>
    <row r="2569" spans="1:19">
      <c r="A2569" s="294"/>
      <c r="B2569" s="164"/>
      <c r="C2569" s="165"/>
      <c r="D2569" s="165"/>
      <c r="E2569" s="165"/>
      <c r="F2569" s="165"/>
      <c r="G2569" s="166"/>
      <c r="I2569" s="295" t="s">
        <v>787</v>
      </c>
      <c r="J2569" s="295"/>
      <c r="K2569" s="170"/>
      <c r="L2569" s="171"/>
      <c r="M2569" s="50"/>
      <c r="N2569" s="171"/>
      <c r="O2569" s="202"/>
      <c r="P2569" s="202"/>
      <c r="Q2569" s="202"/>
      <c r="R2569" s="162"/>
      <c r="S2569" s="162"/>
    </row>
    <row r="2570" spans="1:19">
      <c r="A2570" s="294"/>
      <c r="B2570" s="161"/>
      <c r="C2570" s="162"/>
      <c r="D2570" s="162"/>
      <c r="E2570" s="162"/>
      <c r="F2570" s="162"/>
      <c r="G2570" s="163"/>
      <c r="I2570" s="295" t="s">
        <v>788</v>
      </c>
      <c r="J2570" s="295"/>
      <c r="K2570" s="170"/>
      <c r="L2570" s="171"/>
      <c r="M2570" s="50"/>
      <c r="N2570" s="171"/>
      <c r="O2570" s="202"/>
      <c r="P2570" s="202"/>
      <c r="Q2570" s="202"/>
      <c r="R2570" s="162"/>
      <c r="S2570" s="162"/>
    </row>
    <row r="2571" spans="1:19">
      <c r="A2571" s="294"/>
      <c r="B2571" s="164"/>
      <c r="C2571" s="165"/>
      <c r="D2571" s="165"/>
      <c r="E2571" s="165"/>
      <c r="F2571" s="165"/>
      <c r="G2571" s="166"/>
      <c r="I2571" s="295" t="s">
        <v>789</v>
      </c>
      <c r="J2571" s="295"/>
      <c r="K2571" s="170"/>
      <c r="L2571" s="171"/>
      <c r="M2571" s="50"/>
      <c r="N2571" s="171"/>
      <c r="O2571" s="202"/>
      <c r="P2571" s="202"/>
      <c r="Q2571" s="202"/>
      <c r="R2571" s="162"/>
      <c r="S2571" s="162"/>
    </row>
    <row r="2572" spans="1:19">
      <c r="A2572" s="63"/>
      <c r="B2572" s="63"/>
      <c r="C2572" s="63"/>
      <c r="D2572" s="63"/>
      <c r="E2572" s="63"/>
      <c r="F2572" s="63"/>
      <c r="G2572" s="63"/>
      <c r="I2572" s="295" t="s">
        <v>790</v>
      </c>
      <c r="J2572" s="295"/>
      <c r="K2572" s="170"/>
      <c r="L2572" s="171"/>
      <c r="M2572" s="50"/>
      <c r="N2572" s="171"/>
      <c r="O2572" s="202"/>
      <c r="P2572" s="202"/>
      <c r="Q2572" s="202"/>
      <c r="R2572" s="162"/>
      <c r="S2572" s="162"/>
    </row>
    <row r="2573" spans="1:19">
      <c r="A2573" s="63"/>
      <c r="B2573" s="63"/>
      <c r="C2573" s="63"/>
      <c r="D2573" s="63"/>
      <c r="E2573" s="63"/>
      <c r="F2573" s="63"/>
      <c r="G2573" s="63"/>
      <c r="I2573" s="295" t="s">
        <v>791</v>
      </c>
      <c r="J2573" s="295"/>
      <c r="K2573" s="170"/>
      <c r="L2573" s="171"/>
      <c r="M2573" s="50"/>
      <c r="N2573" s="171"/>
      <c r="O2573" s="202"/>
      <c r="P2573" s="202"/>
      <c r="Q2573" s="202"/>
      <c r="R2573" s="162"/>
      <c r="S2573" s="162"/>
    </row>
    <row r="2574" spans="1:19">
      <c r="A2574" s="63"/>
      <c r="B2574" s="63"/>
      <c r="C2574" s="63"/>
      <c r="D2574" s="63"/>
      <c r="E2574" s="63"/>
      <c r="F2574" s="63"/>
      <c r="G2574" s="63"/>
      <c r="I2574" s="296" t="s">
        <v>792</v>
      </c>
      <c r="J2574" s="296"/>
      <c r="K2574" s="170"/>
      <c r="L2574" s="171"/>
      <c r="M2574" s="50"/>
      <c r="N2574" s="171"/>
      <c r="O2574" s="202"/>
      <c r="P2574" s="202"/>
      <c r="Q2574" s="202"/>
      <c r="R2574" s="162"/>
      <c r="S2574" s="162"/>
    </row>
    <row r="2575" spans="1:19" ht="17.25" thickBot="1">
      <c r="A2575" s="63"/>
      <c r="B2575" s="63"/>
      <c r="C2575" s="63"/>
      <c r="D2575" s="63"/>
      <c r="E2575" s="63"/>
      <c r="F2575" s="63"/>
      <c r="G2575" s="63"/>
      <c r="I2575" s="297" t="s">
        <v>793</v>
      </c>
      <c r="J2575" s="297"/>
      <c r="K2575" s="172">
        <f t="shared" ref="K2575:S2575" si="1199">SUM(K2564:K2574)</f>
        <v>0</v>
      </c>
      <c r="L2575" s="205">
        <f t="shared" si="1199"/>
        <v>0</v>
      </c>
      <c r="M2575" s="205">
        <f t="shared" si="1199"/>
        <v>0</v>
      </c>
      <c r="N2575" s="205">
        <f t="shared" si="1199"/>
        <v>0</v>
      </c>
      <c r="O2575" s="174">
        <f t="shared" si="1199"/>
        <v>0</v>
      </c>
      <c r="P2575" s="174">
        <f t="shared" si="1199"/>
        <v>0</v>
      </c>
      <c r="Q2575" s="174">
        <f t="shared" si="1199"/>
        <v>0</v>
      </c>
      <c r="R2575" s="175">
        <f t="shared" si="1199"/>
        <v>0</v>
      </c>
      <c r="S2575" s="175">
        <f t="shared" si="1199"/>
        <v>0</v>
      </c>
    </row>
    <row r="2576" spans="1:19" ht="17.25" thickBot="1">
      <c r="A2576" s="63"/>
      <c r="B2576" s="63"/>
      <c r="C2576" s="63"/>
      <c r="D2576" s="63"/>
      <c r="E2576" s="63"/>
      <c r="F2576" s="63"/>
      <c r="G2576" s="63"/>
      <c r="I2576" s="298" t="s">
        <v>794</v>
      </c>
      <c r="J2576" s="299"/>
      <c r="K2576" s="176">
        <f t="shared" ref="K2576" si="1200">S2555-K2575</f>
        <v>0</v>
      </c>
      <c r="L2576" s="177">
        <f t="shared" ref="L2576" si="1201">K2575-L2575</f>
        <v>0</v>
      </c>
      <c r="M2576" s="177">
        <f t="shared" ref="M2576" si="1202">K2575-M2575</f>
        <v>0</v>
      </c>
      <c r="N2576" s="177">
        <f t="shared" ref="N2576" si="1203">K2575-N2575</f>
        <v>0</v>
      </c>
      <c r="O2576" s="178">
        <f t="shared" ref="O2576" si="1204">K2575-O2575</f>
        <v>0</v>
      </c>
      <c r="P2576" s="178">
        <f t="shared" ref="P2576" si="1205">K2575-P2575</f>
        <v>0</v>
      </c>
      <c r="Q2576" s="178">
        <f t="shared" ref="Q2576" si="1206">K2575-Q2575</f>
        <v>0</v>
      </c>
      <c r="R2576" s="179">
        <f t="shared" ref="R2576" si="1207">K2575-R2575</f>
        <v>0</v>
      </c>
      <c r="S2576" s="180">
        <f t="shared" ref="S2576" si="1208">L2575-S2575</f>
        <v>0</v>
      </c>
    </row>
    <row r="2577" spans="1:19">
      <c r="A2577" s="63"/>
      <c r="B2577" s="63"/>
      <c r="C2577" s="63"/>
      <c r="D2577" s="63"/>
      <c r="E2577" s="63"/>
      <c r="F2577" s="63"/>
      <c r="G2577" s="63"/>
      <c r="I2577" s="300" t="s">
        <v>795</v>
      </c>
      <c r="J2577" s="301"/>
      <c r="K2577" s="181"/>
      <c r="L2577" s="182"/>
      <c r="M2577" s="182"/>
      <c r="N2577" s="182"/>
      <c r="O2577" s="183"/>
      <c r="P2577" s="182"/>
      <c r="Q2577" s="182"/>
      <c r="R2577" s="182"/>
      <c r="S2577" s="182"/>
    </row>
    <row r="2578" spans="1:19">
      <c r="A2578" s="63"/>
      <c r="B2578" s="63"/>
      <c r="C2578" s="63"/>
      <c r="D2578" s="63"/>
      <c r="E2578" s="63"/>
      <c r="F2578" s="63"/>
      <c r="G2578" s="63"/>
      <c r="I2578" s="302" t="s">
        <v>796</v>
      </c>
      <c r="J2578" s="302"/>
      <c r="K2578" s="184"/>
      <c r="L2578" s="203"/>
      <c r="M2578" s="203"/>
      <c r="N2578" s="203"/>
      <c r="O2578" s="203"/>
      <c r="P2578" s="203"/>
      <c r="Q2578" s="203"/>
      <c r="R2578" s="203"/>
      <c r="S2578" s="203"/>
    </row>
    <row r="2579" spans="1:19">
      <c r="A2579" s="63"/>
      <c r="B2579" s="63"/>
      <c r="C2579" s="63"/>
      <c r="D2579" s="63"/>
      <c r="E2579" s="63"/>
      <c r="F2579" s="63"/>
      <c r="G2579" s="63"/>
      <c r="I2579" s="302" t="s">
        <v>797</v>
      </c>
      <c r="J2579" s="302"/>
      <c r="K2579" s="184"/>
      <c r="L2579" s="203"/>
      <c r="M2579" s="203"/>
      <c r="N2579" s="203"/>
      <c r="O2579" s="203"/>
      <c r="P2579" s="203"/>
      <c r="Q2579" s="203"/>
      <c r="R2579" s="203"/>
      <c r="S2579" s="203"/>
    </row>
    <row r="2580" spans="1:19">
      <c r="A2580" s="63"/>
      <c r="B2580" s="63"/>
      <c r="C2580" s="63"/>
      <c r="D2580" s="63"/>
      <c r="E2580" s="63"/>
      <c r="F2580" s="63"/>
      <c r="G2580" s="63"/>
      <c r="I2580" s="303" t="s">
        <v>798</v>
      </c>
      <c r="J2580" s="303"/>
      <c r="K2580" s="184"/>
      <c r="L2580" s="185"/>
      <c r="M2580" s="185"/>
      <c r="N2580" s="185"/>
      <c r="O2580" s="185"/>
      <c r="P2580" s="204"/>
      <c r="Q2580" s="204"/>
      <c r="R2580" s="204"/>
      <c r="S2580" s="204"/>
    </row>
    <row r="2581" spans="1:19">
      <c r="A2581" s="3" t="s">
        <v>801</v>
      </c>
      <c r="B2581" s="201" t="s">
        <v>802</v>
      </c>
      <c r="C2581" s="201" t="s">
        <v>803</v>
      </c>
      <c r="D2581" s="201" t="s">
        <v>119</v>
      </c>
      <c r="E2581" s="201" t="s">
        <v>148</v>
      </c>
      <c r="F2581" s="201" t="s">
        <v>806</v>
      </c>
      <c r="G2581" s="201" t="s">
        <v>81</v>
      </c>
      <c r="I2581" s="187"/>
      <c r="J2581" s="187"/>
      <c r="K2581" s="187"/>
      <c r="L2581" s="188"/>
      <c r="M2581" s="188"/>
      <c r="N2581" s="188"/>
      <c r="O2581" s="188"/>
      <c r="P2581" s="187"/>
      <c r="Q2581" s="187"/>
      <c r="R2581" s="187"/>
      <c r="S2581" s="187"/>
    </row>
    <row r="2582" spans="1:19">
      <c r="A2582" s="293">
        <v>44168</v>
      </c>
      <c r="B2582" s="161"/>
      <c r="C2582" s="162"/>
      <c r="D2582" s="162"/>
      <c r="E2582" s="162"/>
      <c r="F2582" s="162"/>
      <c r="G2582" s="163"/>
      <c r="I2582" s="191"/>
      <c r="J2582" s="190"/>
      <c r="K2582" s="190"/>
      <c r="L2582" s="190"/>
      <c r="M2582" s="190">
        <v>44168</v>
      </c>
      <c r="N2582" s="189" t="s">
        <v>864</v>
      </c>
      <c r="O2582" s="189"/>
      <c r="P2582" s="189"/>
      <c r="Q2582" s="189"/>
      <c r="R2582" s="189"/>
      <c r="S2582" s="189"/>
    </row>
    <row r="2583" spans="1:19">
      <c r="A2583" s="294"/>
      <c r="B2583" s="164"/>
      <c r="C2583" s="165"/>
      <c r="D2583" s="165"/>
      <c r="E2583" s="165"/>
      <c r="F2583" s="165"/>
      <c r="G2583" s="166"/>
      <c r="I2583" s="304"/>
      <c r="J2583" s="304"/>
      <c r="K2583" s="167"/>
      <c r="L2583" s="168"/>
      <c r="M2583" s="168"/>
      <c r="N2583" s="168"/>
      <c r="O2583" s="169"/>
      <c r="P2583" s="169"/>
      <c r="Q2583" s="169"/>
      <c r="R2583" s="161"/>
      <c r="S2583" s="161"/>
    </row>
    <row r="2584" spans="1:19">
      <c r="A2584" s="294"/>
      <c r="B2584" s="161"/>
      <c r="C2584" s="162"/>
      <c r="D2584" s="162"/>
      <c r="E2584" s="162"/>
      <c r="F2584" s="162"/>
      <c r="G2584" s="163"/>
      <c r="I2584" s="295" t="s">
        <v>782</v>
      </c>
      <c r="J2584" s="296"/>
      <c r="K2584" s="170"/>
      <c r="L2584" s="171"/>
      <c r="M2584" s="50"/>
      <c r="N2584" s="171"/>
      <c r="O2584" s="202"/>
      <c r="P2584" s="202"/>
      <c r="Q2584" s="202"/>
      <c r="R2584" s="162"/>
      <c r="S2584" s="162"/>
    </row>
    <row r="2585" spans="1:19">
      <c r="A2585" s="294"/>
      <c r="B2585" s="164"/>
      <c r="C2585" s="165"/>
      <c r="D2585" s="165"/>
      <c r="E2585" s="165"/>
      <c r="F2585" s="165"/>
      <c r="G2585" s="166"/>
      <c r="I2585" s="295" t="s">
        <v>783</v>
      </c>
      <c r="J2585" s="295"/>
      <c r="K2585" s="170"/>
      <c r="L2585" s="171"/>
      <c r="M2585" s="50"/>
      <c r="N2585" s="171"/>
      <c r="O2585" s="202"/>
      <c r="P2585" s="202"/>
      <c r="Q2585" s="202"/>
      <c r="R2585" s="162"/>
      <c r="S2585" s="162"/>
    </row>
    <row r="2586" spans="1:19">
      <c r="A2586" s="294"/>
      <c r="B2586" s="161"/>
      <c r="C2586" s="162"/>
      <c r="D2586" s="162"/>
      <c r="E2586" s="162"/>
      <c r="F2586" s="162"/>
      <c r="G2586" s="163"/>
      <c r="I2586" s="295" t="s">
        <v>784</v>
      </c>
      <c r="J2586" s="295"/>
      <c r="K2586" s="170"/>
      <c r="L2586" s="171"/>
      <c r="M2586" s="50"/>
      <c r="N2586" s="171"/>
      <c r="O2586" s="202"/>
      <c r="P2586" s="202"/>
      <c r="Q2586" s="202"/>
      <c r="R2586" s="162"/>
      <c r="S2586" s="162"/>
    </row>
    <row r="2587" spans="1:19">
      <c r="A2587" s="294"/>
      <c r="B2587" s="164"/>
      <c r="C2587" s="165"/>
      <c r="D2587" s="165"/>
      <c r="E2587" s="165"/>
      <c r="F2587" s="165"/>
      <c r="G2587" s="166"/>
      <c r="I2587" s="295" t="s">
        <v>785</v>
      </c>
      <c r="J2587" s="295"/>
      <c r="K2587" s="170"/>
      <c r="L2587" s="171"/>
      <c r="M2587" s="50"/>
      <c r="N2587" s="171"/>
      <c r="O2587" s="202"/>
      <c r="P2587" s="202"/>
      <c r="Q2587" s="202"/>
      <c r="R2587" s="162"/>
      <c r="S2587" s="162"/>
    </row>
    <row r="2588" spans="1:19">
      <c r="A2588" s="294"/>
      <c r="B2588" s="161"/>
      <c r="C2588" s="162"/>
      <c r="D2588" s="162"/>
      <c r="E2588" s="162"/>
      <c r="F2588" s="162"/>
      <c r="G2588" s="163"/>
      <c r="I2588" s="295" t="s">
        <v>786</v>
      </c>
      <c r="J2588" s="295"/>
      <c r="K2588" s="170"/>
      <c r="L2588" s="171"/>
      <c r="M2588" s="50"/>
      <c r="N2588" s="171"/>
      <c r="O2588" s="202"/>
      <c r="P2588" s="202"/>
      <c r="Q2588" s="202"/>
      <c r="R2588" s="162"/>
      <c r="S2588" s="162"/>
    </row>
    <row r="2589" spans="1:19">
      <c r="A2589" s="294"/>
      <c r="B2589" s="164"/>
      <c r="C2589" s="165"/>
      <c r="D2589" s="165"/>
      <c r="E2589" s="165"/>
      <c r="F2589" s="165"/>
      <c r="G2589" s="166"/>
      <c r="I2589" s="295" t="s">
        <v>787</v>
      </c>
      <c r="J2589" s="295"/>
      <c r="K2589" s="170"/>
      <c r="L2589" s="171"/>
      <c r="M2589" s="50"/>
      <c r="N2589" s="171"/>
      <c r="O2589" s="202"/>
      <c r="P2589" s="202"/>
      <c r="Q2589" s="202"/>
      <c r="R2589" s="162"/>
      <c r="S2589" s="162"/>
    </row>
    <row r="2590" spans="1:19">
      <c r="A2590" s="294"/>
      <c r="B2590" s="161"/>
      <c r="C2590" s="162"/>
      <c r="D2590" s="162"/>
      <c r="E2590" s="162"/>
      <c r="F2590" s="162"/>
      <c r="G2590" s="163"/>
      <c r="I2590" s="295" t="s">
        <v>788</v>
      </c>
      <c r="J2590" s="295"/>
      <c r="K2590" s="170"/>
      <c r="L2590" s="171"/>
      <c r="M2590" s="50"/>
      <c r="N2590" s="171"/>
      <c r="O2590" s="202"/>
      <c r="P2590" s="202"/>
      <c r="Q2590" s="202"/>
      <c r="R2590" s="162"/>
      <c r="S2590" s="162"/>
    </row>
    <row r="2591" spans="1:19">
      <c r="A2591" s="294"/>
      <c r="B2591" s="164"/>
      <c r="C2591" s="165"/>
      <c r="D2591" s="165"/>
      <c r="E2591" s="165"/>
      <c r="F2591" s="165"/>
      <c r="G2591" s="166"/>
      <c r="I2591" s="295" t="s">
        <v>789</v>
      </c>
      <c r="J2591" s="295"/>
      <c r="K2591" s="170"/>
      <c r="L2591" s="171"/>
      <c r="M2591" s="50"/>
      <c r="N2591" s="171"/>
      <c r="O2591" s="202"/>
      <c r="P2591" s="202"/>
      <c r="Q2591" s="202"/>
      <c r="R2591" s="162"/>
      <c r="S2591" s="162"/>
    </row>
    <row r="2592" spans="1:19">
      <c r="A2592" s="63"/>
      <c r="B2592" s="63"/>
      <c r="C2592" s="63"/>
      <c r="D2592" s="63"/>
      <c r="E2592" s="63"/>
      <c r="F2592" s="63"/>
      <c r="G2592" s="63"/>
      <c r="I2592" s="295" t="s">
        <v>790</v>
      </c>
      <c r="J2592" s="295"/>
      <c r="K2592" s="170"/>
      <c r="L2592" s="171"/>
      <c r="M2592" s="50"/>
      <c r="N2592" s="171"/>
      <c r="O2592" s="202"/>
      <c r="P2592" s="202"/>
      <c r="Q2592" s="202"/>
      <c r="R2592" s="162"/>
      <c r="S2592" s="162"/>
    </row>
    <row r="2593" spans="1:19">
      <c r="A2593" s="63"/>
      <c r="B2593" s="63"/>
      <c r="C2593" s="63"/>
      <c r="D2593" s="63"/>
      <c r="E2593" s="63"/>
      <c r="F2593" s="63"/>
      <c r="G2593" s="63"/>
      <c r="I2593" s="295" t="s">
        <v>791</v>
      </c>
      <c r="J2593" s="295"/>
      <c r="K2593" s="170"/>
      <c r="L2593" s="171"/>
      <c r="M2593" s="50"/>
      <c r="N2593" s="171"/>
      <c r="O2593" s="202"/>
      <c r="P2593" s="202"/>
      <c r="Q2593" s="202"/>
      <c r="R2593" s="162"/>
      <c r="S2593" s="162"/>
    </row>
    <row r="2594" spans="1:19">
      <c r="A2594" s="63"/>
      <c r="B2594" s="63"/>
      <c r="C2594" s="63"/>
      <c r="D2594" s="63"/>
      <c r="E2594" s="63"/>
      <c r="F2594" s="63"/>
      <c r="G2594" s="63"/>
      <c r="I2594" s="296" t="s">
        <v>792</v>
      </c>
      <c r="J2594" s="296"/>
      <c r="K2594" s="170"/>
      <c r="L2594" s="171"/>
      <c r="M2594" s="50"/>
      <c r="N2594" s="171"/>
      <c r="O2594" s="202"/>
      <c r="P2594" s="202"/>
      <c r="Q2594" s="202"/>
      <c r="R2594" s="162"/>
      <c r="S2594" s="162"/>
    </row>
    <row r="2595" spans="1:19" ht="17.25" thickBot="1">
      <c r="A2595" s="63"/>
      <c r="B2595" s="63"/>
      <c r="C2595" s="63"/>
      <c r="D2595" s="63"/>
      <c r="E2595" s="63"/>
      <c r="F2595" s="63"/>
      <c r="G2595" s="63"/>
      <c r="I2595" s="297" t="s">
        <v>793</v>
      </c>
      <c r="J2595" s="297"/>
      <c r="K2595" s="172">
        <f t="shared" ref="K2595:S2595" si="1209">SUM(K2584:K2594)</f>
        <v>0</v>
      </c>
      <c r="L2595" s="205">
        <f t="shared" si="1209"/>
        <v>0</v>
      </c>
      <c r="M2595" s="205">
        <f t="shared" si="1209"/>
        <v>0</v>
      </c>
      <c r="N2595" s="205">
        <f t="shared" si="1209"/>
        <v>0</v>
      </c>
      <c r="O2595" s="174">
        <f t="shared" si="1209"/>
        <v>0</v>
      </c>
      <c r="P2595" s="174">
        <f t="shared" si="1209"/>
        <v>0</v>
      </c>
      <c r="Q2595" s="174">
        <f t="shared" si="1209"/>
        <v>0</v>
      </c>
      <c r="R2595" s="175">
        <f t="shared" si="1209"/>
        <v>0</v>
      </c>
      <c r="S2595" s="175">
        <f t="shared" si="1209"/>
        <v>0</v>
      </c>
    </row>
    <row r="2596" spans="1:19" ht="17.25" thickBot="1">
      <c r="A2596" s="63"/>
      <c r="B2596" s="63"/>
      <c r="C2596" s="63"/>
      <c r="D2596" s="63"/>
      <c r="E2596" s="63"/>
      <c r="F2596" s="63"/>
      <c r="G2596" s="63"/>
      <c r="I2596" s="298" t="s">
        <v>794</v>
      </c>
      <c r="J2596" s="299"/>
      <c r="K2596" s="176">
        <f t="shared" ref="K2596" si="1210">S2575-K2595</f>
        <v>0</v>
      </c>
      <c r="L2596" s="177">
        <f t="shared" ref="L2596" si="1211">K2595-L2595</f>
        <v>0</v>
      </c>
      <c r="M2596" s="177">
        <f t="shared" ref="M2596" si="1212">K2595-M2595</f>
        <v>0</v>
      </c>
      <c r="N2596" s="177">
        <f t="shared" ref="N2596" si="1213">K2595-N2595</f>
        <v>0</v>
      </c>
      <c r="O2596" s="178">
        <f t="shared" ref="O2596" si="1214">K2595-O2595</f>
        <v>0</v>
      </c>
      <c r="P2596" s="178">
        <f t="shared" ref="P2596" si="1215">K2595-P2595</f>
        <v>0</v>
      </c>
      <c r="Q2596" s="178">
        <f t="shared" ref="Q2596" si="1216">K2595-Q2595</f>
        <v>0</v>
      </c>
      <c r="R2596" s="179">
        <f t="shared" ref="R2596" si="1217">K2595-R2595</f>
        <v>0</v>
      </c>
      <c r="S2596" s="180">
        <f t="shared" ref="S2596" si="1218">L2595-S2595</f>
        <v>0</v>
      </c>
    </row>
    <row r="2597" spans="1:19">
      <c r="A2597" s="63"/>
      <c r="B2597" s="63"/>
      <c r="C2597" s="63"/>
      <c r="D2597" s="63"/>
      <c r="E2597" s="63"/>
      <c r="F2597" s="63"/>
      <c r="G2597" s="63"/>
      <c r="I2597" s="300" t="s">
        <v>795</v>
      </c>
      <c r="J2597" s="301"/>
      <c r="K2597" s="181"/>
      <c r="L2597" s="182"/>
      <c r="M2597" s="182"/>
      <c r="N2597" s="182"/>
      <c r="O2597" s="183"/>
      <c r="P2597" s="182"/>
      <c r="Q2597" s="182"/>
      <c r="R2597" s="182"/>
      <c r="S2597" s="182"/>
    </row>
    <row r="2598" spans="1:19">
      <c r="A2598" s="63"/>
      <c r="B2598" s="63"/>
      <c r="C2598" s="63"/>
      <c r="D2598" s="63"/>
      <c r="E2598" s="63"/>
      <c r="F2598" s="63"/>
      <c r="G2598" s="63"/>
      <c r="I2598" s="302" t="s">
        <v>796</v>
      </c>
      <c r="J2598" s="302"/>
      <c r="K2598" s="184"/>
      <c r="L2598" s="203"/>
      <c r="M2598" s="203"/>
      <c r="N2598" s="203"/>
      <c r="O2598" s="203"/>
      <c r="P2598" s="203"/>
      <c r="Q2598" s="203"/>
      <c r="R2598" s="203"/>
      <c r="S2598" s="203"/>
    </row>
    <row r="2599" spans="1:19">
      <c r="A2599" s="63"/>
      <c r="B2599" s="63"/>
      <c r="C2599" s="63"/>
      <c r="D2599" s="63"/>
      <c r="E2599" s="63"/>
      <c r="F2599" s="63"/>
      <c r="G2599" s="63"/>
      <c r="I2599" s="302" t="s">
        <v>797</v>
      </c>
      <c r="J2599" s="302"/>
      <c r="K2599" s="184"/>
      <c r="L2599" s="203"/>
      <c r="M2599" s="203"/>
      <c r="N2599" s="203"/>
      <c r="O2599" s="203"/>
      <c r="P2599" s="203"/>
      <c r="Q2599" s="203"/>
      <c r="R2599" s="203"/>
      <c r="S2599" s="203"/>
    </row>
    <row r="2600" spans="1:19">
      <c r="A2600" s="63"/>
      <c r="B2600" s="63"/>
      <c r="C2600" s="63"/>
      <c r="D2600" s="63"/>
      <c r="E2600" s="63"/>
      <c r="F2600" s="63"/>
      <c r="G2600" s="63"/>
      <c r="I2600" s="303" t="s">
        <v>798</v>
      </c>
      <c r="J2600" s="303"/>
      <c r="K2600" s="184"/>
      <c r="L2600" s="185"/>
      <c r="M2600" s="185"/>
      <c r="N2600" s="185"/>
      <c r="O2600" s="185"/>
      <c r="P2600" s="204"/>
      <c r="Q2600" s="204"/>
      <c r="R2600" s="204"/>
      <c r="S2600" s="204"/>
    </row>
    <row r="2601" spans="1:19">
      <c r="A2601" s="3" t="s">
        <v>801</v>
      </c>
      <c r="B2601" s="201" t="s">
        <v>802</v>
      </c>
      <c r="C2601" s="201" t="s">
        <v>803</v>
      </c>
      <c r="D2601" s="201" t="s">
        <v>119</v>
      </c>
      <c r="E2601" s="201" t="s">
        <v>148</v>
      </c>
      <c r="F2601" s="201" t="s">
        <v>806</v>
      </c>
      <c r="G2601" s="201" t="s">
        <v>81</v>
      </c>
      <c r="I2601" s="187"/>
      <c r="J2601" s="187"/>
      <c r="K2601" s="187"/>
      <c r="L2601" s="188"/>
      <c r="M2601" s="188"/>
      <c r="N2601" s="188"/>
      <c r="O2601" s="188"/>
      <c r="P2601" s="187"/>
      <c r="Q2601" s="187"/>
      <c r="R2601" s="187"/>
      <c r="S2601" s="187"/>
    </row>
    <row r="2602" spans="1:19">
      <c r="A2602" s="293">
        <v>44169</v>
      </c>
      <c r="B2602" s="161"/>
      <c r="C2602" s="162"/>
      <c r="D2602" s="162"/>
      <c r="E2602" s="162"/>
      <c r="F2602" s="162"/>
      <c r="G2602" s="163"/>
      <c r="I2602" s="191"/>
      <c r="J2602" s="190"/>
      <c r="K2602" s="190"/>
      <c r="L2602" s="190"/>
      <c r="M2602" s="190">
        <v>44169</v>
      </c>
      <c r="N2602" s="189" t="s">
        <v>864</v>
      </c>
      <c r="O2602" s="189"/>
      <c r="P2602" s="189"/>
      <c r="Q2602" s="189"/>
      <c r="R2602" s="189"/>
      <c r="S2602" s="189"/>
    </row>
    <row r="2603" spans="1:19">
      <c r="A2603" s="294"/>
      <c r="B2603" s="164"/>
      <c r="C2603" s="165"/>
      <c r="D2603" s="165"/>
      <c r="E2603" s="165"/>
      <c r="F2603" s="165"/>
      <c r="G2603" s="166"/>
      <c r="I2603" s="304"/>
      <c r="J2603" s="304"/>
      <c r="K2603" s="167"/>
      <c r="L2603" s="168"/>
      <c r="M2603" s="168"/>
      <c r="N2603" s="168"/>
      <c r="O2603" s="169"/>
      <c r="P2603" s="169"/>
      <c r="Q2603" s="169"/>
      <c r="R2603" s="161"/>
      <c r="S2603" s="161"/>
    </row>
    <row r="2604" spans="1:19">
      <c r="A2604" s="294"/>
      <c r="B2604" s="161"/>
      <c r="C2604" s="162"/>
      <c r="D2604" s="162"/>
      <c r="E2604" s="162"/>
      <c r="F2604" s="162"/>
      <c r="G2604" s="163"/>
      <c r="I2604" s="295" t="s">
        <v>782</v>
      </c>
      <c r="J2604" s="296"/>
      <c r="K2604" s="170"/>
      <c r="L2604" s="171"/>
      <c r="M2604" s="50"/>
      <c r="N2604" s="171"/>
      <c r="O2604" s="202"/>
      <c r="P2604" s="202"/>
      <c r="Q2604" s="202"/>
      <c r="R2604" s="162"/>
      <c r="S2604" s="162"/>
    </row>
    <row r="2605" spans="1:19">
      <c r="A2605" s="294"/>
      <c r="B2605" s="164"/>
      <c r="C2605" s="165"/>
      <c r="D2605" s="165"/>
      <c r="E2605" s="165"/>
      <c r="F2605" s="165"/>
      <c r="G2605" s="166"/>
      <c r="I2605" s="295" t="s">
        <v>783</v>
      </c>
      <c r="J2605" s="295"/>
      <c r="K2605" s="170"/>
      <c r="L2605" s="171"/>
      <c r="M2605" s="50"/>
      <c r="N2605" s="171"/>
      <c r="O2605" s="202"/>
      <c r="P2605" s="202"/>
      <c r="Q2605" s="202"/>
      <c r="R2605" s="162"/>
      <c r="S2605" s="162"/>
    </row>
    <row r="2606" spans="1:19">
      <c r="A2606" s="294"/>
      <c r="B2606" s="161"/>
      <c r="C2606" s="162"/>
      <c r="D2606" s="162"/>
      <c r="E2606" s="162"/>
      <c r="F2606" s="162"/>
      <c r="G2606" s="163"/>
      <c r="I2606" s="295" t="s">
        <v>784</v>
      </c>
      <c r="J2606" s="295"/>
      <c r="K2606" s="170"/>
      <c r="L2606" s="171"/>
      <c r="M2606" s="50"/>
      <c r="N2606" s="171"/>
      <c r="O2606" s="202"/>
      <c r="P2606" s="202"/>
      <c r="Q2606" s="202"/>
      <c r="R2606" s="162"/>
      <c r="S2606" s="162"/>
    </row>
    <row r="2607" spans="1:19">
      <c r="A2607" s="294"/>
      <c r="B2607" s="164"/>
      <c r="C2607" s="165"/>
      <c r="D2607" s="165"/>
      <c r="E2607" s="165"/>
      <c r="F2607" s="165"/>
      <c r="G2607" s="166"/>
      <c r="I2607" s="295" t="s">
        <v>785</v>
      </c>
      <c r="J2607" s="295"/>
      <c r="K2607" s="170"/>
      <c r="L2607" s="171"/>
      <c r="M2607" s="50"/>
      <c r="N2607" s="171"/>
      <c r="O2607" s="202"/>
      <c r="P2607" s="202"/>
      <c r="Q2607" s="202"/>
      <c r="R2607" s="162"/>
      <c r="S2607" s="162"/>
    </row>
    <row r="2608" spans="1:19">
      <c r="A2608" s="294"/>
      <c r="B2608" s="161"/>
      <c r="C2608" s="162"/>
      <c r="D2608" s="162"/>
      <c r="E2608" s="162"/>
      <c r="F2608" s="162"/>
      <c r="G2608" s="163"/>
      <c r="I2608" s="295" t="s">
        <v>786</v>
      </c>
      <c r="J2608" s="295"/>
      <c r="K2608" s="170"/>
      <c r="L2608" s="171"/>
      <c r="M2608" s="50"/>
      <c r="N2608" s="171"/>
      <c r="O2608" s="202"/>
      <c r="P2608" s="202"/>
      <c r="Q2608" s="202"/>
      <c r="R2608" s="162"/>
      <c r="S2608" s="162"/>
    </row>
    <row r="2609" spans="1:19">
      <c r="A2609" s="294"/>
      <c r="B2609" s="164"/>
      <c r="C2609" s="165"/>
      <c r="D2609" s="165"/>
      <c r="E2609" s="165"/>
      <c r="F2609" s="165"/>
      <c r="G2609" s="166"/>
      <c r="I2609" s="295" t="s">
        <v>787</v>
      </c>
      <c r="J2609" s="295"/>
      <c r="K2609" s="170"/>
      <c r="L2609" s="171"/>
      <c r="M2609" s="50"/>
      <c r="N2609" s="171"/>
      <c r="O2609" s="202"/>
      <c r="P2609" s="202"/>
      <c r="Q2609" s="202"/>
      <c r="R2609" s="162"/>
      <c r="S2609" s="162"/>
    </row>
    <row r="2610" spans="1:19">
      <c r="A2610" s="294"/>
      <c r="B2610" s="161"/>
      <c r="C2610" s="162"/>
      <c r="D2610" s="162"/>
      <c r="E2610" s="162"/>
      <c r="F2610" s="162"/>
      <c r="G2610" s="163"/>
      <c r="I2610" s="295" t="s">
        <v>788</v>
      </c>
      <c r="J2610" s="295"/>
      <c r="K2610" s="170"/>
      <c r="L2610" s="171"/>
      <c r="M2610" s="50"/>
      <c r="N2610" s="171"/>
      <c r="O2610" s="202"/>
      <c r="P2610" s="202"/>
      <c r="Q2610" s="202"/>
      <c r="R2610" s="162"/>
      <c r="S2610" s="162"/>
    </row>
    <row r="2611" spans="1:19">
      <c r="A2611" s="294"/>
      <c r="B2611" s="164"/>
      <c r="C2611" s="165"/>
      <c r="D2611" s="165"/>
      <c r="E2611" s="165"/>
      <c r="F2611" s="165"/>
      <c r="G2611" s="166"/>
      <c r="I2611" s="295" t="s">
        <v>789</v>
      </c>
      <c r="J2611" s="295"/>
      <c r="K2611" s="170"/>
      <c r="L2611" s="171"/>
      <c r="M2611" s="50"/>
      <c r="N2611" s="171"/>
      <c r="O2611" s="202"/>
      <c r="P2611" s="202"/>
      <c r="Q2611" s="202"/>
      <c r="R2611" s="162"/>
      <c r="S2611" s="162"/>
    </row>
    <row r="2612" spans="1:19">
      <c r="A2612" s="63"/>
      <c r="B2612" s="63"/>
      <c r="C2612" s="63"/>
      <c r="D2612" s="63"/>
      <c r="E2612" s="63"/>
      <c r="F2612" s="63"/>
      <c r="G2612" s="63"/>
      <c r="I2612" s="295" t="s">
        <v>790</v>
      </c>
      <c r="J2612" s="295"/>
      <c r="K2612" s="170"/>
      <c r="L2612" s="171"/>
      <c r="M2612" s="50"/>
      <c r="N2612" s="171"/>
      <c r="O2612" s="202"/>
      <c r="P2612" s="202"/>
      <c r="Q2612" s="202"/>
      <c r="R2612" s="162"/>
      <c r="S2612" s="162"/>
    </row>
    <row r="2613" spans="1:19">
      <c r="A2613" s="63"/>
      <c r="B2613" s="63"/>
      <c r="C2613" s="63"/>
      <c r="D2613" s="63"/>
      <c r="E2613" s="63"/>
      <c r="F2613" s="63"/>
      <c r="G2613" s="63"/>
      <c r="I2613" s="295" t="s">
        <v>791</v>
      </c>
      <c r="J2613" s="295"/>
      <c r="K2613" s="170"/>
      <c r="L2613" s="171"/>
      <c r="M2613" s="50"/>
      <c r="N2613" s="171"/>
      <c r="O2613" s="202"/>
      <c r="P2613" s="202"/>
      <c r="Q2613" s="202"/>
      <c r="R2613" s="162"/>
      <c r="S2613" s="162"/>
    </row>
    <row r="2614" spans="1:19">
      <c r="A2614" s="63"/>
      <c r="B2614" s="63"/>
      <c r="C2614" s="63"/>
      <c r="D2614" s="63"/>
      <c r="E2614" s="63"/>
      <c r="F2614" s="63"/>
      <c r="G2614" s="63"/>
      <c r="I2614" s="296" t="s">
        <v>792</v>
      </c>
      <c r="J2614" s="296"/>
      <c r="K2614" s="170"/>
      <c r="L2614" s="171"/>
      <c r="M2614" s="50"/>
      <c r="N2614" s="171"/>
      <c r="O2614" s="202"/>
      <c r="P2614" s="202"/>
      <c r="Q2614" s="202"/>
      <c r="R2614" s="162"/>
      <c r="S2614" s="162"/>
    </row>
    <row r="2615" spans="1:19" ht="17.25" thickBot="1">
      <c r="A2615" s="63"/>
      <c r="B2615" s="63"/>
      <c r="C2615" s="63"/>
      <c r="D2615" s="63"/>
      <c r="E2615" s="63"/>
      <c r="F2615" s="63"/>
      <c r="G2615" s="63"/>
      <c r="I2615" s="297" t="s">
        <v>793</v>
      </c>
      <c r="J2615" s="297"/>
      <c r="K2615" s="172">
        <f t="shared" ref="K2615:S2615" si="1219">SUM(K2604:K2614)</f>
        <v>0</v>
      </c>
      <c r="L2615" s="205">
        <f t="shared" si="1219"/>
        <v>0</v>
      </c>
      <c r="M2615" s="205">
        <f t="shared" si="1219"/>
        <v>0</v>
      </c>
      <c r="N2615" s="205">
        <f t="shared" si="1219"/>
        <v>0</v>
      </c>
      <c r="O2615" s="174">
        <f t="shared" si="1219"/>
        <v>0</v>
      </c>
      <c r="P2615" s="174">
        <f t="shared" si="1219"/>
        <v>0</v>
      </c>
      <c r="Q2615" s="174">
        <f t="shared" si="1219"/>
        <v>0</v>
      </c>
      <c r="R2615" s="175">
        <f t="shared" si="1219"/>
        <v>0</v>
      </c>
      <c r="S2615" s="175">
        <f t="shared" si="1219"/>
        <v>0</v>
      </c>
    </row>
    <row r="2616" spans="1:19" ht="17.25" thickBot="1">
      <c r="A2616" s="63"/>
      <c r="B2616" s="63"/>
      <c r="C2616" s="63"/>
      <c r="D2616" s="63"/>
      <c r="E2616" s="63"/>
      <c r="F2616" s="63"/>
      <c r="G2616" s="63"/>
      <c r="I2616" s="298" t="s">
        <v>794</v>
      </c>
      <c r="J2616" s="299"/>
      <c r="K2616" s="176">
        <f t="shared" ref="K2616" si="1220">S2595-K2615</f>
        <v>0</v>
      </c>
      <c r="L2616" s="177">
        <f t="shared" ref="L2616" si="1221">K2615-L2615</f>
        <v>0</v>
      </c>
      <c r="M2616" s="177">
        <f t="shared" ref="M2616" si="1222">K2615-M2615</f>
        <v>0</v>
      </c>
      <c r="N2616" s="177">
        <f t="shared" ref="N2616" si="1223">K2615-N2615</f>
        <v>0</v>
      </c>
      <c r="O2616" s="178">
        <f t="shared" ref="O2616" si="1224">K2615-O2615</f>
        <v>0</v>
      </c>
      <c r="P2616" s="178">
        <f t="shared" ref="P2616" si="1225">K2615-P2615</f>
        <v>0</v>
      </c>
      <c r="Q2616" s="178">
        <f t="shared" ref="Q2616" si="1226">K2615-Q2615</f>
        <v>0</v>
      </c>
      <c r="R2616" s="179">
        <f t="shared" ref="R2616" si="1227">K2615-R2615</f>
        <v>0</v>
      </c>
      <c r="S2616" s="180">
        <f t="shared" ref="S2616" si="1228">L2615-S2615</f>
        <v>0</v>
      </c>
    </row>
    <row r="2617" spans="1:19">
      <c r="A2617" s="63"/>
      <c r="B2617" s="63"/>
      <c r="C2617" s="63"/>
      <c r="D2617" s="63"/>
      <c r="E2617" s="63"/>
      <c r="F2617" s="63"/>
      <c r="G2617" s="63"/>
      <c r="I2617" s="300" t="s">
        <v>795</v>
      </c>
      <c r="J2617" s="301"/>
      <c r="K2617" s="181"/>
      <c r="L2617" s="182"/>
      <c r="M2617" s="182"/>
      <c r="N2617" s="182"/>
      <c r="O2617" s="183"/>
      <c r="P2617" s="182"/>
      <c r="Q2617" s="182"/>
      <c r="R2617" s="182"/>
      <c r="S2617" s="182"/>
    </row>
    <row r="2618" spans="1:19">
      <c r="A2618" s="63"/>
      <c r="B2618" s="63"/>
      <c r="C2618" s="63"/>
      <c r="D2618" s="63"/>
      <c r="E2618" s="63"/>
      <c r="F2618" s="63"/>
      <c r="G2618" s="63"/>
      <c r="I2618" s="302" t="s">
        <v>796</v>
      </c>
      <c r="J2618" s="302"/>
      <c r="K2618" s="184"/>
      <c r="L2618" s="203"/>
      <c r="M2618" s="203"/>
      <c r="N2618" s="203"/>
      <c r="O2618" s="203"/>
      <c r="P2618" s="203"/>
      <c r="Q2618" s="203"/>
      <c r="R2618" s="203"/>
      <c r="S2618" s="203"/>
    </row>
    <row r="2619" spans="1:19">
      <c r="A2619" s="63"/>
      <c r="B2619" s="63"/>
      <c r="C2619" s="63"/>
      <c r="D2619" s="63"/>
      <c r="E2619" s="63"/>
      <c r="F2619" s="63"/>
      <c r="G2619" s="63"/>
      <c r="I2619" s="302" t="s">
        <v>797</v>
      </c>
      <c r="J2619" s="302"/>
      <c r="K2619" s="184"/>
      <c r="L2619" s="203"/>
      <c r="M2619" s="203"/>
      <c r="N2619" s="203"/>
      <c r="O2619" s="203"/>
      <c r="P2619" s="203"/>
      <c r="Q2619" s="203"/>
      <c r="R2619" s="203"/>
      <c r="S2619" s="203"/>
    </row>
    <row r="2620" spans="1:19">
      <c r="A2620" s="63"/>
      <c r="B2620" s="63"/>
      <c r="C2620" s="63"/>
      <c r="D2620" s="63"/>
      <c r="E2620" s="63"/>
      <c r="F2620" s="63"/>
      <c r="G2620" s="63"/>
      <c r="I2620" s="303" t="s">
        <v>798</v>
      </c>
      <c r="J2620" s="303"/>
      <c r="K2620" s="184"/>
      <c r="L2620" s="185"/>
      <c r="M2620" s="185"/>
      <c r="N2620" s="185"/>
      <c r="O2620" s="185"/>
      <c r="P2620" s="204"/>
      <c r="Q2620" s="204"/>
      <c r="R2620" s="204"/>
      <c r="S2620" s="204"/>
    </row>
    <row r="2621" spans="1:19">
      <c r="A2621" s="3" t="s">
        <v>801</v>
      </c>
      <c r="B2621" s="201" t="s">
        <v>802</v>
      </c>
      <c r="C2621" s="201" t="s">
        <v>803</v>
      </c>
      <c r="D2621" s="201" t="s">
        <v>119</v>
      </c>
      <c r="E2621" s="201" t="s">
        <v>148</v>
      </c>
      <c r="F2621" s="201" t="s">
        <v>806</v>
      </c>
      <c r="G2621" s="201" t="s">
        <v>81</v>
      </c>
      <c r="I2621" s="187"/>
      <c r="J2621" s="187"/>
      <c r="K2621" s="187"/>
      <c r="L2621" s="188"/>
      <c r="M2621" s="188"/>
      <c r="N2621" s="188"/>
      <c r="O2621" s="188"/>
      <c r="P2621" s="187"/>
      <c r="Q2621" s="187"/>
      <c r="R2621" s="187"/>
      <c r="S2621" s="187"/>
    </row>
    <row r="2622" spans="1:19">
      <c r="A2622" s="293">
        <v>44170</v>
      </c>
      <c r="B2622" s="161"/>
      <c r="C2622" s="162"/>
      <c r="D2622" s="162"/>
      <c r="E2622" s="162"/>
      <c r="F2622" s="162"/>
      <c r="G2622" s="163"/>
      <c r="I2622" s="191"/>
      <c r="J2622" s="190"/>
      <c r="K2622" s="190"/>
      <c r="L2622" s="190"/>
      <c r="M2622" s="190">
        <v>44170</v>
      </c>
      <c r="N2622" s="189" t="s">
        <v>864</v>
      </c>
      <c r="O2622" s="189"/>
      <c r="P2622" s="189"/>
      <c r="Q2622" s="189"/>
      <c r="R2622" s="189"/>
      <c r="S2622" s="189"/>
    </row>
    <row r="2623" spans="1:19">
      <c r="A2623" s="294"/>
      <c r="B2623" s="164"/>
      <c r="C2623" s="165"/>
      <c r="D2623" s="165"/>
      <c r="E2623" s="165"/>
      <c r="F2623" s="165"/>
      <c r="G2623" s="166"/>
      <c r="I2623" s="304"/>
      <c r="J2623" s="304"/>
      <c r="K2623" s="167"/>
      <c r="L2623" s="168"/>
      <c r="M2623" s="168"/>
      <c r="N2623" s="168"/>
      <c r="O2623" s="169"/>
      <c r="P2623" s="169"/>
      <c r="Q2623" s="169"/>
      <c r="R2623" s="161"/>
      <c r="S2623" s="161"/>
    </row>
    <row r="2624" spans="1:19">
      <c r="A2624" s="294"/>
      <c r="B2624" s="161"/>
      <c r="C2624" s="162"/>
      <c r="D2624" s="162"/>
      <c r="E2624" s="162"/>
      <c r="F2624" s="162"/>
      <c r="G2624" s="163"/>
      <c r="I2624" s="295" t="s">
        <v>782</v>
      </c>
      <c r="J2624" s="296"/>
      <c r="K2624" s="170"/>
      <c r="L2624" s="171"/>
      <c r="M2624" s="50"/>
      <c r="N2624" s="171"/>
      <c r="O2624" s="202"/>
      <c r="P2624" s="202"/>
      <c r="Q2624" s="202"/>
      <c r="R2624" s="162"/>
      <c r="S2624" s="162"/>
    </row>
    <row r="2625" spans="1:19">
      <c r="A2625" s="294"/>
      <c r="B2625" s="164"/>
      <c r="C2625" s="165"/>
      <c r="D2625" s="165"/>
      <c r="E2625" s="165"/>
      <c r="F2625" s="165"/>
      <c r="G2625" s="166"/>
      <c r="I2625" s="295" t="s">
        <v>783</v>
      </c>
      <c r="J2625" s="295"/>
      <c r="K2625" s="170"/>
      <c r="L2625" s="171"/>
      <c r="M2625" s="50"/>
      <c r="N2625" s="171"/>
      <c r="O2625" s="202"/>
      <c r="P2625" s="202"/>
      <c r="Q2625" s="202"/>
      <c r="R2625" s="162"/>
      <c r="S2625" s="162"/>
    </row>
    <row r="2626" spans="1:19">
      <c r="A2626" s="294"/>
      <c r="B2626" s="161"/>
      <c r="C2626" s="162"/>
      <c r="D2626" s="162"/>
      <c r="E2626" s="162"/>
      <c r="F2626" s="162"/>
      <c r="G2626" s="163"/>
      <c r="I2626" s="295" t="s">
        <v>784</v>
      </c>
      <c r="J2626" s="295"/>
      <c r="K2626" s="170"/>
      <c r="L2626" s="171"/>
      <c r="M2626" s="50"/>
      <c r="N2626" s="171"/>
      <c r="O2626" s="202"/>
      <c r="P2626" s="202"/>
      <c r="Q2626" s="202"/>
      <c r="R2626" s="162"/>
      <c r="S2626" s="162"/>
    </row>
    <row r="2627" spans="1:19">
      <c r="A2627" s="294"/>
      <c r="B2627" s="164"/>
      <c r="C2627" s="165"/>
      <c r="D2627" s="165"/>
      <c r="E2627" s="165"/>
      <c r="F2627" s="165"/>
      <c r="G2627" s="166"/>
      <c r="I2627" s="295" t="s">
        <v>785</v>
      </c>
      <c r="J2627" s="295"/>
      <c r="K2627" s="170"/>
      <c r="L2627" s="171"/>
      <c r="M2627" s="50"/>
      <c r="N2627" s="171"/>
      <c r="O2627" s="202"/>
      <c r="P2627" s="202"/>
      <c r="Q2627" s="202"/>
      <c r="R2627" s="162"/>
      <c r="S2627" s="162"/>
    </row>
    <row r="2628" spans="1:19">
      <c r="A2628" s="294"/>
      <c r="B2628" s="161"/>
      <c r="C2628" s="162"/>
      <c r="D2628" s="162"/>
      <c r="E2628" s="162"/>
      <c r="F2628" s="162"/>
      <c r="G2628" s="163"/>
      <c r="I2628" s="295" t="s">
        <v>786</v>
      </c>
      <c r="J2628" s="295"/>
      <c r="K2628" s="170"/>
      <c r="L2628" s="171"/>
      <c r="M2628" s="50"/>
      <c r="N2628" s="171"/>
      <c r="O2628" s="202"/>
      <c r="P2628" s="202"/>
      <c r="Q2628" s="202"/>
      <c r="R2628" s="162"/>
      <c r="S2628" s="162"/>
    </row>
    <row r="2629" spans="1:19">
      <c r="A2629" s="294"/>
      <c r="B2629" s="164"/>
      <c r="C2629" s="165"/>
      <c r="D2629" s="165"/>
      <c r="E2629" s="165"/>
      <c r="F2629" s="165"/>
      <c r="G2629" s="166"/>
      <c r="I2629" s="295" t="s">
        <v>787</v>
      </c>
      <c r="J2629" s="295"/>
      <c r="K2629" s="170"/>
      <c r="L2629" s="171"/>
      <c r="M2629" s="50"/>
      <c r="N2629" s="171"/>
      <c r="O2629" s="202"/>
      <c r="P2629" s="202"/>
      <c r="Q2629" s="202"/>
      <c r="R2629" s="162"/>
      <c r="S2629" s="162"/>
    </row>
    <row r="2630" spans="1:19">
      <c r="A2630" s="294"/>
      <c r="B2630" s="161"/>
      <c r="C2630" s="162"/>
      <c r="D2630" s="162"/>
      <c r="E2630" s="162"/>
      <c r="F2630" s="162"/>
      <c r="G2630" s="163"/>
      <c r="I2630" s="295" t="s">
        <v>788</v>
      </c>
      <c r="J2630" s="295"/>
      <c r="K2630" s="170"/>
      <c r="L2630" s="171"/>
      <c r="M2630" s="50"/>
      <c r="N2630" s="171"/>
      <c r="O2630" s="202"/>
      <c r="P2630" s="202"/>
      <c r="Q2630" s="202"/>
      <c r="R2630" s="162"/>
      <c r="S2630" s="162"/>
    </row>
    <row r="2631" spans="1:19">
      <c r="A2631" s="294"/>
      <c r="B2631" s="164"/>
      <c r="C2631" s="165"/>
      <c r="D2631" s="165"/>
      <c r="E2631" s="165"/>
      <c r="F2631" s="165"/>
      <c r="G2631" s="166"/>
      <c r="I2631" s="295" t="s">
        <v>789</v>
      </c>
      <c r="J2631" s="295"/>
      <c r="K2631" s="170"/>
      <c r="L2631" s="171"/>
      <c r="M2631" s="50"/>
      <c r="N2631" s="171"/>
      <c r="O2631" s="202"/>
      <c r="P2631" s="202"/>
      <c r="Q2631" s="202"/>
      <c r="R2631" s="162"/>
      <c r="S2631" s="162"/>
    </row>
    <row r="2632" spans="1:19">
      <c r="A2632" s="63"/>
      <c r="B2632" s="63"/>
      <c r="C2632" s="63"/>
      <c r="D2632" s="63"/>
      <c r="E2632" s="63"/>
      <c r="F2632" s="63"/>
      <c r="G2632" s="63"/>
      <c r="I2632" s="295" t="s">
        <v>790</v>
      </c>
      <c r="J2632" s="295"/>
      <c r="K2632" s="170"/>
      <c r="L2632" s="171"/>
      <c r="M2632" s="50"/>
      <c r="N2632" s="171"/>
      <c r="O2632" s="202"/>
      <c r="P2632" s="202"/>
      <c r="Q2632" s="202"/>
      <c r="R2632" s="162"/>
      <c r="S2632" s="162"/>
    </row>
    <row r="2633" spans="1:19">
      <c r="A2633" s="63"/>
      <c r="B2633" s="63"/>
      <c r="C2633" s="63"/>
      <c r="D2633" s="63"/>
      <c r="E2633" s="63"/>
      <c r="F2633" s="63"/>
      <c r="G2633" s="63"/>
      <c r="I2633" s="295" t="s">
        <v>791</v>
      </c>
      <c r="J2633" s="295"/>
      <c r="K2633" s="170"/>
      <c r="L2633" s="171"/>
      <c r="M2633" s="50"/>
      <c r="N2633" s="171"/>
      <c r="O2633" s="202"/>
      <c r="P2633" s="202"/>
      <c r="Q2633" s="202"/>
      <c r="R2633" s="162"/>
      <c r="S2633" s="162"/>
    </row>
    <row r="2634" spans="1:19">
      <c r="A2634" s="63"/>
      <c r="B2634" s="63"/>
      <c r="C2634" s="63"/>
      <c r="D2634" s="63"/>
      <c r="E2634" s="63"/>
      <c r="F2634" s="63"/>
      <c r="G2634" s="63"/>
      <c r="I2634" s="296" t="s">
        <v>792</v>
      </c>
      <c r="J2634" s="296"/>
      <c r="K2634" s="170"/>
      <c r="L2634" s="171"/>
      <c r="M2634" s="50"/>
      <c r="N2634" s="171"/>
      <c r="O2634" s="202"/>
      <c r="P2634" s="202"/>
      <c r="Q2634" s="202"/>
      <c r="R2634" s="162"/>
      <c r="S2634" s="162"/>
    </row>
    <row r="2635" spans="1:19" ht="17.25" thickBot="1">
      <c r="A2635" s="63"/>
      <c r="B2635" s="63"/>
      <c r="C2635" s="63"/>
      <c r="D2635" s="63"/>
      <c r="E2635" s="63"/>
      <c r="F2635" s="63"/>
      <c r="G2635" s="63"/>
      <c r="I2635" s="297" t="s">
        <v>793</v>
      </c>
      <c r="J2635" s="297"/>
      <c r="K2635" s="172">
        <f t="shared" ref="K2635:S2635" si="1229">SUM(K2624:K2634)</f>
        <v>0</v>
      </c>
      <c r="L2635" s="205">
        <f t="shared" si="1229"/>
        <v>0</v>
      </c>
      <c r="M2635" s="205">
        <f t="shared" si="1229"/>
        <v>0</v>
      </c>
      <c r="N2635" s="205">
        <f t="shared" si="1229"/>
        <v>0</v>
      </c>
      <c r="O2635" s="174">
        <f t="shared" si="1229"/>
        <v>0</v>
      </c>
      <c r="P2635" s="174">
        <f t="shared" si="1229"/>
        <v>0</v>
      </c>
      <c r="Q2635" s="174">
        <f t="shared" si="1229"/>
        <v>0</v>
      </c>
      <c r="R2635" s="175">
        <f t="shared" si="1229"/>
        <v>0</v>
      </c>
      <c r="S2635" s="175">
        <f t="shared" si="1229"/>
        <v>0</v>
      </c>
    </row>
    <row r="2636" spans="1:19" ht="17.25" thickBot="1">
      <c r="A2636" s="63"/>
      <c r="B2636" s="63"/>
      <c r="C2636" s="63"/>
      <c r="D2636" s="63"/>
      <c r="E2636" s="63"/>
      <c r="F2636" s="63"/>
      <c r="G2636" s="63"/>
      <c r="I2636" s="298" t="s">
        <v>794</v>
      </c>
      <c r="J2636" s="299"/>
      <c r="K2636" s="176">
        <f t="shared" ref="K2636" si="1230">S2615-K2635</f>
        <v>0</v>
      </c>
      <c r="L2636" s="177">
        <f t="shared" ref="L2636" si="1231">K2635-L2635</f>
        <v>0</v>
      </c>
      <c r="M2636" s="177">
        <f t="shared" ref="M2636" si="1232">K2635-M2635</f>
        <v>0</v>
      </c>
      <c r="N2636" s="177">
        <f t="shared" ref="N2636" si="1233">K2635-N2635</f>
        <v>0</v>
      </c>
      <c r="O2636" s="178">
        <f t="shared" ref="O2636" si="1234">K2635-O2635</f>
        <v>0</v>
      </c>
      <c r="P2636" s="178">
        <f t="shared" ref="P2636" si="1235">K2635-P2635</f>
        <v>0</v>
      </c>
      <c r="Q2636" s="178">
        <f t="shared" ref="Q2636" si="1236">K2635-Q2635</f>
        <v>0</v>
      </c>
      <c r="R2636" s="179">
        <f t="shared" ref="R2636" si="1237">K2635-R2635</f>
        <v>0</v>
      </c>
      <c r="S2636" s="180">
        <f t="shared" ref="S2636" si="1238">L2635-S2635</f>
        <v>0</v>
      </c>
    </row>
    <row r="2637" spans="1:19">
      <c r="A2637" s="63"/>
      <c r="B2637" s="63"/>
      <c r="C2637" s="63"/>
      <c r="D2637" s="63"/>
      <c r="E2637" s="63"/>
      <c r="F2637" s="63"/>
      <c r="G2637" s="63"/>
      <c r="I2637" s="300" t="s">
        <v>795</v>
      </c>
      <c r="J2637" s="301"/>
      <c r="K2637" s="181"/>
      <c r="L2637" s="182"/>
      <c r="M2637" s="182"/>
      <c r="N2637" s="182"/>
      <c r="O2637" s="183"/>
      <c r="P2637" s="182"/>
      <c r="Q2637" s="182"/>
      <c r="R2637" s="182"/>
      <c r="S2637" s="182"/>
    </row>
    <row r="2638" spans="1:19">
      <c r="A2638" s="63"/>
      <c r="B2638" s="63"/>
      <c r="C2638" s="63"/>
      <c r="D2638" s="63"/>
      <c r="E2638" s="63"/>
      <c r="F2638" s="63"/>
      <c r="G2638" s="63"/>
      <c r="I2638" s="302" t="s">
        <v>796</v>
      </c>
      <c r="J2638" s="302"/>
      <c r="K2638" s="184"/>
      <c r="L2638" s="203"/>
      <c r="M2638" s="203"/>
      <c r="N2638" s="203"/>
      <c r="O2638" s="203"/>
      <c r="P2638" s="203"/>
      <c r="Q2638" s="203"/>
      <c r="R2638" s="203"/>
      <c r="S2638" s="203"/>
    </row>
    <row r="2639" spans="1:19">
      <c r="A2639" s="63"/>
      <c r="B2639" s="63"/>
      <c r="C2639" s="63"/>
      <c r="D2639" s="63"/>
      <c r="E2639" s="63"/>
      <c r="F2639" s="63"/>
      <c r="G2639" s="63"/>
      <c r="I2639" s="302" t="s">
        <v>797</v>
      </c>
      <c r="J2639" s="302"/>
      <c r="K2639" s="184"/>
      <c r="L2639" s="203"/>
      <c r="M2639" s="203"/>
      <c r="N2639" s="203"/>
      <c r="O2639" s="203"/>
      <c r="P2639" s="203"/>
      <c r="Q2639" s="203"/>
      <c r="R2639" s="203"/>
      <c r="S2639" s="203"/>
    </row>
    <row r="2640" spans="1:19">
      <c r="A2640" s="63"/>
      <c r="B2640" s="63"/>
      <c r="C2640" s="63"/>
      <c r="D2640" s="63"/>
      <c r="E2640" s="63"/>
      <c r="F2640" s="63"/>
      <c r="G2640" s="63"/>
      <c r="I2640" s="303" t="s">
        <v>798</v>
      </c>
      <c r="J2640" s="303"/>
      <c r="K2640" s="184"/>
      <c r="L2640" s="185"/>
      <c r="M2640" s="185"/>
      <c r="N2640" s="185"/>
      <c r="O2640" s="185"/>
      <c r="P2640" s="204"/>
      <c r="Q2640" s="204"/>
      <c r="R2640" s="204"/>
      <c r="S2640" s="204"/>
    </row>
    <row r="2641" spans="1:19">
      <c r="A2641" s="3" t="s">
        <v>801</v>
      </c>
      <c r="B2641" s="201" t="s">
        <v>802</v>
      </c>
      <c r="C2641" s="201" t="s">
        <v>803</v>
      </c>
      <c r="D2641" s="201" t="s">
        <v>119</v>
      </c>
      <c r="E2641" s="201" t="s">
        <v>148</v>
      </c>
      <c r="F2641" s="201" t="s">
        <v>806</v>
      </c>
      <c r="G2641" s="201" t="s">
        <v>81</v>
      </c>
      <c r="I2641" s="187"/>
      <c r="J2641" s="187"/>
      <c r="K2641" s="187"/>
      <c r="L2641" s="188"/>
      <c r="M2641" s="188"/>
      <c r="N2641" s="188"/>
      <c r="O2641" s="188"/>
      <c r="P2641" s="187"/>
      <c r="Q2641" s="187"/>
      <c r="R2641" s="187"/>
      <c r="S2641" s="187"/>
    </row>
    <row r="2642" spans="1:19">
      <c r="A2642" s="293">
        <v>44171</v>
      </c>
      <c r="B2642" s="161"/>
      <c r="C2642" s="162"/>
      <c r="D2642" s="162"/>
      <c r="E2642" s="162"/>
      <c r="F2642" s="162"/>
      <c r="G2642" s="163"/>
      <c r="I2642" s="191"/>
      <c r="J2642" s="190"/>
      <c r="K2642" s="190"/>
      <c r="L2642" s="190"/>
      <c r="M2642" s="190">
        <v>44171</v>
      </c>
      <c r="N2642" s="189" t="s">
        <v>864</v>
      </c>
      <c r="O2642" s="189"/>
      <c r="P2642" s="189"/>
      <c r="Q2642" s="189"/>
      <c r="R2642" s="189"/>
      <c r="S2642" s="189"/>
    </row>
    <row r="2643" spans="1:19">
      <c r="A2643" s="294"/>
      <c r="B2643" s="164"/>
      <c r="C2643" s="165"/>
      <c r="D2643" s="165"/>
      <c r="E2643" s="165"/>
      <c r="F2643" s="165"/>
      <c r="G2643" s="166"/>
      <c r="I2643" s="304"/>
      <c r="J2643" s="304"/>
      <c r="K2643" s="167"/>
      <c r="L2643" s="168"/>
      <c r="M2643" s="168"/>
      <c r="N2643" s="168"/>
      <c r="O2643" s="169"/>
      <c r="P2643" s="169"/>
      <c r="Q2643" s="169"/>
      <c r="R2643" s="161"/>
      <c r="S2643" s="161"/>
    </row>
    <row r="2644" spans="1:19">
      <c r="A2644" s="294"/>
      <c r="B2644" s="161"/>
      <c r="C2644" s="162"/>
      <c r="D2644" s="162"/>
      <c r="E2644" s="162"/>
      <c r="F2644" s="162"/>
      <c r="G2644" s="163"/>
      <c r="I2644" s="295" t="s">
        <v>782</v>
      </c>
      <c r="J2644" s="296"/>
      <c r="K2644" s="170"/>
      <c r="L2644" s="171"/>
      <c r="M2644" s="50"/>
      <c r="N2644" s="171"/>
      <c r="O2644" s="202"/>
      <c r="P2644" s="202"/>
      <c r="Q2644" s="202"/>
      <c r="R2644" s="162"/>
      <c r="S2644" s="162"/>
    </row>
    <row r="2645" spans="1:19">
      <c r="A2645" s="294"/>
      <c r="B2645" s="164"/>
      <c r="C2645" s="165"/>
      <c r="D2645" s="165"/>
      <c r="E2645" s="165"/>
      <c r="F2645" s="165"/>
      <c r="G2645" s="166"/>
      <c r="I2645" s="295" t="s">
        <v>783</v>
      </c>
      <c r="J2645" s="295"/>
      <c r="K2645" s="170"/>
      <c r="L2645" s="171"/>
      <c r="M2645" s="50"/>
      <c r="N2645" s="171"/>
      <c r="O2645" s="202"/>
      <c r="P2645" s="202"/>
      <c r="Q2645" s="202"/>
      <c r="R2645" s="162"/>
      <c r="S2645" s="162"/>
    </row>
    <row r="2646" spans="1:19">
      <c r="A2646" s="294"/>
      <c r="B2646" s="161"/>
      <c r="C2646" s="162"/>
      <c r="D2646" s="162"/>
      <c r="E2646" s="162"/>
      <c r="F2646" s="162"/>
      <c r="G2646" s="163"/>
      <c r="I2646" s="295" t="s">
        <v>784</v>
      </c>
      <c r="J2646" s="295"/>
      <c r="K2646" s="170"/>
      <c r="L2646" s="171"/>
      <c r="M2646" s="50"/>
      <c r="N2646" s="171"/>
      <c r="O2646" s="202"/>
      <c r="P2646" s="202"/>
      <c r="Q2646" s="202"/>
      <c r="R2646" s="162"/>
      <c r="S2646" s="162"/>
    </row>
    <row r="2647" spans="1:19">
      <c r="A2647" s="294"/>
      <c r="B2647" s="164"/>
      <c r="C2647" s="165"/>
      <c r="D2647" s="165"/>
      <c r="E2647" s="165"/>
      <c r="F2647" s="165"/>
      <c r="G2647" s="166"/>
      <c r="I2647" s="295" t="s">
        <v>785</v>
      </c>
      <c r="J2647" s="295"/>
      <c r="K2647" s="170"/>
      <c r="L2647" s="171"/>
      <c r="M2647" s="50"/>
      <c r="N2647" s="171"/>
      <c r="O2647" s="202"/>
      <c r="P2647" s="202"/>
      <c r="Q2647" s="202"/>
      <c r="R2647" s="162"/>
      <c r="S2647" s="162"/>
    </row>
    <row r="2648" spans="1:19">
      <c r="A2648" s="294"/>
      <c r="B2648" s="161"/>
      <c r="C2648" s="162"/>
      <c r="D2648" s="162"/>
      <c r="E2648" s="162"/>
      <c r="F2648" s="162"/>
      <c r="G2648" s="163"/>
      <c r="I2648" s="295" t="s">
        <v>786</v>
      </c>
      <c r="J2648" s="295"/>
      <c r="K2648" s="170"/>
      <c r="L2648" s="171"/>
      <c r="M2648" s="50"/>
      <c r="N2648" s="171"/>
      <c r="O2648" s="202"/>
      <c r="P2648" s="202"/>
      <c r="Q2648" s="202"/>
      <c r="R2648" s="162"/>
      <c r="S2648" s="162"/>
    </row>
    <row r="2649" spans="1:19">
      <c r="A2649" s="294"/>
      <c r="B2649" s="164"/>
      <c r="C2649" s="165"/>
      <c r="D2649" s="165"/>
      <c r="E2649" s="165"/>
      <c r="F2649" s="165"/>
      <c r="G2649" s="166"/>
      <c r="I2649" s="295" t="s">
        <v>787</v>
      </c>
      <c r="J2649" s="295"/>
      <c r="K2649" s="170"/>
      <c r="L2649" s="171"/>
      <c r="M2649" s="50"/>
      <c r="N2649" s="171"/>
      <c r="O2649" s="202"/>
      <c r="P2649" s="202"/>
      <c r="Q2649" s="202"/>
      <c r="R2649" s="162"/>
      <c r="S2649" s="162"/>
    </row>
    <row r="2650" spans="1:19">
      <c r="A2650" s="294"/>
      <c r="B2650" s="161"/>
      <c r="C2650" s="162"/>
      <c r="D2650" s="162"/>
      <c r="E2650" s="162"/>
      <c r="F2650" s="162"/>
      <c r="G2650" s="163"/>
      <c r="I2650" s="295" t="s">
        <v>788</v>
      </c>
      <c r="J2650" s="295"/>
      <c r="K2650" s="170"/>
      <c r="L2650" s="171"/>
      <c r="M2650" s="50"/>
      <c r="N2650" s="171"/>
      <c r="O2650" s="202"/>
      <c r="P2650" s="202"/>
      <c r="Q2650" s="202"/>
      <c r="R2650" s="162"/>
      <c r="S2650" s="162"/>
    </row>
    <row r="2651" spans="1:19">
      <c r="A2651" s="294"/>
      <c r="B2651" s="164"/>
      <c r="C2651" s="165"/>
      <c r="D2651" s="165"/>
      <c r="E2651" s="165"/>
      <c r="F2651" s="165"/>
      <c r="G2651" s="166"/>
      <c r="I2651" s="295" t="s">
        <v>789</v>
      </c>
      <c r="J2651" s="295"/>
      <c r="K2651" s="170"/>
      <c r="L2651" s="171"/>
      <c r="M2651" s="50"/>
      <c r="N2651" s="171"/>
      <c r="O2651" s="202"/>
      <c r="P2651" s="202"/>
      <c r="Q2651" s="202"/>
      <c r="R2651" s="162"/>
      <c r="S2651" s="162"/>
    </row>
    <row r="2652" spans="1:19">
      <c r="A2652" s="63"/>
      <c r="B2652" s="63"/>
      <c r="C2652" s="63"/>
      <c r="D2652" s="63"/>
      <c r="E2652" s="63"/>
      <c r="F2652" s="63"/>
      <c r="G2652" s="63"/>
      <c r="I2652" s="295" t="s">
        <v>790</v>
      </c>
      <c r="J2652" s="295"/>
      <c r="K2652" s="170"/>
      <c r="L2652" s="171"/>
      <c r="M2652" s="50"/>
      <c r="N2652" s="171"/>
      <c r="O2652" s="202"/>
      <c r="P2652" s="202"/>
      <c r="Q2652" s="202"/>
      <c r="R2652" s="162"/>
      <c r="S2652" s="162"/>
    </row>
    <row r="2653" spans="1:19">
      <c r="A2653" s="63"/>
      <c r="B2653" s="63"/>
      <c r="C2653" s="63"/>
      <c r="D2653" s="63"/>
      <c r="E2653" s="63"/>
      <c r="F2653" s="63"/>
      <c r="G2653" s="63"/>
      <c r="I2653" s="295" t="s">
        <v>791</v>
      </c>
      <c r="J2653" s="295"/>
      <c r="K2653" s="170"/>
      <c r="L2653" s="171"/>
      <c r="M2653" s="50"/>
      <c r="N2653" s="171"/>
      <c r="O2653" s="202"/>
      <c r="P2653" s="202"/>
      <c r="Q2653" s="202"/>
      <c r="R2653" s="162"/>
      <c r="S2653" s="162"/>
    </row>
    <row r="2654" spans="1:19">
      <c r="A2654" s="63"/>
      <c r="B2654" s="63"/>
      <c r="C2654" s="63"/>
      <c r="D2654" s="63"/>
      <c r="E2654" s="63"/>
      <c r="F2654" s="63"/>
      <c r="G2654" s="63"/>
      <c r="I2654" s="296" t="s">
        <v>792</v>
      </c>
      <c r="J2654" s="296"/>
      <c r="K2654" s="170"/>
      <c r="L2654" s="171"/>
      <c r="M2654" s="50"/>
      <c r="N2654" s="171"/>
      <c r="O2654" s="202"/>
      <c r="P2654" s="202"/>
      <c r="Q2654" s="202"/>
      <c r="R2654" s="162"/>
      <c r="S2654" s="162"/>
    </row>
    <row r="2655" spans="1:19" ht="17.25" thickBot="1">
      <c r="A2655" s="63"/>
      <c r="B2655" s="63"/>
      <c r="C2655" s="63"/>
      <c r="D2655" s="63"/>
      <c r="E2655" s="63"/>
      <c r="F2655" s="63"/>
      <c r="G2655" s="63"/>
      <c r="I2655" s="297" t="s">
        <v>793</v>
      </c>
      <c r="J2655" s="297"/>
      <c r="K2655" s="172">
        <f t="shared" ref="K2655:S2655" si="1239">SUM(K2644:K2654)</f>
        <v>0</v>
      </c>
      <c r="L2655" s="205">
        <f t="shared" si="1239"/>
        <v>0</v>
      </c>
      <c r="M2655" s="205">
        <f t="shared" si="1239"/>
        <v>0</v>
      </c>
      <c r="N2655" s="205">
        <f t="shared" si="1239"/>
        <v>0</v>
      </c>
      <c r="O2655" s="174">
        <f t="shared" si="1239"/>
        <v>0</v>
      </c>
      <c r="P2655" s="174">
        <f t="shared" si="1239"/>
        <v>0</v>
      </c>
      <c r="Q2655" s="174">
        <f t="shared" si="1239"/>
        <v>0</v>
      </c>
      <c r="R2655" s="175">
        <f t="shared" si="1239"/>
        <v>0</v>
      </c>
      <c r="S2655" s="175">
        <f t="shared" si="1239"/>
        <v>0</v>
      </c>
    </row>
    <row r="2656" spans="1:19" ht="17.25" thickBot="1">
      <c r="A2656" s="63"/>
      <c r="B2656" s="63"/>
      <c r="C2656" s="63"/>
      <c r="D2656" s="63"/>
      <c r="E2656" s="63"/>
      <c r="F2656" s="63"/>
      <c r="G2656" s="63"/>
      <c r="I2656" s="298" t="s">
        <v>794</v>
      </c>
      <c r="J2656" s="299"/>
      <c r="K2656" s="176">
        <f t="shared" ref="K2656" si="1240">S2635-K2655</f>
        <v>0</v>
      </c>
      <c r="L2656" s="177">
        <f t="shared" ref="L2656" si="1241">K2655-L2655</f>
        <v>0</v>
      </c>
      <c r="M2656" s="177">
        <f t="shared" ref="M2656" si="1242">K2655-M2655</f>
        <v>0</v>
      </c>
      <c r="N2656" s="177">
        <f t="shared" ref="N2656" si="1243">K2655-N2655</f>
        <v>0</v>
      </c>
      <c r="O2656" s="178">
        <f t="shared" ref="O2656" si="1244">K2655-O2655</f>
        <v>0</v>
      </c>
      <c r="P2656" s="178">
        <f t="shared" ref="P2656" si="1245">K2655-P2655</f>
        <v>0</v>
      </c>
      <c r="Q2656" s="178">
        <f t="shared" ref="Q2656" si="1246">K2655-Q2655</f>
        <v>0</v>
      </c>
      <c r="R2656" s="179">
        <f t="shared" ref="R2656" si="1247">K2655-R2655</f>
        <v>0</v>
      </c>
      <c r="S2656" s="180">
        <f t="shared" ref="S2656" si="1248">L2655-S2655</f>
        <v>0</v>
      </c>
    </row>
    <row r="2657" spans="1:19">
      <c r="A2657" s="63"/>
      <c r="B2657" s="63"/>
      <c r="C2657" s="63"/>
      <c r="D2657" s="63"/>
      <c r="E2657" s="63"/>
      <c r="F2657" s="63"/>
      <c r="G2657" s="63"/>
      <c r="I2657" s="300" t="s">
        <v>795</v>
      </c>
      <c r="J2657" s="301"/>
      <c r="K2657" s="181"/>
      <c r="L2657" s="182"/>
      <c r="M2657" s="182"/>
      <c r="N2657" s="182"/>
      <c r="O2657" s="183"/>
      <c r="P2657" s="182"/>
      <c r="Q2657" s="182"/>
      <c r="R2657" s="182"/>
      <c r="S2657" s="182"/>
    </row>
    <row r="2658" spans="1:19">
      <c r="A2658" s="63"/>
      <c r="B2658" s="63"/>
      <c r="C2658" s="63"/>
      <c r="D2658" s="63"/>
      <c r="E2658" s="63"/>
      <c r="F2658" s="63"/>
      <c r="G2658" s="63"/>
      <c r="I2658" s="302" t="s">
        <v>796</v>
      </c>
      <c r="J2658" s="302"/>
      <c r="K2658" s="184"/>
      <c r="L2658" s="203"/>
      <c r="M2658" s="203"/>
      <c r="N2658" s="203"/>
      <c r="O2658" s="203"/>
      <c r="P2658" s="203"/>
      <c r="Q2658" s="203"/>
      <c r="R2658" s="203"/>
      <c r="S2658" s="203"/>
    </row>
    <row r="2659" spans="1:19">
      <c r="A2659" s="63"/>
      <c r="B2659" s="63"/>
      <c r="C2659" s="63"/>
      <c r="D2659" s="63"/>
      <c r="E2659" s="63"/>
      <c r="F2659" s="63"/>
      <c r="G2659" s="63"/>
      <c r="I2659" s="302" t="s">
        <v>797</v>
      </c>
      <c r="J2659" s="302"/>
      <c r="K2659" s="184"/>
      <c r="L2659" s="203"/>
      <c r="M2659" s="203"/>
      <c r="N2659" s="203"/>
      <c r="O2659" s="203"/>
      <c r="P2659" s="203"/>
      <c r="Q2659" s="203"/>
      <c r="R2659" s="203"/>
      <c r="S2659" s="203"/>
    </row>
    <row r="2660" spans="1:19">
      <c r="A2660" s="63"/>
      <c r="B2660" s="63"/>
      <c r="C2660" s="63"/>
      <c r="D2660" s="63"/>
      <c r="E2660" s="63"/>
      <c r="F2660" s="63"/>
      <c r="G2660" s="63"/>
      <c r="I2660" s="303" t="s">
        <v>798</v>
      </c>
      <c r="J2660" s="303"/>
      <c r="K2660" s="184"/>
      <c r="L2660" s="185"/>
      <c r="M2660" s="185"/>
      <c r="N2660" s="185"/>
      <c r="O2660" s="185"/>
      <c r="P2660" s="204"/>
      <c r="Q2660" s="204"/>
      <c r="R2660" s="204"/>
      <c r="S2660" s="204"/>
    </row>
    <row r="2661" spans="1:19">
      <c r="A2661" s="3" t="s">
        <v>801</v>
      </c>
      <c r="B2661" s="201" t="s">
        <v>802</v>
      </c>
      <c r="C2661" s="201" t="s">
        <v>803</v>
      </c>
      <c r="D2661" s="201" t="s">
        <v>119</v>
      </c>
      <c r="E2661" s="201" t="s">
        <v>148</v>
      </c>
      <c r="F2661" s="201" t="s">
        <v>806</v>
      </c>
      <c r="G2661" s="201" t="s">
        <v>81</v>
      </c>
      <c r="I2661" s="187"/>
      <c r="J2661" s="187"/>
      <c r="K2661" s="187"/>
      <c r="L2661" s="188"/>
      <c r="M2661" s="188"/>
      <c r="N2661" s="188"/>
      <c r="O2661" s="188"/>
      <c r="P2661" s="187"/>
      <c r="Q2661" s="187"/>
      <c r="R2661" s="187"/>
      <c r="S2661" s="187"/>
    </row>
    <row r="2662" spans="1:19">
      <c r="A2662" s="293">
        <v>44172</v>
      </c>
      <c r="B2662" s="161"/>
      <c r="C2662" s="162"/>
      <c r="D2662" s="162"/>
      <c r="E2662" s="162"/>
      <c r="F2662" s="162"/>
      <c r="G2662" s="163"/>
      <c r="I2662" s="191"/>
      <c r="J2662" s="190"/>
      <c r="K2662" s="190"/>
      <c r="L2662" s="190"/>
      <c r="M2662" s="190">
        <v>44172</v>
      </c>
      <c r="N2662" s="189" t="s">
        <v>864</v>
      </c>
      <c r="O2662" s="189"/>
      <c r="P2662" s="189"/>
      <c r="Q2662" s="189"/>
      <c r="R2662" s="189"/>
      <c r="S2662" s="189"/>
    </row>
    <row r="2663" spans="1:19">
      <c r="A2663" s="294"/>
      <c r="B2663" s="164"/>
      <c r="C2663" s="165"/>
      <c r="D2663" s="165"/>
      <c r="E2663" s="165"/>
      <c r="F2663" s="165"/>
      <c r="G2663" s="166"/>
      <c r="I2663" s="304"/>
      <c r="J2663" s="304"/>
      <c r="K2663" s="167"/>
      <c r="L2663" s="168"/>
      <c r="M2663" s="168"/>
      <c r="N2663" s="168"/>
      <c r="O2663" s="169"/>
      <c r="P2663" s="169"/>
      <c r="Q2663" s="169"/>
      <c r="R2663" s="161"/>
      <c r="S2663" s="161"/>
    </row>
    <row r="2664" spans="1:19">
      <c r="A2664" s="294"/>
      <c r="B2664" s="161"/>
      <c r="C2664" s="162"/>
      <c r="D2664" s="162"/>
      <c r="E2664" s="162"/>
      <c r="F2664" s="162"/>
      <c r="G2664" s="163"/>
      <c r="I2664" s="295" t="s">
        <v>782</v>
      </c>
      <c r="J2664" s="296"/>
      <c r="K2664" s="170"/>
      <c r="L2664" s="171"/>
      <c r="M2664" s="50"/>
      <c r="N2664" s="171"/>
      <c r="O2664" s="202"/>
      <c r="P2664" s="202"/>
      <c r="Q2664" s="202"/>
      <c r="R2664" s="162"/>
      <c r="S2664" s="162"/>
    </row>
    <row r="2665" spans="1:19">
      <c r="A2665" s="294"/>
      <c r="B2665" s="164"/>
      <c r="C2665" s="165"/>
      <c r="D2665" s="165"/>
      <c r="E2665" s="165"/>
      <c r="F2665" s="165"/>
      <c r="G2665" s="166"/>
      <c r="I2665" s="295" t="s">
        <v>783</v>
      </c>
      <c r="J2665" s="295"/>
      <c r="K2665" s="170"/>
      <c r="L2665" s="171"/>
      <c r="M2665" s="50"/>
      <c r="N2665" s="171"/>
      <c r="O2665" s="202"/>
      <c r="P2665" s="202"/>
      <c r="Q2665" s="202"/>
      <c r="R2665" s="162"/>
      <c r="S2665" s="162"/>
    </row>
    <row r="2666" spans="1:19">
      <c r="A2666" s="294"/>
      <c r="B2666" s="161"/>
      <c r="C2666" s="162"/>
      <c r="D2666" s="162"/>
      <c r="E2666" s="162"/>
      <c r="F2666" s="162"/>
      <c r="G2666" s="163"/>
      <c r="I2666" s="295" t="s">
        <v>784</v>
      </c>
      <c r="J2666" s="295"/>
      <c r="K2666" s="170"/>
      <c r="L2666" s="171"/>
      <c r="M2666" s="50"/>
      <c r="N2666" s="171"/>
      <c r="O2666" s="202"/>
      <c r="P2666" s="202"/>
      <c r="Q2666" s="202"/>
      <c r="R2666" s="162"/>
      <c r="S2666" s="162"/>
    </row>
    <row r="2667" spans="1:19">
      <c r="A2667" s="294"/>
      <c r="B2667" s="164"/>
      <c r="C2667" s="165"/>
      <c r="D2667" s="165"/>
      <c r="E2667" s="165"/>
      <c r="F2667" s="165"/>
      <c r="G2667" s="166"/>
      <c r="I2667" s="295" t="s">
        <v>785</v>
      </c>
      <c r="J2667" s="295"/>
      <c r="K2667" s="170"/>
      <c r="L2667" s="171"/>
      <c r="M2667" s="50"/>
      <c r="N2667" s="171"/>
      <c r="O2667" s="202"/>
      <c r="P2667" s="202"/>
      <c r="Q2667" s="202"/>
      <c r="R2667" s="162"/>
      <c r="S2667" s="162"/>
    </row>
    <row r="2668" spans="1:19">
      <c r="A2668" s="294"/>
      <c r="B2668" s="161"/>
      <c r="C2668" s="162"/>
      <c r="D2668" s="162"/>
      <c r="E2668" s="162"/>
      <c r="F2668" s="162"/>
      <c r="G2668" s="163"/>
      <c r="I2668" s="295" t="s">
        <v>786</v>
      </c>
      <c r="J2668" s="295"/>
      <c r="K2668" s="170"/>
      <c r="L2668" s="171"/>
      <c r="M2668" s="50"/>
      <c r="N2668" s="171"/>
      <c r="O2668" s="202"/>
      <c r="P2668" s="202"/>
      <c r="Q2668" s="202"/>
      <c r="R2668" s="162"/>
      <c r="S2668" s="162"/>
    </row>
    <row r="2669" spans="1:19">
      <c r="A2669" s="294"/>
      <c r="B2669" s="164"/>
      <c r="C2669" s="165"/>
      <c r="D2669" s="165"/>
      <c r="E2669" s="165"/>
      <c r="F2669" s="165"/>
      <c r="G2669" s="166"/>
      <c r="I2669" s="295" t="s">
        <v>787</v>
      </c>
      <c r="J2669" s="295"/>
      <c r="K2669" s="170"/>
      <c r="L2669" s="171"/>
      <c r="M2669" s="50"/>
      <c r="N2669" s="171"/>
      <c r="O2669" s="202"/>
      <c r="P2669" s="202"/>
      <c r="Q2669" s="202"/>
      <c r="R2669" s="162"/>
      <c r="S2669" s="162"/>
    </row>
    <row r="2670" spans="1:19">
      <c r="A2670" s="294"/>
      <c r="B2670" s="161"/>
      <c r="C2670" s="162"/>
      <c r="D2670" s="162"/>
      <c r="E2670" s="162"/>
      <c r="F2670" s="162"/>
      <c r="G2670" s="163"/>
      <c r="I2670" s="295" t="s">
        <v>788</v>
      </c>
      <c r="J2670" s="295"/>
      <c r="K2670" s="170"/>
      <c r="L2670" s="171"/>
      <c r="M2670" s="50"/>
      <c r="N2670" s="171"/>
      <c r="O2670" s="202"/>
      <c r="P2670" s="202"/>
      <c r="Q2670" s="202"/>
      <c r="R2670" s="162"/>
      <c r="S2670" s="162"/>
    </row>
    <row r="2671" spans="1:19">
      <c r="A2671" s="294"/>
      <c r="B2671" s="164"/>
      <c r="C2671" s="165"/>
      <c r="D2671" s="165"/>
      <c r="E2671" s="165"/>
      <c r="F2671" s="165"/>
      <c r="G2671" s="166"/>
      <c r="I2671" s="295" t="s">
        <v>789</v>
      </c>
      <c r="J2671" s="295"/>
      <c r="K2671" s="170"/>
      <c r="L2671" s="171"/>
      <c r="M2671" s="50"/>
      <c r="N2671" s="171"/>
      <c r="O2671" s="202"/>
      <c r="P2671" s="202"/>
      <c r="Q2671" s="202"/>
      <c r="R2671" s="162"/>
      <c r="S2671" s="162"/>
    </row>
    <row r="2672" spans="1:19">
      <c r="A2672" s="63"/>
      <c r="B2672" s="63"/>
      <c r="C2672" s="63"/>
      <c r="D2672" s="63"/>
      <c r="E2672" s="63"/>
      <c r="F2672" s="63"/>
      <c r="G2672" s="63"/>
      <c r="I2672" s="295" t="s">
        <v>790</v>
      </c>
      <c r="J2672" s="295"/>
      <c r="K2672" s="170"/>
      <c r="L2672" s="171"/>
      <c r="M2672" s="50"/>
      <c r="N2672" s="171"/>
      <c r="O2672" s="202"/>
      <c r="P2672" s="202"/>
      <c r="Q2672" s="202"/>
      <c r="R2672" s="162"/>
      <c r="S2672" s="162"/>
    </row>
    <row r="2673" spans="1:19">
      <c r="A2673" s="63"/>
      <c r="B2673" s="63"/>
      <c r="C2673" s="63"/>
      <c r="D2673" s="63"/>
      <c r="E2673" s="63"/>
      <c r="F2673" s="63"/>
      <c r="G2673" s="63"/>
      <c r="I2673" s="295" t="s">
        <v>791</v>
      </c>
      <c r="J2673" s="295"/>
      <c r="K2673" s="170"/>
      <c r="L2673" s="171"/>
      <c r="M2673" s="50"/>
      <c r="N2673" s="171"/>
      <c r="O2673" s="202"/>
      <c r="P2673" s="202"/>
      <c r="Q2673" s="202"/>
      <c r="R2673" s="162"/>
      <c r="S2673" s="162"/>
    </row>
    <row r="2674" spans="1:19">
      <c r="A2674" s="63"/>
      <c r="B2674" s="63"/>
      <c r="C2674" s="63"/>
      <c r="D2674" s="63"/>
      <c r="E2674" s="63"/>
      <c r="F2674" s="63"/>
      <c r="G2674" s="63"/>
      <c r="I2674" s="296" t="s">
        <v>792</v>
      </c>
      <c r="J2674" s="296"/>
      <c r="K2674" s="170"/>
      <c r="L2674" s="171"/>
      <c r="M2674" s="50"/>
      <c r="N2674" s="171"/>
      <c r="O2674" s="202"/>
      <c r="P2674" s="202"/>
      <c r="Q2674" s="202"/>
      <c r="R2674" s="162"/>
      <c r="S2674" s="162"/>
    </row>
    <row r="2675" spans="1:19" ht="17.25" thickBot="1">
      <c r="A2675" s="63"/>
      <c r="B2675" s="63"/>
      <c r="C2675" s="63"/>
      <c r="D2675" s="63"/>
      <c r="E2675" s="63"/>
      <c r="F2675" s="63"/>
      <c r="G2675" s="63"/>
      <c r="I2675" s="297" t="s">
        <v>793</v>
      </c>
      <c r="J2675" s="297"/>
      <c r="K2675" s="172">
        <f t="shared" ref="K2675:S2675" si="1249">SUM(K2664:K2674)</f>
        <v>0</v>
      </c>
      <c r="L2675" s="205">
        <f t="shared" si="1249"/>
        <v>0</v>
      </c>
      <c r="M2675" s="205">
        <f t="shared" si="1249"/>
        <v>0</v>
      </c>
      <c r="N2675" s="205">
        <f t="shared" si="1249"/>
        <v>0</v>
      </c>
      <c r="O2675" s="174">
        <f t="shared" si="1249"/>
        <v>0</v>
      </c>
      <c r="P2675" s="174">
        <f t="shared" si="1249"/>
        <v>0</v>
      </c>
      <c r="Q2675" s="174">
        <f t="shared" si="1249"/>
        <v>0</v>
      </c>
      <c r="R2675" s="175">
        <f t="shared" si="1249"/>
        <v>0</v>
      </c>
      <c r="S2675" s="175">
        <f t="shared" si="1249"/>
        <v>0</v>
      </c>
    </row>
    <row r="2676" spans="1:19" ht="17.25" thickBot="1">
      <c r="A2676" s="63"/>
      <c r="B2676" s="63"/>
      <c r="C2676" s="63"/>
      <c r="D2676" s="63"/>
      <c r="E2676" s="63"/>
      <c r="F2676" s="63"/>
      <c r="G2676" s="63"/>
      <c r="I2676" s="298" t="s">
        <v>794</v>
      </c>
      <c r="J2676" s="299"/>
      <c r="K2676" s="176">
        <f t="shared" ref="K2676" si="1250">S2655-K2675</f>
        <v>0</v>
      </c>
      <c r="L2676" s="177">
        <f t="shared" ref="L2676" si="1251">K2675-L2675</f>
        <v>0</v>
      </c>
      <c r="M2676" s="177">
        <f t="shared" ref="M2676" si="1252">K2675-M2675</f>
        <v>0</v>
      </c>
      <c r="N2676" s="177">
        <f t="shared" ref="N2676" si="1253">K2675-N2675</f>
        <v>0</v>
      </c>
      <c r="O2676" s="178">
        <f t="shared" ref="O2676" si="1254">K2675-O2675</f>
        <v>0</v>
      </c>
      <c r="P2676" s="178">
        <f t="shared" ref="P2676" si="1255">K2675-P2675</f>
        <v>0</v>
      </c>
      <c r="Q2676" s="178">
        <f t="shared" ref="Q2676" si="1256">K2675-Q2675</f>
        <v>0</v>
      </c>
      <c r="R2676" s="179">
        <f t="shared" ref="R2676" si="1257">K2675-R2675</f>
        <v>0</v>
      </c>
      <c r="S2676" s="180">
        <f t="shared" ref="S2676" si="1258">L2675-S2675</f>
        <v>0</v>
      </c>
    </row>
    <row r="2677" spans="1:19">
      <c r="A2677" s="63"/>
      <c r="B2677" s="63"/>
      <c r="C2677" s="63"/>
      <c r="D2677" s="63"/>
      <c r="E2677" s="63"/>
      <c r="F2677" s="63"/>
      <c r="G2677" s="63"/>
      <c r="I2677" s="300" t="s">
        <v>795</v>
      </c>
      <c r="J2677" s="301"/>
      <c r="K2677" s="181"/>
      <c r="L2677" s="182"/>
      <c r="M2677" s="182"/>
      <c r="N2677" s="182"/>
      <c r="O2677" s="183"/>
      <c r="P2677" s="182"/>
      <c r="Q2677" s="182"/>
      <c r="R2677" s="182"/>
      <c r="S2677" s="182"/>
    </row>
    <row r="2678" spans="1:19">
      <c r="A2678" s="63"/>
      <c r="B2678" s="63"/>
      <c r="C2678" s="63"/>
      <c r="D2678" s="63"/>
      <c r="E2678" s="63"/>
      <c r="F2678" s="63"/>
      <c r="G2678" s="63"/>
      <c r="I2678" s="302" t="s">
        <v>796</v>
      </c>
      <c r="J2678" s="302"/>
      <c r="K2678" s="184"/>
      <c r="L2678" s="203"/>
      <c r="M2678" s="203"/>
      <c r="N2678" s="203"/>
      <c r="O2678" s="203"/>
      <c r="P2678" s="203"/>
      <c r="Q2678" s="203"/>
      <c r="R2678" s="203"/>
      <c r="S2678" s="203"/>
    </row>
    <row r="2679" spans="1:19">
      <c r="A2679" s="63"/>
      <c r="B2679" s="63"/>
      <c r="C2679" s="63"/>
      <c r="D2679" s="63"/>
      <c r="E2679" s="63"/>
      <c r="F2679" s="63"/>
      <c r="G2679" s="63"/>
      <c r="I2679" s="302" t="s">
        <v>797</v>
      </c>
      <c r="J2679" s="302"/>
      <c r="K2679" s="184"/>
      <c r="L2679" s="203"/>
      <c r="M2679" s="203"/>
      <c r="N2679" s="203"/>
      <c r="O2679" s="203"/>
      <c r="P2679" s="203"/>
      <c r="Q2679" s="203"/>
      <c r="R2679" s="203"/>
      <c r="S2679" s="203"/>
    </row>
    <row r="2680" spans="1:19">
      <c r="A2680" s="63"/>
      <c r="B2680" s="63"/>
      <c r="C2680" s="63"/>
      <c r="D2680" s="63"/>
      <c r="E2680" s="63"/>
      <c r="F2680" s="63"/>
      <c r="G2680" s="63"/>
      <c r="I2680" s="303" t="s">
        <v>798</v>
      </c>
      <c r="J2680" s="303"/>
      <c r="K2680" s="184"/>
      <c r="L2680" s="185"/>
      <c r="M2680" s="185"/>
      <c r="N2680" s="185"/>
      <c r="O2680" s="185"/>
      <c r="P2680" s="204"/>
      <c r="Q2680" s="204"/>
      <c r="R2680" s="204"/>
      <c r="S2680" s="204"/>
    </row>
    <row r="2681" spans="1:19">
      <c r="A2681" s="3" t="s">
        <v>801</v>
      </c>
      <c r="B2681" s="201" t="s">
        <v>802</v>
      </c>
      <c r="C2681" s="201" t="s">
        <v>803</v>
      </c>
      <c r="D2681" s="201" t="s">
        <v>119</v>
      </c>
      <c r="E2681" s="201" t="s">
        <v>148</v>
      </c>
      <c r="F2681" s="201" t="s">
        <v>806</v>
      </c>
      <c r="G2681" s="201" t="s">
        <v>81</v>
      </c>
      <c r="I2681" s="187"/>
      <c r="J2681" s="187"/>
      <c r="K2681" s="187"/>
      <c r="L2681" s="188"/>
      <c r="M2681" s="188"/>
      <c r="N2681" s="188"/>
      <c r="O2681" s="188"/>
      <c r="P2681" s="187"/>
      <c r="Q2681" s="187"/>
      <c r="R2681" s="187"/>
      <c r="S2681" s="187"/>
    </row>
    <row r="2682" spans="1:19">
      <c r="A2682" s="293">
        <v>44173</v>
      </c>
      <c r="B2682" s="161"/>
      <c r="C2682" s="162"/>
      <c r="D2682" s="162"/>
      <c r="E2682" s="162"/>
      <c r="F2682" s="162"/>
      <c r="G2682" s="163"/>
      <c r="I2682" s="191"/>
      <c r="J2682" s="190"/>
      <c r="K2682" s="190"/>
      <c r="L2682" s="190"/>
      <c r="M2682" s="190">
        <v>44173</v>
      </c>
      <c r="N2682" s="189" t="s">
        <v>864</v>
      </c>
      <c r="O2682" s="189"/>
      <c r="P2682" s="189"/>
      <c r="Q2682" s="189"/>
      <c r="R2682" s="189"/>
      <c r="S2682" s="189"/>
    </row>
    <row r="2683" spans="1:19">
      <c r="A2683" s="294"/>
      <c r="B2683" s="164"/>
      <c r="C2683" s="165"/>
      <c r="D2683" s="165"/>
      <c r="E2683" s="165"/>
      <c r="F2683" s="165"/>
      <c r="G2683" s="166"/>
      <c r="I2683" s="304"/>
      <c r="J2683" s="304"/>
      <c r="K2683" s="167"/>
      <c r="L2683" s="168"/>
      <c r="M2683" s="168"/>
      <c r="N2683" s="168"/>
      <c r="O2683" s="169"/>
      <c r="P2683" s="169"/>
      <c r="Q2683" s="169"/>
      <c r="R2683" s="161"/>
      <c r="S2683" s="161"/>
    </row>
    <row r="2684" spans="1:19">
      <c r="A2684" s="294"/>
      <c r="B2684" s="161"/>
      <c r="C2684" s="162"/>
      <c r="D2684" s="162"/>
      <c r="E2684" s="162"/>
      <c r="F2684" s="162"/>
      <c r="G2684" s="163"/>
      <c r="I2684" s="295" t="s">
        <v>782</v>
      </c>
      <c r="J2684" s="296"/>
      <c r="K2684" s="170"/>
      <c r="L2684" s="171"/>
      <c r="M2684" s="50"/>
      <c r="N2684" s="171"/>
      <c r="O2684" s="202"/>
      <c r="P2684" s="202"/>
      <c r="Q2684" s="202"/>
      <c r="R2684" s="162"/>
      <c r="S2684" s="162"/>
    </row>
    <row r="2685" spans="1:19">
      <c r="A2685" s="294"/>
      <c r="B2685" s="164"/>
      <c r="C2685" s="165"/>
      <c r="D2685" s="165"/>
      <c r="E2685" s="165"/>
      <c r="F2685" s="165"/>
      <c r="G2685" s="166"/>
      <c r="I2685" s="295" t="s">
        <v>783</v>
      </c>
      <c r="J2685" s="295"/>
      <c r="K2685" s="170"/>
      <c r="L2685" s="171"/>
      <c r="M2685" s="50"/>
      <c r="N2685" s="171"/>
      <c r="O2685" s="202"/>
      <c r="P2685" s="202"/>
      <c r="Q2685" s="202"/>
      <c r="R2685" s="162"/>
      <c r="S2685" s="162"/>
    </row>
    <row r="2686" spans="1:19">
      <c r="A2686" s="294"/>
      <c r="B2686" s="161"/>
      <c r="C2686" s="162"/>
      <c r="D2686" s="162"/>
      <c r="E2686" s="162"/>
      <c r="F2686" s="162"/>
      <c r="G2686" s="163"/>
      <c r="I2686" s="295" t="s">
        <v>784</v>
      </c>
      <c r="J2686" s="295"/>
      <c r="K2686" s="170"/>
      <c r="L2686" s="171"/>
      <c r="M2686" s="50"/>
      <c r="N2686" s="171"/>
      <c r="O2686" s="202"/>
      <c r="P2686" s="202"/>
      <c r="Q2686" s="202"/>
      <c r="R2686" s="162"/>
      <c r="S2686" s="162"/>
    </row>
    <row r="2687" spans="1:19">
      <c r="A2687" s="294"/>
      <c r="B2687" s="164"/>
      <c r="C2687" s="165"/>
      <c r="D2687" s="165"/>
      <c r="E2687" s="165"/>
      <c r="F2687" s="165"/>
      <c r="G2687" s="166"/>
      <c r="I2687" s="295" t="s">
        <v>785</v>
      </c>
      <c r="J2687" s="295"/>
      <c r="K2687" s="170"/>
      <c r="L2687" s="171"/>
      <c r="M2687" s="50"/>
      <c r="N2687" s="171"/>
      <c r="O2687" s="202"/>
      <c r="P2687" s="202"/>
      <c r="Q2687" s="202"/>
      <c r="R2687" s="162"/>
      <c r="S2687" s="162"/>
    </row>
    <row r="2688" spans="1:19">
      <c r="A2688" s="294"/>
      <c r="B2688" s="161"/>
      <c r="C2688" s="162"/>
      <c r="D2688" s="162"/>
      <c r="E2688" s="162"/>
      <c r="F2688" s="162"/>
      <c r="G2688" s="163"/>
      <c r="I2688" s="295" t="s">
        <v>786</v>
      </c>
      <c r="J2688" s="295"/>
      <c r="K2688" s="170"/>
      <c r="L2688" s="171"/>
      <c r="M2688" s="50"/>
      <c r="N2688" s="171"/>
      <c r="O2688" s="202"/>
      <c r="P2688" s="202"/>
      <c r="Q2688" s="202"/>
      <c r="R2688" s="162"/>
      <c r="S2688" s="162"/>
    </row>
    <row r="2689" spans="1:19">
      <c r="A2689" s="294"/>
      <c r="B2689" s="164"/>
      <c r="C2689" s="165"/>
      <c r="D2689" s="165"/>
      <c r="E2689" s="165"/>
      <c r="F2689" s="165"/>
      <c r="G2689" s="166"/>
      <c r="I2689" s="295" t="s">
        <v>787</v>
      </c>
      <c r="J2689" s="295"/>
      <c r="K2689" s="170"/>
      <c r="L2689" s="171"/>
      <c r="M2689" s="50"/>
      <c r="N2689" s="171"/>
      <c r="O2689" s="202"/>
      <c r="P2689" s="202"/>
      <c r="Q2689" s="202"/>
      <c r="R2689" s="162"/>
      <c r="S2689" s="162"/>
    </row>
    <row r="2690" spans="1:19">
      <c r="A2690" s="294"/>
      <c r="B2690" s="161"/>
      <c r="C2690" s="162"/>
      <c r="D2690" s="162"/>
      <c r="E2690" s="162"/>
      <c r="F2690" s="162"/>
      <c r="G2690" s="163"/>
      <c r="I2690" s="295" t="s">
        <v>788</v>
      </c>
      <c r="J2690" s="295"/>
      <c r="K2690" s="170"/>
      <c r="L2690" s="171"/>
      <c r="M2690" s="50"/>
      <c r="N2690" s="171"/>
      <c r="O2690" s="202"/>
      <c r="P2690" s="202"/>
      <c r="Q2690" s="202"/>
      <c r="R2690" s="162"/>
      <c r="S2690" s="162"/>
    </row>
    <row r="2691" spans="1:19">
      <c r="A2691" s="294"/>
      <c r="B2691" s="164"/>
      <c r="C2691" s="165"/>
      <c r="D2691" s="165"/>
      <c r="E2691" s="165"/>
      <c r="F2691" s="165"/>
      <c r="G2691" s="166"/>
      <c r="I2691" s="295" t="s">
        <v>789</v>
      </c>
      <c r="J2691" s="295"/>
      <c r="K2691" s="170"/>
      <c r="L2691" s="171"/>
      <c r="M2691" s="50"/>
      <c r="N2691" s="171"/>
      <c r="O2691" s="202"/>
      <c r="P2691" s="202"/>
      <c r="Q2691" s="202"/>
      <c r="R2691" s="162"/>
      <c r="S2691" s="162"/>
    </row>
    <row r="2692" spans="1:19">
      <c r="A2692" s="63"/>
      <c r="B2692" s="63"/>
      <c r="C2692" s="63"/>
      <c r="D2692" s="63"/>
      <c r="E2692" s="63"/>
      <c r="F2692" s="63"/>
      <c r="G2692" s="63"/>
      <c r="I2692" s="295" t="s">
        <v>790</v>
      </c>
      <c r="J2692" s="295"/>
      <c r="K2692" s="170"/>
      <c r="L2692" s="171"/>
      <c r="M2692" s="50"/>
      <c r="N2692" s="171"/>
      <c r="O2692" s="202"/>
      <c r="P2692" s="202"/>
      <c r="Q2692" s="202"/>
      <c r="R2692" s="162"/>
      <c r="S2692" s="162"/>
    </row>
    <row r="2693" spans="1:19">
      <c r="A2693" s="63"/>
      <c r="B2693" s="63"/>
      <c r="C2693" s="63"/>
      <c r="D2693" s="63"/>
      <c r="E2693" s="63"/>
      <c r="F2693" s="63"/>
      <c r="G2693" s="63"/>
      <c r="I2693" s="295" t="s">
        <v>791</v>
      </c>
      <c r="J2693" s="295"/>
      <c r="K2693" s="170"/>
      <c r="L2693" s="171"/>
      <c r="M2693" s="50"/>
      <c r="N2693" s="171"/>
      <c r="O2693" s="202"/>
      <c r="P2693" s="202"/>
      <c r="Q2693" s="202"/>
      <c r="R2693" s="162"/>
      <c r="S2693" s="162"/>
    </row>
    <row r="2694" spans="1:19">
      <c r="A2694" s="63"/>
      <c r="B2694" s="63"/>
      <c r="C2694" s="63"/>
      <c r="D2694" s="63"/>
      <c r="E2694" s="63"/>
      <c r="F2694" s="63"/>
      <c r="G2694" s="63"/>
      <c r="I2694" s="296" t="s">
        <v>792</v>
      </c>
      <c r="J2694" s="296"/>
      <c r="K2694" s="170"/>
      <c r="L2694" s="171"/>
      <c r="M2694" s="50"/>
      <c r="N2694" s="171"/>
      <c r="O2694" s="202"/>
      <c r="P2694" s="202"/>
      <c r="Q2694" s="202"/>
      <c r="R2694" s="162"/>
      <c r="S2694" s="162"/>
    </row>
    <row r="2695" spans="1:19" ht="17.25" thickBot="1">
      <c r="A2695" s="63"/>
      <c r="B2695" s="63"/>
      <c r="C2695" s="63"/>
      <c r="D2695" s="63"/>
      <c r="E2695" s="63"/>
      <c r="F2695" s="63"/>
      <c r="G2695" s="63"/>
      <c r="I2695" s="297" t="s">
        <v>793</v>
      </c>
      <c r="J2695" s="297"/>
      <c r="K2695" s="172">
        <f t="shared" ref="K2695:S2695" si="1259">SUM(K2684:K2694)</f>
        <v>0</v>
      </c>
      <c r="L2695" s="205">
        <f t="shared" si="1259"/>
        <v>0</v>
      </c>
      <c r="M2695" s="205">
        <f t="shared" si="1259"/>
        <v>0</v>
      </c>
      <c r="N2695" s="205">
        <f t="shared" si="1259"/>
        <v>0</v>
      </c>
      <c r="O2695" s="174">
        <f t="shared" si="1259"/>
        <v>0</v>
      </c>
      <c r="P2695" s="174">
        <f t="shared" si="1259"/>
        <v>0</v>
      </c>
      <c r="Q2695" s="174">
        <f t="shared" si="1259"/>
        <v>0</v>
      </c>
      <c r="R2695" s="175">
        <f t="shared" si="1259"/>
        <v>0</v>
      </c>
      <c r="S2695" s="175">
        <f t="shared" si="1259"/>
        <v>0</v>
      </c>
    </row>
    <row r="2696" spans="1:19" ht="17.25" thickBot="1">
      <c r="A2696" s="63"/>
      <c r="B2696" s="63"/>
      <c r="C2696" s="63"/>
      <c r="D2696" s="63"/>
      <c r="E2696" s="63"/>
      <c r="F2696" s="63"/>
      <c r="G2696" s="63"/>
      <c r="I2696" s="298" t="s">
        <v>794</v>
      </c>
      <c r="J2696" s="299"/>
      <c r="K2696" s="176">
        <f t="shared" ref="K2696" si="1260">S2675-K2695</f>
        <v>0</v>
      </c>
      <c r="L2696" s="177">
        <f t="shared" ref="L2696" si="1261">K2695-L2695</f>
        <v>0</v>
      </c>
      <c r="M2696" s="177">
        <f t="shared" ref="M2696" si="1262">K2695-M2695</f>
        <v>0</v>
      </c>
      <c r="N2696" s="177">
        <f t="shared" ref="N2696" si="1263">K2695-N2695</f>
        <v>0</v>
      </c>
      <c r="O2696" s="178">
        <f t="shared" ref="O2696" si="1264">K2695-O2695</f>
        <v>0</v>
      </c>
      <c r="P2696" s="178">
        <f t="shared" ref="P2696" si="1265">K2695-P2695</f>
        <v>0</v>
      </c>
      <c r="Q2696" s="178">
        <f t="shared" ref="Q2696" si="1266">K2695-Q2695</f>
        <v>0</v>
      </c>
      <c r="R2696" s="179">
        <f t="shared" ref="R2696" si="1267">K2695-R2695</f>
        <v>0</v>
      </c>
      <c r="S2696" s="180">
        <f t="shared" ref="S2696" si="1268">L2695-S2695</f>
        <v>0</v>
      </c>
    </row>
    <row r="2697" spans="1:19">
      <c r="A2697" s="63"/>
      <c r="B2697" s="63"/>
      <c r="C2697" s="63"/>
      <c r="D2697" s="63"/>
      <c r="E2697" s="63"/>
      <c r="F2697" s="63"/>
      <c r="G2697" s="63"/>
      <c r="I2697" s="300" t="s">
        <v>795</v>
      </c>
      <c r="J2697" s="301"/>
      <c r="K2697" s="181"/>
      <c r="L2697" s="182"/>
      <c r="M2697" s="182"/>
      <c r="N2697" s="182"/>
      <c r="O2697" s="183"/>
      <c r="P2697" s="182"/>
      <c r="Q2697" s="182"/>
      <c r="R2697" s="182"/>
      <c r="S2697" s="182"/>
    </row>
    <row r="2698" spans="1:19">
      <c r="A2698" s="63"/>
      <c r="B2698" s="63"/>
      <c r="C2698" s="63"/>
      <c r="D2698" s="63"/>
      <c r="E2698" s="63"/>
      <c r="F2698" s="63"/>
      <c r="G2698" s="63"/>
      <c r="I2698" s="302" t="s">
        <v>796</v>
      </c>
      <c r="J2698" s="302"/>
      <c r="K2698" s="184"/>
      <c r="L2698" s="203"/>
      <c r="M2698" s="203"/>
      <c r="N2698" s="203"/>
      <c r="O2698" s="203"/>
      <c r="P2698" s="203"/>
      <c r="Q2698" s="203"/>
      <c r="R2698" s="203"/>
      <c r="S2698" s="203"/>
    </row>
    <row r="2699" spans="1:19">
      <c r="A2699" s="63"/>
      <c r="B2699" s="63"/>
      <c r="C2699" s="63"/>
      <c r="D2699" s="63"/>
      <c r="E2699" s="63"/>
      <c r="F2699" s="63"/>
      <c r="G2699" s="63"/>
      <c r="I2699" s="302" t="s">
        <v>797</v>
      </c>
      <c r="J2699" s="302"/>
      <c r="K2699" s="184"/>
      <c r="L2699" s="203"/>
      <c r="M2699" s="203"/>
      <c r="N2699" s="203"/>
      <c r="O2699" s="203"/>
      <c r="P2699" s="203"/>
      <c r="Q2699" s="203"/>
      <c r="R2699" s="203"/>
      <c r="S2699" s="203"/>
    </row>
    <row r="2700" spans="1:19">
      <c r="A2700" s="63"/>
      <c r="B2700" s="63"/>
      <c r="C2700" s="63"/>
      <c r="D2700" s="63"/>
      <c r="E2700" s="63"/>
      <c r="F2700" s="63"/>
      <c r="G2700" s="63"/>
      <c r="I2700" s="303" t="s">
        <v>798</v>
      </c>
      <c r="J2700" s="303"/>
      <c r="K2700" s="184"/>
      <c r="L2700" s="185"/>
      <c r="M2700" s="185"/>
      <c r="N2700" s="185"/>
      <c r="O2700" s="185"/>
      <c r="P2700" s="204"/>
      <c r="Q2700" s="204"/>
      <c r="R2700" s="204"/>
      <c r="S2700" s="204"/>
    </row>
    <row r="2701" spans="1:19">
      <c r="A2701" s="3" t="s">
        <v>801</v>
      </c>
      <c r="B2701" s="201" t="s">
        <v>802</v>
      </c>
      <c r="C2701" s="201" t="s">
        <v>803</v>
      </c>
      <c r="D2701" s="201" t="s">
        <v>119</v>
      </c>
      <c r="E2701" s="201" t="s">
        <v>148</v>
      </c>
      <c r="F2701" s="201" t="s">
        <v>806</v>
      </c>
      <c r="G2701" s="201" t="s">
        <v>81</v>
      </c>
      <c r="I2701" s="187"/>
      <c r="J2701" s="187"/>
      <c r="K2701" s="187"/>
      <c r="L2701" s="188"/>
      <c r="M2701" s="188"/>
      <c r="N2701" s="188"/>
      <c r="O2701" s="188"/>
      <c r="P2701" s="187"/>
      <c r="Q2701" s="187"/>
      <c r="R2701" s="187"/>
      <c r="S2701" s="187"/>
    </row>
    <row r="2702" spans="1:19">
      <c r="A2702" s="293">
        <v>44174</v>
      </c>
      <c r="B2702" s="161"/>
      <c r="C2702" s="162"/>
      <c r="D2702" s="162"/>
      <c r="E2702" s="162"/>
      <c r="F2702" s="162"/>
      <c r="G2702" s="163"/>
      <c r="I2702" s="191"/>
      <c r="J2702" s="190"/>
      <c r="K2702" s="190"/>
      <c r="L2702" s="190"/>
      <c r="M2702" s="190">
        <v>44174</v>
      </c>
      <c r="N2702" s="189" t="s">
        <v>864</v>
      </c>
      <c r="O2702" s="189"/>
      <c r="P2702" s="189"/>
      <c r="Q2702" s="189"/>
      <c r="R2702" s="189"/>
      <c r="S2702" s="189"/>
    </row>
    <row r="2703" spans="1:19">
      <c r="A2703" s="294"/>
      <c r="B2703" s="164"/>
      <c r="C2703" s="165"/>
      <c r="D2703" s="165"/>
      <c r="E2703" s="165"/>
      <c r="F2703" s="165"/>
      <c r="G2703" s="166"/>
      <c r="I2703" s="304"/>
      <c r="J2703" s="304"/>
      <c r="K2703" s="167"/>
      <c r="L2703" s="168"/>
      <c r="M2703" s="168"/>
      <c r="N2703" s="168"/>
      <c r="O2703" s="169"/>
      <c r="P2703" s="169"/>
      <c r="Q2703" s="169"/>
      <c r="R2703" s="161"/>
      <c r="S2703" s="161"/>
    </row>
    <row r="2704" spans="1:19">
      <c r="A2704" s="294"/>
      <c r="B2704" s="161"/>
      <c r="C2704" s="162"/>
      <c r="D2704" s="162"/>
      <c r="E2704" s="162"/>
      <c r="F2704" s="162"/>
      <c r="G2704" s="163"/>
      <c r="I2704" s="295" t="s">
        <v>782</v>
      </c>
      <c r="J2704" s="296"/>
      <c r="K2704" s="170"/>
      <c r="L2704" s="171"/>
      <c r="M2704" s="50"/>
      <c r="N2704" s="171"/>
      <c r="O2704" s="202"/>
      <c r="P2704" s="202"/>
      <c r="Q2704" s="202"/>
      <c r="R2704" s="162"/>
      <c r="S2704" s="162"/>
    </row>
    <row r="2705" spans="1:19">
      <c r="A2705" s="294"/>
      <c r="B2705" s="164"/>
      <c r="C2705" s="165"/>
      <c r="D2705" s="165"/>
      <c r="E2705" s="165"/>
      <c r="F2705" s="165"/>
      <c r="G2705" s="166"/>
      <c r="I2705" s="295" t="s">
        <v>783</v>
      </c>
      <c r="J2705" s="295"/>
      <c r="K2705" s="170"/>
      <c r="L2705" s="171"/>
      <c r="M2705" s="50"/>
      <c r="N2705" s="171"/>
      <c r="O2705" s="202"/>
      <c r="P2705" s="202"/>
      <c r="Q2705" s="202"/>
      <c r="R2705" s="162"/>
      <c r="S2705" s="162"/>
    </row>
    <row r="2706" spans="1:19">
      <c r="A2706" s="294"/>
      <c r="B2706" s="161"/>
      <c r="C2706" s="162"/>
      <c r="D2706" s="162"/>
      <c r="E2706" s="162"/>
      <c r="F2706" s="162"/>
      <c r="G2706" s="163"/>
      <c r="I2706" s="295" t="s">
        <v>784</v>
      </c>
      <c r="J2706" s="295"/>
      <c r="K2706" s="170"/>
      <c r="L2706" s="171"/>
      <c r="M2706" s="50"/>
      <c r="N2706" s="171"/>
      <c r="O2706" s="202"/>
      <c r="P2706" s="202"/>
      <c r="Q2706" s="202"/>
      <c r="R2706" s="162"/>
      <c r="S2706" s="162"/>
    </row>
    <row r="2707" spans="1:19">
      <c r="A2707" s="294"/>
      <c r="B2707" s="164"/>
      <c r="C2707" s="165"/>
      <c r="D2707" s="165"/>
      <c r="E2707" s="165"/>
      <c r="F2707" s="165"/>
      <c r="G2707" s="166"/>
      <c r="I2707" s="295" t="s">
        <v>785</v>
      </c>
      <c r="J2707" s="295"/>
      <c r="K2707" s="170"/>
      <c r="L2707" s="171"/>
      <c r="M2707" s="50"/>
      <c r="N2707" s="171"/>
      <c r="O2707" s="202"/>
      <c r="P2707" s="202"/>
      <c r="Q2707" s="202"/>
      <c r="R2707" s="162"/>
      <c r="S2707" s="162"/>
    </row>
    <row r="2708" spans="1:19">
      <c r="A2708" s="294"/>
      <c r="B2708" s="161"/>
      <c r="C2708" s="162"/>
      <c r="D2708" s="162"/>
      <c r="E2708" s="162"/>
      <c r="F2708" s="162"/>
      <c r="G2708" s="163"/>
      <c r="I2708" s="295" t="s">
        <v>786</v>
      </c>
      <c r="J2708" s="295"/>
      <c r="K2708" s="170"/>
      <c r="L2708" s="171"/>
      <c r="M2708" s="50"/>
      <c r="N2708" s="171"/>
      <c r="O2708" s="202"/>
      <c r="P2708" s="202"/>
      <c r="Q2708" s="202"/>
      <c r="R2708" s="162"/>
      <c r="S2708" s="162"/>
    </row>
    <row r="2709" spans="1:19">
      <c r="A2709" s="294"/>
      <c r="B2709" s="164"/>
      <c r="C2709" s="165"/>
      <c r="D2709" s="165"/>
      <c r="E2709" s="165"/>
      <c r="F2709" s="165"/>
      <c r="G2709" s="166"/>
      <c r="I2709" s="295" t="s">
        <v>787</v>
      </c>
      <c r="J2709" s="295"/>
      <c r="K2709" s="170"/>
      <c r="L2709" s="171"/>
      <c r="M2709" s="50"/>
      <c r="N2709" s="171"/>
      <c r="O2709" s="202"/>
      <c r="P2709" s="202"/>
      <c r="Q2709" s="202"/>
      <c r="R2709" s="162"/>
      <c r="S2709" s="162"/>
    </row>
    <row r="2710" spans="1:19">
      <c r="A2710" s="294"/>
      <c r="B2710" s="161"/>
      <c r="C2710" s="162"/>
      <c r="D2710" s="162"/>
      <c r="E2710" s="162"/>
      <c r="F2710" s="162"/>
      <c r="G2710" s="163"/>
      <c r="I2710" s="295" t="s">
        <v>788</v>
      </c>
      <c r="J2710" s="295"/>
      <c r="K2710" s="170"/>
      <c r="L2710" s="171"/>
      <c r="M2710" s="50"/>
      <c r="N2710" s="171"/>
      <c r="O2710" s="202"/>
      <c r="P2710" s="202"/>
      <c r="Q2710" s="202"/>
      <c r="R2710" s="162"/>
      <c r="S2710" s="162"/>
    </row>
    <row r="2711" spans="1:19">
      <c r="A2711" s="294"/>
      <c r="B2711" s="164"/>
      <c r="C2711" s="165"/>
      <c r="D2711" s="165"/>
      <c r="E2711" s="165"/>
      <c r="F2711" s="165"/>
      <c r="G2711" s="166"/>
      <c r="I2711" s="295" t="s">
        <v>789</v>
      </c>
      <c r="J2711" s="295"/>
      <c r="K2711" s="170"/>
      <c r="L2711" s="171"/>
      <c r="M2711" s="50"/>
      <c r="N2711" s="171"/>
      <c r="O2711" s="202"/>
      <c r="P2711" s="202"/>
      <c r="Q2711" s="202"/>
      <c r="R2711" s="162"/>
      <c r="S2711" s="162"/>
    </row>
    <row r="2712" spans="1:19">
      <c r="A2712" s="63"/>
      <c r="B2712" s="63"/>
      <c r="C2712" s="63"/>
      <c r="D2712" s="63"/>
      <c r="E2712" s="63"/>
      <c r="F2712" s="63"/>
      <c r="G2712" s="63"/>
      <c r="I2712" s="295" t="s">
        <v>790</v>
      </c>
      <c r="J2712" s="295"/>
      <c r="K2712" s="170"/>
      <c r="L2712" s="171"/>
      <c r="M2712" s="50"/>
      <c r="N2712" s="171"/>
      <c r="O2712" s="202"/>
      <c r="P2712" s="202"/>
      <c r="Q2712" s="202"/>
      <c r="R2712" s="162"/>
      <c r="S2712" s="162"/>
    </row>
    <row r="2713" spans="1:19">
      <c r="A2713" s="63"/>
      <c r="B2713" s="63"/>
      <c r="C2713" s="63"/>
      <c r="D2713" s="63"/>
      <c r="E2713" s="63"/>
      <c r="F2713" s="63"/>
      <c r="G2713" s="63"/>
      <c r="I2713" s="295" t="s">
        <v>791</v>
      </c>
      <c r="J2713" s="295"/>
      <c r="K2713" s="170"/>
      <c r="L2713" s="171"/>
      <c r="M2713" s="50"/>
      <c r="N2713" s="171"/>
      <c r="O2713" s="202"/>
      <c r="P2713" s="202"/>
      <c r="Q2713" s="202"/>
      <c r="R2713" s="162"/>
      <c r="S2713" s="162"/>
    </row>
    <row r="2714" spans="1:19">
      <c r="A2714" s="63"/>
      <c r="B2714" s="63"/>
      <c r="C2714" s="63"/>
      <c r="D2714" s="63"/>
      <c r="E2714" s="63"/>
      <c r="F2714" s="63"/>
      <c r="G2714" s="63"/>
      <c r="I2714" s="296" t="s">
        <v>792</v>
      </c>
      <c r="J2714" s="296"/>
      <c r="K2714" s="170"/>
      <c r="L2714" s="171"/>
      <c r="M2714" s="50"/>
      <c r="N2714" s="171"/>
      <c r="O2714" s="202"/>
      <c r="P2714" s="202"/>
      <c r="Q2714" s="202"/>
      <c r="R2714" s="162"/>
      <c r="S2714" s="162"/>
    </row>
    <row r="2715" spans="1:19" ht="17.25" thickBot="1">
      <c r="A2715" s="63"/>
      <c r="B2715" s="63"/>
      <c r="C2715" s="63"/>
      <c r="D2715" s="63"/>
      <c r="E2715" s="63"/>
      <c r="F2715" s="63"/>
      <c r="G2715" s="63"/>
      <c r="I2715" s="297" t="s">
        <v>793</v>
      </c>
      <c r="J2715" s="297"/>
      <c r="K2715" s="172">
        <f t="shared" ref="K2715:S2715" si="1269">SUM(K2704:K2714)</f>
        <v>0</v>
      </c>
      <c r="L2715" s="205">
        <f t="shared" si="1269"/>
        <v>0</v>
      </c>
      <c r="M2715" s="205">
        <f t="shared" si="1269"/>
        <v>0</v>
      </c>
      <c r="N2715" s="205">
        <f t="shared" si="1269"/>
        <v>0</v>
      </c>
      <c r="O2715" s="174">
        <f t="shared" si="1269"/>
        <v>0</v>
      </c>
      <c r="P2715" s="174">
        <f t="shared" si="1269"/>
        <v>0</v>
      </c>
      <c r="Q2715" s="174">
        <f t="shared" si="1269"/>
        <v>0</v>
      </c>
      <c r="R2715" s="175">
        <f t="shared" si="1269"/>
        <v>0</v>
      </c>
      <c r="S2715" s="175">
        <f t="shared" si="1269"/>
        <v>0</v>
      </c>
    </row>
    <row r="2716" spans="1:19" ht="17.25" thickBot="1">
      <c r="A2716" s="63"/>
      <c r="B2716" s="63"/>
      <c r="C2716" s="63"/>
      <c r="D2716" s="63"/>
      <c r="E2716" s="63"/>
      <c r="F2716" s="63"/>
      <c r="G2716" s="63"/>
      <c r="I2716" s="298" t="s">
        <v>794</v>
      </c>
      <c r="J2716" s="299"/>
      <c r="K2716" s="176">
        <f t="shared" ref="K2716" si="1270">S2695-K2715</f>
        <v>0</v>
      </c>
      <c r="L2716" s="177">
        <f t="shared" ref="L2716" si="1271">K2715-L2715</f>
        <v>0</v>
      </c>
      <c r="M2716" s="177">
        <f t="shared" ref="M2716" si="1272">K2715-M2715</f>
        <v>0</v>
      </c>
      <c r="N2716" s="177">
        <f t="shared" ref="N2716" si="1273">K2715-N2715</f>
        <v>0</v>
      </c>
      <c r="O2716" s="178">
        <f t="shared" ref="O2716" si="1274">K2715-O2715</f>
        <v>0</v>
      </c>
      <c r="P2716" s="178">
        <f t="shared" ref="P2716" si="1275">K2715-P2715</f>
        <v>0</v>
      </c>
      <c r="Q2716" s="178">
        <f t="shared" ref="Q2716" si="1276">K2715-Q2715</f>
        <v>0</v>
      </c>
      <c r="R2716" s="179">
        <f t="shared" ref="R2716" si="1277">K2715-R2715</f>
        <v>0</v>
      </c>
      <c r="S2716" s="180">
        <f t="shared" ref="S2716" si="1278">L2715-S2715</f>
        <v>0</v>
      </c>
    </row>
    <row r="2717" spans="1:19">
      <c r="A2717" s="63"/>
      <c r="B2717" s="63"/>
      <c r="C2717" s="63"/>
      <c r="D2717" s="63"/>
      <c r="E2717" s="63"/>
      <c r="F2717" s="63"/>
      <c r="G2717" s="63"/>
      <c r="I2717" s="300" t="s">
        <v>795</v>
      </c>
      <c r="J2717" s="301"/>
      <c r="K2717" s="181"/>
      <c r="L2717" s="182"/>
      <c r="M2717" s="182"/>
      <c r="N2717" s="182"/>
      <c r="O2717" s="183"/>
      <c r="P2717" s="182"/>
      <c r="Q2717" s="182"/>
      <c r="R2717" s="182"/>
      <c r="S2717" s="182"/>
    </row>
    <row r="2718" spans="1:19">
      <c r="A2718" s="63"/>
      <c r="B2718" s="63"/>
      <c r="C2718" s="63"/>
      <c r="D2718" s="63"/>
      <c r="E2718" s="63"/>
      <c r="F2718" s="63"/>
      <c r="G2718" s="63"/>
      <c r="I2718" s="302" t="s">
        <v>796</v>
      </c>
      <c r="J2718" s="302"/>
      <c r="K2718" s="184"/>
      <c r="L2718" s="203"/>
      <c r="M2718" s="203"/>
      <c r="N2718" s="203"/>
      <c r="O2718" s="203"/>
      <c r="P2718" s="203"/>
      <c r="Q2718" s="203"/>
      <c r="R2718" s="203"/>
      <c r="S2718" s="203"/>
    </row>
    <row r="2719" spans="1:19">
      <c r="A2719" s="63"/>
      <c r="B2719" s="63"/>
      <c r="C2719" s="63"/>
      <c r="D2719" s="63"/>
      <c r="E2719" s="63"/>
      <c r="F2719" s="63"/>
      <c r="G2719" s="63"/>
      <c r="I2719" s="302" t="s">
        <v>797</v>
      </c>
      <c r="J2719" s="302"/>
      <c r="K2719" s="184"/>
      <c r="L2719" s="203"/>
      <c r="M2719" s="203"/>
      <c r="N2719" s="203"/>
      <c r="O2719" s="203"/>
      <c r="P2719" s="203"/>
      <c r="Q2719" s="203"/>
      <c r="R2719" s="203"/>
      <c r="S2719" s="203"/>
    </row>
    <row r="2720" spans="1:19">
      <c r="A2720" s="63"/>
      <c r="B2720" s="63"/>
      <c r="C2720" s="63"/>
      <c r="D2720" s="63"/>
      <c r="E2720" s="63"/>
      <c r="F2720" s="63"/>
      <c r="G2720" s="63"/>
      <c r="I2720" s="303" t="s">
        <v>798</v>
      </c>
      <c r="J2720" s="303"/>
      <c r="K2720" s="184"/>
      <c r="L2720" s="185"/>
      <c r="M2720" s="185"/>
      <c r="N2720" s="185"/>
      <c r="O2720" s="185"/>
      <c r="P2720" s="204"/>
      <c r="Q2720" s="204"/>
      <c r="R2720" s="204"/>
      <c r="S2720" s="204"/>
    </row>
    <row r="2721" spans="1:19">
      <c r="A2721" s="3" t="s">
        <v>801</v>
      </c>
      <c r="B2721" s="201" t="s">
        <v>802</v>
      </c>
      <c r="C2721" s="201" t="s">
        <v>803</v>
      </c>
      <c r="D2721" s="201" t="s">
        <v>119</v>
      </c>
      <c r="E2721" s="201" t="s">
        <v>148</v>
      </c>
      <c r="F2721" s="201" t="s">
        <v>806</v>
      </c>
      <c r="G2721" s="201" t="s">
        <v>81</v>
      </c>
      <c r="I2721" s="187"/>
      <c r="J2721" s="187"/>
      <c r="K2721" s="187"/>
      <c r="L2721" s="188"/>
      <c r="M2721" s="188"/>
      <c r="N2721" s="188"/>
      <c r="O2721" s="188"/>
      <c r="P2721" s="187"/>
      <c r="Q2721" s="187"/>
      <c r="R2721" s="187"/>
      <c r="S2721" s="187"/>
    </row>
    <row r="2722" spans="1:19">
      <c r="A2722" s="293">
        <v>44175</v>
      </c>
      <c r="B2722" s="161"/>
      <c r="C2722" s="162"/>
      <c r="D2722" s="162"/>
      <c r="E2722" s="162"/>
      <c r="F2722" s="162"/>
      <c r="G2722" s="163"/>
      <c r="I2722" s="191"/>
      <c r="J2722" s="190"/>
      <c r="K2722" s="190"/>
      <c r="L2722" s="190"/>
      <c r="M2722" s="190">
        <v>44175</v>
      </c>
      <c r="N2722" s="189" t="s">
        <v>864</v>
      </c>
      <c r="O2722" s="189"/>
      <c r="P2722" s="189"/>
      <c r="Q2722" s="189"/>
      <c r="R2722" s="189"/>
      <c r="S2722" s="189"/>
    </row>
    <row r="2723" spans="1:19">
      <c r="A2723" s="294"/>
      <c r="B2723" s="164"/>
      <c r="C2723" s="165"/>
      <c r="D2723" s="165"/>
      <c r="E2723" s="165"/>
      <c r="F2723" s="165"/>
      <c r="G2723" s="166"/>
      <c r="I2723" s="304"/>
      <c r="J2723" s="304"/>
      <c r="K2723" s="167"/>
      <c r="L2723" s="168"/>
      <c r="M2723" s="168"/>
      <c r="N2723" s="168"/>
      <c r="O2723" s="169"/>
      <c r="P2723" s="169"/>
      <c r="Q2723" s="169"/>
      <c r="R2723" s="161"/>
      <c r="S2723" s="161"/>
    </row>
    <row r="2724" spans="1:19">
      <c r="A2724" s="294"/>
      <c r="B2724" s="161"/>
      <c r="C2724" s="162"/>
      <c r="D2724" s="162"/>
      <c r="E2724" s="162"/>
      <c r="F2724" s="162"/>
      <c r="G2724" s="163"/>
      <c r="I2724" s="295" t="s">
        <v>782</v>
      </c>
      <c r="J2724" s="296"/>
      <c r="K2724" s="170"/>
      <c r="L2724" s="171"/>
      <c r="M2724" s="50"/>
      <c r="N2724" s="171"/>
      <c r="O2724" s="202"/>
      <c r="P2724" s="202"/>
      <c r="Q2724" s="202"/>
      <c r="R2724" s="162"/>
      <c r="S2724" s="162"/>
    </row>
    <row r="2725" spans="1:19">
      <c r="A2725" s="294"/>
      <c r="B2725" s="164"/>
      <c r="C2725" s="165"/>
      <c r="D2725" s="165"/>
      <c r="E2725" s="165"/>
      <c r="F2725" s="165"/>
      <c r="G2725" s="166"/>
      <c r="I2725" s="295" t="s">
        <v>783</v>
      </c>
      <c r="J2725" s="295"/>
      <c r="K2725" s="170"/>
      <c r="L2725" s="171"/>
      <c r="M2725" s="50"/>
      <c r="N2725" s="171"/>
      <c r="O2725" s="202"/>
      <c r="P2725" s="202"/>
      <c r="Q2725" s="202"/>
      <c r="R2725" s="162"/>
      <c r="S2725" s="162"/>
    </row>
    <row r="2726" spans="1:19">
      <c r="A2726" s="294"/>
      <c r="B2726" s="161"/>
      <c r="C2726" s="162"/>
      <c r="D2726" s="162"/>
      <c r="E2726" s="162"/>
      <c r="F2726" s="162"/>
      <c r="G2726" s="163"/>
      <c r="I2726" s="295" t="s">
        <v>784</v>
      </c>
      <c r="J2726" s="295"/>
      <c r="K2726" s="170"/>
      <c r="L2726" s="171"/>
      <c r="M2726" s="50"/>
      <c r="N2726" s="171"/>
      <c r="O2726" s="202"/>
      <c r="P2726" s="202"/>
      <c r="Q2726" s="202"/>
      <c r="R2726" s="162"/>
      <c r="S2726" s="162"/>
    </row>
    <row r="2727" spans="1:19">
      <c r="A2727" s="294"/>
      <c r="B2727" s="164"/>
      <c r="C2727" s="165"/>
      <c r="D2727" s="165"/>
      <c r="E2727" s="165"/>
      <c r="F2727" s="165"/>
      <c r="G2727" s="166"/>
      <c r="I2727" s="295" t="s">
        <v>785</v>
      </c>
      <c r="J2727" s="295"/>
      <c r="K2727" s="170"/>
      <c r="L2727" s="171"/>
      <c r="M2727" s="50"/>
      <c r="N2727" s="171"/>
      <c r="O2727" s="202"/>
      <c r="P2727" s="202"/>
      <c r="Q2727" s="202"/>
      <c r="R2727" s="162"/>
      <c r="S2727" s="162"/>
    </row>
    <row r="2728" spans="1:19">
      <c r="A2728" s="294"/>
      <c r="B2728" s="161"/>
      <c r="C2728" s="162"/>
      <c r="D2728" s="162"/>
      <c r="E2728" s="162"/>
      <c r="F2728" s="162"/>
      <c r="G2728" s="163"/>
      <c r="I2728" s="295" t="s">
        <v>786</v>
      </c>
      <c r="J2728" s="295"/>
      <c r="K2728" s="170"/>
      <c r="L2728" s="171"/>
      <c r="M2728" s="50"/>
      <c r="N2728" s="171"/>
      <c r="O2728" s="202"/>
      <c r="P2728" s="202"/>
      <c r="Q2728" s="202"/>
      <c r="R2728" s="162"/>
      <c r="S2728" s="162"/>
    </row>
    <row r="2729" spans="1:19">
      <c r="A2729" s="294"/>
      <c r="B2729" s="164"/>
      <c r="C2729" s="165"/>
      <c r="D2729" s="165"/>
      <c r="E2729" s="165"/>
      <c r="F2729" s="165"/>
      <c r="G2729" s="166"/>
      <c r="I2729" s="295" t="s">
        <v>787</v>
      </c>
      <c r="J2729" s="295"/>
      <c r="K2729" s="170"/>
      <c r="L2729" s="171"/>
      <c r="M2729" s="50"/>
      <c r="N2729" s="171"/>
      <c r="O2729" s="202"/>
      <c r="P2729" s="202"/>
      <c r="Q2729" s="202"/>
      <c r="R2729" s="162"/>
      <c r="S2729" s="162"/>
    </row>
    <row r="2730" spans="1:19">
      <c r="A2730" s="294"/>
      <c r="B2730" s="161"/>
      <c r="C2730" s="162"/>
      <c r="D2730" s="162"/>
      <c r="E2730" s="162"/>
      <c r="F2730" s="162"/>
      <c r="G2730" s="163"/>
      <c r="I2730" s="295" t="s">
        <v>788</v>
      </c>
      <c r="J2730" s="295"/>
      <c r="K2730" s="170"/>
      <c r="L2730" s="171"/>
      <c r="M2730" s="50"/>
      <c r="N2730" s="171"/>
      <c r="O2730" s="202"/>
      <c r="P2730" s="202"/>
      <c r="Q2730" s="202"/>
      <c r="R2730" s="162"/>
      <c r="S2730" s="162"/>
    </row>
    <row r="2731" spans="1:19">
      <c r="A2731" s="294"/>
      <c r="B2731" s="164"/>
      <c r="C2731" s="165"/>
      <c r="D2731" s="165"/>
      <c r="E2731" s="165"/>
      <c r="F2731" s="165"/>
      <c r="G2731" s="166"/>
      <c r="I2731" s="295" t="s">
        <v>789</v>
      </c>
      <c r="J2731" s="295"/>
      <c r="K2731" s="170"/>
      <c r="L2731" s="171"/>
      <c r="M2731" s="50"/>
      <c r="N2731" s="171"/>
      <c r="O2731" s="202"/>
      <c r="P2731" s="202"/>
      <c r="Q2731" s="202"/>
      <c r="R2731" s="162"/>
      <c r="S2731" s="162"/>
    </row>
    <row r="2732" spans="1:19">
      <c r="A2732" s="63"/>
      <c r="B2732" s="63"/>
      <c r="C2732" s="63"/>
      <c r="D2732" s="63"/>
      <c r="E2732" s="63"/>
      <c r="F2732" s="63"/>
      <c r="G2732" s="63"/>
      <c r="I2732" s="295" t="s">
        <v>790</v>
      </c>
      <c r="J2732" s="295"/>
      <c r="K2732" s="170"/>
      <c r="L2732" s="171"/>
      <c r="M2732" s="50"/>
      <c r="N2732" s="171"/>
      <c r="O2732" s="202"/>
      <c r="P2732" s="202"/>
      <c r="Q2732" s="202"/>
      <c r="R2732" s="162"/>
      <c r="S2732" s="162"/>
    </row>
    <row r="2733" spans="1:19">
      <c r="A2733" s="63"/>
      <c r="B2733" s="63"/>
      <c r="C2733" s="63"/>
      <c r="D2733" s="63"/>
      <c r="E2733" s="63"/>
      <c r="F2733" s="63"/>
      <c r="G2733" s="63"/>
      <c r="I2733" s="295" t="s">
        <v>791</v>
      </c>
      <c r="J2733" s="295"/>
      <c r="K2733" s="170"/>
      <c r="L2733" s="171"/>
      <c r="M2733" s="50"/>
      <c r="N2733" s="171"/>
      <c r="O2733" s="202"/>
      <c r="P2733" s="202"/>
      <c r="Q2733" s="202"/>
      <c r="R2733" s="162"/>
      <c r="S2733" s="162"/>
    </row>
    <row r="2734" spans="1:19">
      <c r="A2734" s="63"/>
      <c r="B2734" s="63"/>
      <c r="C2734" s="63"/>
      <c r="D2734" s="63"/>
      <c r="E2734" s="63"/>
      <c r="F2734" s="63"/>
      <c r="G2734" s="63"/>
      <c r="I2734" s="296" t="s">
        <v>792</v>
      </c>
      <c r="J2734" s="296"/>
      <c r="K2734" s="170"/>
      <c r="L2734" s="171"/>
      <c r="M2734" s="50"/>
      <c r="N2734" s="171"/>
      <c r="O2734" s="202"/>
      <c r="P2734" s="202"/>
      <c r="Q2734" s="202"/>
      <c r="R2734" s="162"/>
      <c r="S2734" s="162"/>
    </row>
    <row r="2735" spans="1:19" ht="17.25" thickBot="1">
      <c r="A2735" s="63"/>
      <c r="B2735" s="63"/>
      <c r="C2735" s="63"/>
      <c r="D2735" s="63"/>
      <c r="E2735" s="63"/>
      <c r="F2735" s="63"/>
      <c r="G2735" s="63"/>
      <c r="I2735" s="297" t="s">
        <v>793</v>
      </c>
      <c r="J2735" s="297"/>
      <c r="K2735" s="172">
        <f t="shared" ref="K2735:S2735" si="1279">SUM(K2724:K2734)</f>
        <v>0</v>
      </c>
      <c r="L2735" s="205">
        <f t="shared" si="1279"/>
        <v>0</v>
      </c>
      <c r="M2735" s="205">
        <f t="shared" si="1279"/>
        <v>0</v>
      </c>
      <c r="N2735" s="205">
        <f t="shared" si="1279"/>
        <v>0</v>
      </c>
      <c r="O2735" s="174">
        <f t="shared" si="1279"/>
        <v>0</v>
      </c>
      <c r="P2735" s="174">
        <f t="shared" si="1279"/>
        <v>0</v>
      </c>
      <c r="Q2735" s="174">
        <f t="shared" si="1279"/>
        <v>0</v>
      </c>
      <c r="R2735" s="175">
        <f t="shared" si="1279"/>
        <v>0</v>
      </c>
      <c r="S2735" s="175">
        <f t="shared" si="1279"/>
        <v>0</v>
      </c>
    </row>
    <row r="2736" spans="1:19" ht="17.25" thickBot="1">
      <c r="A2736" s="63"/>
      <c r="B2736" s="63"/>
      <c r="C2736" s="63"/>
      <c r="D2736" s="63"/>
      <c r="E2736" s="63"/>
      <c r="F2736" s="63"/>
      <c r="G2736" s="63"/>
      <c r="I2736" s="298" t="s">
        <v>794</v>
      </c>
      <c r="J2736" s="299"/>
      <c r="K2736" s="176">
        <f t="shared" ref="K2736" si="1280">S2715-K2735</f>
        <v>0</v>
      </c>
      <c r="L2736" s="177">
        <f t="shared" ref="L2736" si="1281">K2735-L2735</f>
        <v>0</v>
      </c>
      <c r="M2736" s="177">
        <f t="shared" ref="M2736" si="1282">K2735-M2735</f>
        <v>0</v>
      </c>
      <c r="N2736" s="177">
        <f t="shared" ref="N2736" si="1283">K2735-N2735</f>
        <v>0</v>
      </c>
      <c r="O2736" s="178">
        <f t="shared" ref="O2736" si="1284">K2735-O2735</f>
        <v>0</v>
      </c>
      <c r="P2736" s="178">
        <f t="shared" ref="P2736" si="1285">K2735-P2735</f>
        <v>0</v>
      </c>
      <c r="Q2736" s="178">
        <f t="shared" ref="Q2736" si="1286">K2735-Q2735</f>
        <v>0</v>
      </c>
      <c r="R2736" s="179">
        <f t="shared" ref="R2736" si="1287">K2735-R2735</f>
        <v>0</v>
      </c>
      <c r="S2736" s="180">
        <f t="shared" ref="S2736" si="1288">L2735-S2735</f>
        <v>0</v>
      </c>
    </row>
    <row r="2737" spans="1:19">
      <c r="A2737" s="63"/>
      <c r="B2737" s="63"/>
      <c r="C2737" s="63"/>
      <c r="D2737" s="63"/>
      <c r="E2737" s="63"/>
      <c r="F2737" s="63"/>
      <c r="G2737" s="63"/>
      <c r="I2737" s="300" t="s">
        <v>795</v>
      </c>
      <c r="J2737" s="301"/>
      <c r="K2737" s="181"/>
      <c r="L2737" s="182"/>
      <c r="M2737" s="182"/>
      <c r="N2737" s="182"/>
      <c r="O2737" s="183"/>
      <c r="P2737" s="182"/>
      <c r="Q2737" s="182"/>
      <c r="R2737" s="182"/>
      <c r="S2737" s="182"/>
    </row>
    <row r="2738" spans="1:19">
      <c r="A2738" s="63"/>
      <c r="B2738" s="63"/>
      <c r="C2738" s="63"/>
      <c r="D2738" s="63"/>
      <c r="E2738" s="63"/>
      <c r="F2738" s="63"/>
      <c r="G2738" s="63"/>
      <c r="I2738" s="302" t="s">
        <v>796</v>
      </c>
      <c r="J2738" s="302"/>
      <c r="K2738" s="184"/>
      <c r="L2738" s="203"/>
      <c r="M2738" s="203"/>
      <c r="N2738" s="203"/>
      <c r="O2738" s="203"/>
      <c r="P2738" s="203"/>
      <c r="Q2738" s="203"/>
      <c r="R2738" s="203"/>
      <c r="S2738" s="203"/>
    </row>
    <row r="2739" spans="1:19">
      <c r="A2739" s="63"/>
      <c r="B2739" s="63"/>
      <c r="C2739" s="63"/>
      <c r="D2739" s="63"/>
      <c r="E2739" s="63"/>
      <c r="F2739" s="63"/>
      <c r="G2739" s="63"/>
      <c r="I2739" s="302" t="s">
        <v>797</v>
      </c>
      <c r="J2739" s="302"/>
      <c r="K2739" s="184"/>
      <c r="L2739" s="203"/>
      <c r="M2739" s="203"/>
      <c r="N2739" s="203"/>
      <c r="O2739" s="203"/>
      <c r="P2739" s="203"/>
      <c r="Q2739" s="203"/>
      <c r="R2739" s="203"/>
      <c r="S2739" s="203"/>
    </row>
    <row r="2740" spans="1:19">
      <c r="A2740" s="63"/>
      <c r="B2740" s="63"/>
      <c r="C2740" s="63"/>
      <c r="D2740" s="63"/>
      <c r="E2740" s="63"/>
      <c r="F2740" s="63"/>
      <c r="G2740" s="63"/>
      <c r="I2740" s="303" t="s">
        <v>798</v>
      </c>
      <c r="J2740" s="303"/>
      <c r="K2740" s="184"/>
      <c r="L2740" s="185"/>
      <c r="M2740" s="185"/>
      <c r="N2740" s="185"/>
      <c r="O2740" s="185"/>
      <c r="P2740" s="204"/>
      <c r="Q2740" s="204"/>
      <c r="R2740" s="204"/>
      <c r="S2740" s="204"/>
    </row>
    <row r="2741" spans="1:19">
      <c r="A2741" s="3" t="s">
        <v>801</v>
      </c>
      <c r="B2741" s="201" t="s">
        <v>802</v>
      </c>
      <c r="C2741" s="201" t="s">
        <v>803</v>
      </c>
      <c r="D2741" s="201" t="s">
        <v>119</v>
      </c>
      <c r="E2741" s="201" t="s">
        <v>148</v>
      </c>
      <c r="F2741" s="201" t="s">
        <v>806</v>
      </c>
      <c r="G2741" s="201" t="s">
        <v>81</v>
      </c>
      <c r="I2741" s="187"/>
      <c r="J2741" s="187"/>
      <c r="K2741" s="187"/>
      <c r="L2741" s="188"/>
      <c r="M2741" s="188"/>
      <c r="N2741" s="188"/>
      <c r="O2741" s="188"/>
      <c r="P2741" s="187"/>
      <c r="Q2741" s="187"/>
      <c r="R2741" s="187"/>
      <c r="S2741" s="187"/>
    </row>
    <row r="2742" spans="1:19">
      <c r="A2742" s="293">
        <v>44176</v>
      </c>
      <c r="B2742" s="161"/>
      <c r="C2742" s="162"/>
      <c r="D2742" s="162"/>
      <c r="E2742" s="162"/>
      <c r="F2742" s="162"/>
      <c r="G2742" s="163"/>
      <c r="I2742" s="191"/>
      <c r="J2742" s="190"/>
      <c r="K2742" s="190"/>
      <c r="L2742" s="190"/>
      <c r="M2742" s="190">
        <v>44176</v>
      </c>
      <c r="N2742" s="189" t="s">
        <v>864</v>
      </c>
      <c r="O2742" s="189"/>
      <c r="P2742" s="189"/>
      <c r="Q2742" s="189"/>
      <c r="R2742" s="189"/>
      <c r="S2742" s="189"/>
    </row>
    <row r="2743" spans="1:19">
      <c r="A2743" s="294"/>
      <c r="B2743" s="164"/>
      <c r="C2743" s="165"/>
      <c r="D2743" s="165"/>
      <c r="E2743" s="165"/>
      <c r="F2743" s="165"/>
      <c r="G2743" s="166"/>
      <c r="I2743" s="304"/>
      <c r="J2743" s="304"/>
      <c r="K2743" s="167"/>
      <c r="L2743" s="168"/>
      <c r="M2743" s="168"/>
      <c r="N2743" s="168"/>
      <c r="O2743" s="169"/>
      <c r="P2743" s="169"/>
      <c r="Q2743" s="169"/>
      <c r="R2743" s="161"/>
      <c r="S2743" s="161"/>
    </row>
    <row r="2744" spans="1:19">
      <c r="A2744" s="294"/>
      <c r="B2744" s="161"/>
      <c r="C2744" s="162"/>
      <c r="D2744" s="162"/>
      <c r="E2744" s="162"/>
      <c r="F2744" s="162"/>
      <c r="G2744" s="163"/>
      <c r="I2744" s="295" t="s">
        <v>782</v>
      </c>
      <c r="J2744" s="296"/>
      <c r="K2744" s="170"/>
      <c r="L2744" s="171"/>
      <c r="M2744" s="50"/>
      <c r="N2744" s="171"/>
      <c r="O2744" s="202"/>
      <c r="P2744" s="202"/>
      <c r="Q2744" s="202"/>
      <c r="R2744" s="162"/>
      <c r="S2744" s="162"/>
    </row>
    <row r="2745" spans="1:19">
      <c r="A2745" s="294"/>
      <c r="B2745" s="164"/>
      <c r="C2745" s="165"/>
      <c r="D2745" s="165"/>
      <c r="E2745" s="165"/>
      <c r="F2745" s="165"/>
      <c r="G2745" s="166"/>
      <c r="I2745" s="295" t="s">
        <v>783</v>
      </c>
      <c r="J2745" s="295"/>
      <c r="K2745" s="170"/>
      <c r="L2745" s="171"/>
      <c r="M2745" s="50"/>
      <c r="N2745" s="171"/>
      <c r="O2745" s="202"/>
      <c r="P2745" s="202"/>
      <c r="Q2745" s="202"/>
      <c r="R2745" s="162"/>
      <c r="S2745" s="162"/>
    </row>
    <row r="2746" spans="1:19">
      <c r="A2746" s="294"/>
      <c r="B2746" s="161"/>
      <c r="C2746" s="162"/>
      <c r="D2746" s="162"/>
      <c r="E2746" s="162"/>
      <c r="F2746" s="162"/>
      <c r="G2746" s="163"/>
      <c r="I2746" s="295" t="s">
        <v>784</v>
      </c>
      <c r="J2746" s="295"/>
      <c r="K2746" s="170"/>
      <c r="L2746" s="171"/>
      <c r="M2746" s="50"/>
      <c r="N2746" s="171"/>
      <c r="O2746" s="202"/>
      <c r="P2746" s="202"/>
      <c r="Q2746" s="202"/>
      <c r="R2746" s="162"/>
      <c r="S2746" s="162"/>
    </row>
    <row r="2747" spans="1:19">
      <c r="A2747" s="294"/>
      <c r="B2747" s="164"/>
      <c r="C2747" s="165"/>
      <c r="D2747" s="165"/>
      <c r="E2747" s="165"/>
      <c r="F2747" s="165"/>
      <c r="G2747" s="166"/>
      <c r="I2747" s="295" t="s">
        <v>785</v>
      </c>
      <c r="J2747" s="295"/>
      <c r="K2747" s="170"/>
      <c r="L2747" s="171"/>
      <c r="M2747" s="50"/>
      <c r="N2747" s="171"/>
      <c r="O2747" s="202"/>
      <c r="P2747" s="202"/>
      <c r="Q2747" s="202"/>
      <c r="R2747" s="162"/>
      <c r="S2747" s="162"/>
    </row>
    <row r="2748" spans="1:19">
      <c r="A2748" s="294"/>
      <c r="B2748" s="161"/>
      <c r="C2748" s="162"/>
      <c r="D2748" s="162"/>
      <c r="E2748" s="162"/>
      <c r="F2748" s="162"/>
      <c r="G2748" s="163"/>
      <c r="I2748" s="295" t="s">
        <v>786</v>
      </c>
      <c r="J2748" s="295"/>
      <c r="K2748" s="170"/>
      <c r="L2748" s="171"/>
      <c r="M2748" s="50"/>
      <c r="N2748" s="171"/>
      <c r="O2748" s="202"/>
      <c r="P2748" s="202"/>
      <c r="Q2748" s="202"/>
      <c r="R2748" s="162"/>
      <c r="S2748" s="162"/>
    </row>
    <row r="2749" spans="1:19">
      <c r="A2749" s="294"/>
      <c r="B2749" s="164"/>
      <c r="C2749" s="165"/>
      <c r="D2749" s="165"/>
      <c r="E2749" s="165"/>
      <c r="F2749" s="165"/>
      <c r="G2749" s="166"/>
      <c r="I2749" s="295" t="s">
        <v>787</v>
      </c>
      <c r="J2749" s="295"/>
      <c r="K2749" s="170"/>
      <c r="L2749" s="171"/>
      <c r="M2749" s="50"/>
      <c r="N2749" s="171"/>
      <c r="O2749" s="202"/>
      <c r="P2749" s="202"/>
      <c r="Q2749" s="202"/>
      <c r="R2749" s="162"/>
      <c r="S2749" s="162"/>
    </row>
    <row r="2750" spans="1:19">
      <c r="A2750" s="294"/>
      <c r="B2750" s="161"/>
      <c r="C2750" s="162"/>
      <c r="D2750" s="162"/>
      <c r="E2750" s="162"/>
      <c r="F2750" s="162"/>
      <c r="G2750" s="163"/>
      <c r="I2750" s="295" t="s">
        <v>788</v>
      </c>
      <c r="J2750" s="295"/>
      <c r="K2750" s="170"/>
      <c r="L2750" s="171"/>
      <c r="M2750" s="50"/>
      <c r="N2750" s="171"/>
      <c r="O2750" s="202"/>
      <c r="P2750" s="202"/>
      <c r="Q2750" s="202"/>
      <c r="R2750" s="162"/>
      <c r="S2750" s="162"/>
    </row>
    <row r="2751" spans="1:19">
      <c r="A2751" s="294"/>
      <c r="B2751" s="164"/>
      <c r="C2751" s="165"/>
      <c r="D2751" s="165"/>
      <c r="E2751" s="165"/>
      <c r="F2751" s="165"/>
      <c r="G2751" s="166"/>
      <c r="I2751" s="295" t="s">
        <v>789</v>
      </c>
      <c r="J2751" s="295"/>
      <c r="K2751" s="170"/>
      <c r="L2751" s="171"/>
      <c r="M2751" s="50"/>
      <c r="N2751" s="171"/>
      <c r="O2751" s="202"/>
      <c r="P2751" s="202"/>
      <c r="Q2751" s="202"/>
      <c r="R2751" s="162"/>
      <c r="S2751" s="162"/>
    </row>
    <row r="2752" spans="1:19">
      <c r="A2752" s="63"/>
      <c r="B2752" s="63"/>
      <c r="C2752" s="63"/>
      <c r="D2752" s="63"/>
      <c r="E2752" s="63"/>
      <c r="F2752" s="63"/>
      <c r="G2752" s="63"/>
      <c r="I2752" s="295" t="s">
        <v>790</v>
      </c>
      <c r="J2752" s="295"/>
      <c r="K2752" s="170"/>
      <c r="L2752" s="171"/>
      <c r="M2752" s="50"/>
      <c r="N2752" s="171"/>
      <c r="O2752" s="202"/>
      <c r="P2752" s="202"/>
      <c r="Q2752" s="202"/>
      <c r="R2752" s="162"/>
      <c r="S2752" s="162"/>
    </row>
    <row r="2753" spans="1:19">
      <c r="A2753" s="63"/>
      <c r="B2753" s="63"/>
      <c r="C2753" s="63"/>
      <c r="D2753" s="63"/>
      <c r="E2753" s="63"/>
      <c r="F2753" s="63"/>
      <c r="G2753" s="63"/>
      <c r="I2753" s="295" t="s">
        <v>791</v>
      </c>
      <c r="J2753" s="295"/>
      <c r="K2753" s="170"/>
      <c r="L2753" s="171"/>
      <c r="M2753" s="50"/>
      <c r="N2753" s="171"/>
      <c r="O2753" s="202"/>
      <c r="P2753" s="202"/>
      <c r="Q2753" s="202"/>
      <c r="R2753" s="162"/>
      <c r="S2753" s="162"/>
    </row>
    <row r="2754" spans="1:19">
      <c r="A2754" s="63"/>
      <c r="B2754" s="63"/>
      <c r="C2754" s="63"/>
      <c r="D2754" s="63"/>
      <c r="E2754" s="63"/>
      <c r="F2754" s="63"/>
      <c r="G2754" s="63"/>
      <c r="I2754" s="296" t="s">
        <v>792</v>
      </c>
      <c r="J2754" s="296"/>
      <c r="K2754" s="170"/>
      <c r="L2754" s="171"/>
      <c r="M2754" s="50"/>
      <c r="N2754" s="171"/>
      <c r="O2754" s="202"/>
      <c r="P2754" s="202"/>
      <c r="Q2754" s="202"/>
      <c r="R2754" s="162"/>
      <c r="S2754" s="162"/>
    </row>
    <row r="2755" spans="1:19" ht="17.25" thickBot="1">
      <c r="A2755" s="63"/>
      <c r="B2755" s="63"/>
      <c r="C2755" s="63"/>
      <c r="D2755" s="63"/>
      <c r="E2755" s="63"/>
      <c r="F2755" s="63"/>
      <c r="G2755" s="63"/>
      <c r="I2755" s="297" t="s">
        <v>793</v>
      </c>
      <c r="J2755" s="297"/>
      <c r="K2755" s="172">
        <f t="shared" ref="K2755:S2755" si="1289">SUM(K2744:K2754)</f>
        <v>0</v>
      </c>
      <c r="L2755" s="205">
        <f t="shared" si="1289"/>
        <v>0</v>
      </c>
      <c r="M2755" s="205">
        <f t="shared" si="1289"/>
        <v>0</v>
      </c>
      <c r="N2755" s="205">
        <f t="shared" si="1289"/>
        <v>0</v>
      </c>
      <c r="O2755" s="174">
        <f t="shared" si="1289"/>
        <v>0</v>
      </c>
      <c r="P2755" s="174">
        <f t="shared" si="1289"/>
        <v>0</v>
      </c>
      <c r="Q2755" s="174">
        <f t="shared" si="1289"/>
        <v>0</v>
      </c>
      <c r="R2755" s="175">
        <f t="shared" si="1289"/>
        <v>0</v>
      </c>
      <c r="S2755" s="175">
        <f t="shared" si="1289"/>
        <v>0</v>
      </c>
    </row>
    <row r="2756" spans="1:19" ht="17.25" thickBot="1">
      <c r="A2756" s="63"/>
      <c r="B2756" s="63"/>
      <c r="C2756" s="63"/>
      <c r="D2756" s="63"/>
      <c r="E2756" s="63"/>
      <c r="F2756" s="63"/>
      <c r="G2756" s="63"/>
      <c r="I2756" s="298" t="s">
        <v>794</v>
      </c>
      <c r="J2756" s="299"/>
      <c r="K2756" s="176">
        <f t="shared" ref="K2756" si="1290">S2735-K2755</f>
        <v>0</v>
      </c>
      <c r="L2756" s="177">
        <f t="shared" ref="L2756" si="1291">K2755-L2755</f>
        <v>0</v>
      </c>
      <c r="M2756" s="177">
        <f t="shared" ref="M2756" si="1292">K2755-M2755</f>
        <v>0</v>
      </c>
      <c r="N2756" s="177">
        <f t="shared" ref="N2756" si="1293">K2755-N2755</f>
        <v>0</v>
      </c>
      <c r="O2756" s="178">
        <f t="shared" ref="O2756" si="1294">K2755-O2755</f>
        <v>0</v>
      </c>
      <c r="P2756" s="178">
        <f t="shared" ref="P2756" si="1295">K2755-P2755</f>
        <v>0</v>
      </c>
      <c r="Q2756" s="178">
        <f t="shared" ref="Q2756" si="1296">K2755-Q2755</f>
        <v>0</v>
      </c>
      <c r="R2756" s="179">
        <f t="shared" ref="R2756" si="1297">K2755-R2755</f>
        <v>0</v>
      </c>
      <c r="S2756" s="180">
        <f t="shared" ref="S2756" si="1298">L2755-S2755</f>
        <v>0</v>
      </c>
    </row>
    <row r="2757" spans="1:19">
      <c r="A2757" s="63"/>
      <c r="B2757" s="63"/>
      <c r="C2757" s="63"/>
      <c r="D2757" s="63"/>
      <c r="E2757" s="63"/>
      <c r="F2757" s="63"/>
      <c r="G2757" s="63"/>
      <c r="I2757" s="300" t="s">
        <v>795</v>
      </c>
      <c r="J2757" s="301"/>
      <c r="K2757" s="181"/>
      <c r="L2757" s="182"/>
      <c r="M2757" s="182"/>
      <c r="N2757" s="182"/>
      <c r="O2757" s="183"/>
      <c r="P2757" s="182"/>
      <c r="Q2757" s="182"/>
      <c r="R2757" s="182"/>
      <c r="S2757" s="182"/>
    </row>
    <row r="2758" spans="1:19">
      <c r="A2758" s="63"/>
      <c r="B2758" s="63"/>
      <c r="C2758" s="63"/>
      <c r="D2758" s="63"/>
      <c r="E2758" s="63"/>
      <c r="F2758" s="63"/>
      <c r="G2758" s="63"/>
      <c r="I2758" s="302" t="s">
        <v>796</v>
      </c>
      <c r="J2758" s="302"/>
      <c r="K2758" s="184"/>
      <c r="L2758" s="203"/>
      <c r="M2758" s="203"/>
      <c r="N2758" s="203"/>
      <c r="O2758" s="203"/>
      <c r="P2758" s="203"/>
      <c r="Q2758" s="203"/>
      <c r="R2758" s="203"/>
      <c r="S2758" s="203"/>
    </row>
    <row r="2759" spans="1:19">
      <c r="A2759" s="63"/>
      <c r="B2759" s="63"/>
      <c r="C2759" s="63"/>
      <c r="D2759" s="63"/>
      <c r="E2759" s="63"/>
      <c r="F2759" s="63"/>
      <c r="G2759" s="63"/>
      <c r="I2759" s="302" t="s">
        <v>797</v>
      </c>
      <c r="J2759" s="302"/>
      <c r="K2759" s="184"/>
      <c r="L2759" s="203"/>
      <c r="M2759" s="203"/>
      <c r="N2759" s="203"/>
      <c r="O2759" s="203"/>
      <c r="P2759" s="203"/>
      <c r="Q2759" s="203"/>
      <c r="R2759" s="203"/>
      <c r="S2759" s="203"/>
    </row>
    <row r="2760" spans="1:19">
      <c r="A2760" s="63"/>
      <c r="B2760" s="63"/>
      <c r="C2760" s="63"/>
      <c r="D2760" s="63"/>
      <c r="E2760" s="63"/>
      <c r="F2760" s="63"/>
      <c r="G2760" s="63"/>
      <c r="I2760" s="303" t="s">
        <v>798</v>
      </c>
      <c r="J2760" s="303"/>
      <c r="K2760" s="184"/>
      <c r="L2760" s="185"/>
      <c r="M2760" s="185"/>
      <c r="N2760" s="185"/>
      <c r="O2760" s="185"/>
      <c r="P2760" s="204"/>
      <c r="Q2760" s="204"/>
      <c r="R2760" s="204"/>
      <c r="S2760" s="204"/>
    </row>
    <row r="2761" spans="1:19">
      <c r="A2761" s="3" t="s">
        <v>801</v>
      </c>
      <c r="B2761" s="201" t="s">
        <v>802</v>
      </c>
      <c r="C2761" s="201" t="s">
        <v>803</v>
      </c>
      <c r="D2761" s="201" t="s">
        <v>119</v>
      </c>
      <c r="E2761" s="201" t="s">
        <v>148</v>
      </c>
      <c r="F2761" s="201" t="s">
        <v>806</v>
      </c>
      <c r="G2761" s="201" t="s">
        <v>81</v>
      </c>
      <c r="I2761" s="187"/>
      <c r="J2761" s="187"/>
      <c r="K2761" s="187"/>
      <c r="L2761" s="188"/>
      <c r="M2761" s="188"/>
      <c r="N2761" s="188"/>
      <c r="O2761" s="188"/>
      <c r="P2761" s="187"/>
      <c r="Q2761" s="187"/>
      <c r="R2761" s="187"/>
      <c r="S2761" s="187"/>
    </row>
    <row r="2762" spans="1:19">
      <c r="A2762" s="293">
        <v>44177</v>
      </c>
      <c r="B2762" s="161"/>
      <c r="C2762" s="162"/>
      <c r="D2762" s="162"/>
      <c r="E2762" s="162"/>
      <c r="F2762" s="162"/>
      <c r="G2762" s="163"/>
      <c r="I2762" s="191"/>
      <c r="J2762" s="190"/>
      <c r="K2762" s="190"/>
      <c r="L2762" s="190"/>
      <c r="M2762" s="190">
        <v>44177</v>
      </c>
      <c r="N2762" s="189" t="s">
        <v>864</v>
      </c>
      <c r="O2762" s="189"/>
      <c r="P2762" s="189"/>
      <c r="Q2762" s="189"/>
      <c r="R2762" s="189"/>
      <c r="S2762" s="189"/>
    </row>
    <row r="2763" spans="1:19">
      <c r="A2763" s="294"/>
      <c r="B2763" s="164"/>
      <c r="C2763" s="165"/>
      <c r="D2763" s="165"/>
      <c r="E2763" s="165"/>
      <c r="F2763" s="165"/>
      <c r="G2763" s="166"/>
      <c r="I2763" s="304"/>
      <c r="J2763" s="304"/>
      <c r="K2763" s="167"/>
      <c r="L2763" s="168"/>
      <c r="M2763" s="168"/>
      <c r="N2763" s="168"/>
      <c r="O2763" s="169"/>
      <c r="P2763" s="169"/>
      <c r="Q2763" s="169"/>
      <c r="R2763" s="161"/>
      <c r="S2763" s="161"/>
    </row>
    <row r="2764" spans="1:19">
      <c r="A2764" s="294"/>
      <c r="B2764" s="161"/>
      <c r="C2764" s="162"/>
      <c r="D2764" s="162"/>
      <c r="E2764" s="162"/>
      <c r="F2764" s="162"/>
      <c r="G2764" s="163"/>
      <c r="I2764" s="295" t="s">
        <v>782</v>
      </c>
      <c r="J2764" s="296"/>
      <c r="K2764" s="170"/>
      <c r="L2764" s="171"/>
      <c r="M2764" s="50"/>
      <c r="N2764" s="171"/>
      <c r="O2764" s="202"/>
      <c r="P2764" s="202"/>
      <c r="Q2764" s="202"/>
      <c r="R2764" s="162"/>
      <c r="S2764" s="162"/>
    </row>
    <row r="2765" spans="1:19">
      <c r="A2765" s="294"/>
      <c r="B2765" s="164"/>
      <c r="C2765" s="165"/>
      <c r="D2765" s="165"/>
      <c r="E2765" s="165"/>
      <c r="F2765" s="165"/>
      <c r="G2765" s="166"/>
      <c r="I2765" s="295" t="s">
        <v>783</v>
      </c>
      <c r="J2765" s="295"/>
      <c r="K2765" s="170"/>
      <c r="L2765" s="171"/>
      <c r="M2765" s="50"/>
      <c r="N2765" s="171"/>
      <c r="O2765" s="202"/>
      <c r="P2765" s="202"/>
      <c r="Q2765" s="202"/>
      <c r="R2765" s="162"/>
      <c r="S2765" s="162"/>
    </row>
    <row r="2766" spans="1:19">
      <c r="A2766" s="294"/>
      <c r="B2766" s="161"/>
      <c r="C2766" s="162"/>
      <c r="D2766" s="162"/>
      <c r="E2766" s="162"/>
      <c r="F2766" s="162"/>
      <c r="G2766" s="163"/>
      <c r="I2766" s="295" t="s">
        <v>784</v>
      </c>
      <c r="J2766" s="295"/>
      <c r="K2766" s="170"/>
      <c r="L2766" s="171"/>
      <c r="M2766" s="50"/>
      <c r="N2766" s="171"/>
      <c r="O2766" s="202"/>
      <c r="P2766" s="202"/>
      <c r="Q2766" s="202"/>
      <c r="R2766" s="162"/>
      <c r="S2766" s="162"/>
    </row>
    <row r="2767" spans="1:19">
      <c r="A2767" s="294"/>
      <c r="B2767" s="164"/>
      <c r="C2767" s="165"/>
      <c r="D2767" s="165"/>
      <c r="E2767" s="165"/>
      <c r="F2767" s="165"/>
      <c r="G2767" s="166"/>
      <c r="I2767" s="295" t="s">
        <v>785</v>
      </c>
      <c r="J2767" s="295"/>
      <c r="K2767" s="170"/>
      <c r="L2767" s="171"/>
      <c r="M2767" s="50"/>
      <c r="N2767" s="171"/>
      <c r="O2767" s="202"/>
      <c r="P2767" s="202"/>
      <c r="Q2767" s="202"/>
      <c r="R2767" s="162"/>
      <c r="S2767" s="162"/>
    </row>
    <row r="2768" spans="1:19">
      <c r="A2768" s="294"/>
      <c r="B2768" s="161"/>
      <c r="C2768" s="162"/>
      <c r="D2768" s="162"/>
      <c r="E2768" s="162"/>
      <c r="F2768" s="162"/>
      <c r="G2768" s="163"/>
      <c r="I2768" s="295" t="s">
        <v>786</v>
      </c>
      <c r="J2768" s="295"/>
      <c r="K2768" s="170"/>
      <c r="L2768" s="171"/>
      <c r="M2768" s="50"/>
      <c r="N2768" s="171"/>
      <c r="O2768" s="202"/>
      <c r="P2768" s="202"/>
      <c r="Q2768" s="202"/>
      <c r="R2768" s="162"/>
      <c r="S2768" s="162"/>
    </row>
    <row r="2769" spans="1:19">
      <c r="A2769" s="294"/>
      <c r="B2769" s="164"/>
      <c r="C2769" s="165"/>
      <c r="D2769" s="165"/>
      <c r="E2769" s="165"/>
      <c r="F2769" s="165"/>
      <c r="G2769" s="166"/>
      <c r="I2769" s="295" t="s">
        <v>787</v>
      </c>
      <c r="J2769" s="295"/>
      <c r="K2769" s="170"/>
      <c r="L2769" s="171"/>
      <c r="M2769" s="50"/>
      <c r="N2769" s="171"/>
      <c r="O2769" s="202"/>
      <c r="P2769" s="202"/>
      <c r="Q2769" s="202"/>
      <c r="R2769" s="162"/>
      <c r="S2769" s="162"/>
    </row>
    <row r="2770" spans="1:19">
      <c r="A2770" s="294"/>
      <c r="B2770" s="161"/>
      <c r="C2770" s="162"/>
      <c r="D2770" s="162"/>
      <c r="E2770" s="162"/>
      <c r="F2770" s="162"/>
      <c r="G2770" s="163"/>
      <c r="I2770" s="295" t="s">
        <v>788</v>
      </c>
      <c r="J2770" s="295"/>
      <c r="K2770" s="170"/>
      <c r="L2770" s="171"/>
      <c r="M2770" s="50"/>
      <c r="N2770" s="171"/>
      <c r="O2770" s="202"/>
      <c r="P2770" s="202"/>
      <c r="Q2770" s="202"/>
      <c r="R2770" s="162"/>
      <c r="S2770" s="162"/>
    </row>
    <row r="2771" spans="1:19">
      <c r="A2771" s="294"/>
      <c r="B2771" s="164"/>
      <c r="C2771" s="165"/>
      <c r="D2771" s="165"/>
      <c r="E2771" s="165"/>
      <c r="F2771" s="165"/>
      <c r="G2771" s="166"/>
      <c r="I2771" s="295" t="s">
        <v>789</v>
      </c>
      <c r="J2771" s="295"/>
      <c r="K2771" s="170"/>
      <c r="L2771" s="171"/>
      <c r="M2771" s="50"/>
      <c r="N2771" s="171"/>
      <c r="O2771" s="202"/>
      <c r="P2771" s="202"/>
      <c r="Q2771" s="202"/>
      <c r="R2771" s="162"/>
      <c r="S2771" s="162"/>
    </row>
    <row r="2772" spans="1:19">
      <c r="A2772" s="63"/>
      <c r="B2772" s="63"/>
      <c r="C2772" s="63"/>
      <c r="D2772" s="63"/>
      <c r="E2772" s="63"/>
      <c r="F2772" s="63"/>
      <c r="G2772" s="63"/>
      <c r="I2772" s="295" t="s">
        <v>790</v>
      </c>
      <c r="J2772" s="295"/>
      <c r="K2772" s="170"/>
      <c r="L2772" s="171"/>
      <c r="M2772" s="50"/>
      <c r="N2772" s="171"/>
      <c r="O2772" s="202"/>
      <c r="P2772" s="202"/>
      <c r="Q2772" s="202"/>
      <c r="R2772" s="162"/>
      <c r="S2772" s="162"/>
    </row>
    <row r="2773" spans="1:19">
      <c r="A2773" s="63"/>
      <c r="B2773" s="63"/>
      <c r="C2773" s="63"/>
      <c r="D2773" s="63"/>
      <c r="E2773" s="63"/>
      <c r="F2773" s="63"/>
      <c r="G2773" s="63"/>
      <c r="I2773" s="295" t="s">
        <v>791</v>
      </c>
      <c r="J2773" s="295"/>
      <c r="K2773" s="170"/>
      <c r="L2773" s="171"/>
      <c r="M2773" s="50"/>
      <c r="N2773" s="171"/>
      <c r="O2773" s="202"/>
      <c r="P2773" s="202"/>
      <c r="Q2773" s="202"/>
      <c r="R2773" s="162"/>
      <c r="S2773" s="162"/>
    </row>
    <row r="2774" spans="1:19">
      <c r="A2774" s="63"/>
      <c r="B2774" s="63"/>
      <c r="C2774" s="63"/>
      <c r="D2774" s="63"/>
      <c r="E2774" s="63"/>
      <c r="F2774" s="63"/>
      <c r="G2774" s="63"/>
      <c r="I2774" s="296" t="s">
        <v>792</v>
      </c>
      <c r="J2774" s="296"/>
      <c r="K2774" s="170"/>
      <c r="L2774" s="171"/>
      <c r="M2774" s="50"/>
      <c r="N2774" s="171"/>
      <c r="O2774" s="202"/>
      <c r="P2774" s="202"/>
      <c r="Q2774" s="202"/>
      <c r="R2774" s="162"/>
      <c r="S2774" s="162"/>
    </row>
    <row r="2775" spans="1:19" ht="17.25" thickBot="1">
      <c r="A2775" s="63"/>
      <c r="B2775" s="63"/>
      <c r="C2775" s="63"/>
      <c r="D2775" s="63"/>
      <c r="E2775" s="63"/>
      <c r="F2775" s="63"/>
      <c r="G2775" s="63"/>
      <c r="I2775" s="297" t="s">
        <v>793</v>
      </c>
      <c r="J2775" s="297"/>
      <c r="K2775" s="172">
        <f t="shared" ref="K2775:S2775" si="1299">SUM(K2764:K2774)</f>
        <v>0</v>
      </c>
      <c r="L2775" s="205">
        <f t="shared" si="1299"/>
        <v>0</v>
      </c>
      <c r="M2775" s="205">
        <f t="shared" si="1299"/>
        <v>0</v>
      </c>
      <c r="N2775" s="205">
        <f t="shared" si="1299"/>
        <v>0</v>
      </c>
      <c r="O2775" s="174">
        <f t="shared" si="1299"/>
        <v>0</v>
      </c>
      <c r="P2775" s="174">
        <f t="shared" si="1299"/>
        <v>0</v>
      </c>
      <c r="Q2775" s="174">
        <f t="shared" si="1299"/>
        <v>0</v>
      </c>
      <c r="R2775" s="175">
        <f t="shared" si="1299"/>
        <v>0</v>
      </c>
      <c r="S2775" s="175">
        <f t="shared" si="1299"/>
        <v>0</v>
      </c>
    </row>
    <row r="2776" spans="1:19" ht="17.25" thickBot="1">
      <c r="A2776" s="63"/>
      <c r="B2776" s="63"/>
      <c r="C2776" s="63"/>
      <c r="D2776" s="63"/>
      <c r="E2776" s="63"/>
      <c r="F2776" s="63"/>
      <c r="G2776" s="63"/>
      <c r="I2776" s="298" t="s">
        <v>794</v>
      </c>
      <c r="J2776" s="299"/>
      <c r="K2776" s="176">
        <f t="shared" ref="K2776" si="1300">S2755-K2775</f>
        <v>0</v>
      </c>
      <c r="L2776" s="177">
        <f t="shared" ref="L2776" si="1301">K2775-L2775</f>
        <v>0</v>
      </c>
      <c r="M2776" s="177">
        <f t="shared" ref="M2776" si="1302">K2775-M2775</f>
        <v>0</v>
      </c>
      <c r="N2776" s="177">
        <f t="shared" ref="N2776" si="1303">K2775-N2775</f>
        <v>0</v>
      </c>
      <c r="O2776" s="178">
        <f t="shared" ref="O2776" si="1304">K2775-O2775</f>
        <v>0</v>
      </c>
      <c r="P2776" s="178">
        <f t="shared" ref="P2776" si="1305">K2775-P2775</f>
        <v>0</v>
      </c>
      <c r="Q2776" s="178">
        <f t="shared" ref="Q2776" si="1306">K2775-Q2775</f>
        <v>0</v>
      </c>
      <c r="R2776" s="179">
        <f t="shared" ref="R2776" si="1307">K2775-R2775</f>
        <v>0</v>
      </c>
      <c r="S2776" s="180">
        <f t="shared" ref="S2776" si="1308">L2775-S2775</f>
        <v>0</v>
      </c>
    </row>
    <row r="2777" spans="1:19">
      <c r="A2777" s="63"/>
      <c r="B2777" s="63"/>
      <c r="C2777" s="63"/>
      <c r="D2777" s="63"/>
      <c r="E2777" s="63"/>
      <c r="F2777" s="63"/>
      <c r="G2777" s="63"/>
      <c r="I2777" s="300" t="s">
        <v>795</v>
      </c>
      <c r="J2777" s="301"/>
      <c r="K2777" s="181"/>
      <c r="L2777" s="182"/>
      <c r="M2777" s="182"/>
      <c r="N2777" s="182"/>
      <c r="O2777" s="183"/>
      <c r="P2777" s="182"/>
      <c r="Q2777" s="182"/>
      <c r="R2777" s="182"/>
      <c r="S2777" s="182"/>
    </row>
    <row r="2778" spans="1:19">
      <c r="A2778" s="63"/>
      <c r="B2778" s="63"/>
      <c r="C2778" s="63"/>
      <c r="D2778" s="63"/>
      <c r="E2778" s="63"/>
      <c r="F2778" s="63"/>
      <c r="G2778" s="63"/>
      <c r="I2778" s="302" t="s">
        <v>796</v>
      </c>
      <c r="J2778" s="302"/>
      <c r="K2778" s="184"/>
      <c r="L2778" s="203"/>
      <c r="M2778" s="203"/>
      <c r="N2778" s="203"/>
      <c r="O2778" s="203"/>
      <c r="P2778" s="203"/>
      <c r="Q2778" s="203"/>
      <c r="R2778" s="203"/>
      <c r="S2778" s="203"/>
    </row>
    <row r="2779" spans="1:19">
      <c r="A2779" s="63"/>
      <c r="B2779" s="63"/>
      <c r="C2779" s="63"/>
      <c r="D2779" s="63"/>
      <c r="E2779" s="63"/>
      <c r="F2779" s="63"/>
      <c r="G2779" s="63"/>
      <c r="I2779" s="302" t="s">
        <v>797</v>
      </c>
      <c r="J2779" s="302"/>
      <c r="K2779" s="184"/>
      <c r="L2779" s="203"/>
      <c r="M2779" s="203"/>
      <c r="N2779" s="203"/>
      <c r="O2779" s="203"/>
      <c r="P2779" s="203"/>
      <c r="Q2779" s="203"/>
      <c r="R2779" s="203"/>
      <c r="S2779" s="203"/>
    </row>
    <row r="2780" spans="1:19">
      <c r="A2780" s="63"/>
      <c r="B2780" s="63"/>
      <c r="C2780" s="63"/>
      <c r="D2780" s="63"/>
      <c r="E2780" s="63"/>
      <c r="F2780" s="63"/>
      <c r="G2780" s="63"/>
      <c r="I2780" s="303" t="s">
        <v>798</v>
      </c>
      <c r="J2780" s="303"/>
      <c r="K2780" s="184"/>
      <c r="L2780" s="185"/>
      <c r="M2780" s="185"/>
      <c r="N2780" s="185"/>
      <c r="O2780" s="185"/>
      <c r="P2780" s="204"/>
      <c r="Q2780" s="204"/>
      <c r="R2780" s="204"/>
      <c r="S2780" s="204"/>
    </row>
    <row r="2781" spans="1:19">
      <c r="A2781" s="3" t="s">
        <v>801</v>
      </c>
      <c r="B2781" s="201" t="s">
        <v>802</v>
      </c>
      <c r="C2781" s="201" t="s">
        <v>803</v>
      </c>
      <c r="D2781" s="201" t="s">
        <v>119</v>
      </c>
      <c r="E2781" s="201" t="s">
        <v>148</v>
      </c>
      <c r="F2781" s="201" t="s">
        <v>806</v>
      </c>
      <c r="G2781" s="201" t="s">
        <v>81</v>
      </c>
      <c r="I2781" s="187"/>
      <c r="J2781" s="187"/>
      <c r="K2781" s="187"/>
      <c r="L2781" s="188"/>
      <c r="M2781" s="188"/>
      <c r="N2781" s="188"/>
      <c r="O2781" s="188"/>
      <c r="P2781" s="187"/>
      <c r="Q2781" s="187"/>
      <c r="R2781" s="187"/>
      <c r="S2781" s="187"/>
    </row>
    <row r="2782" spans="1:19">
      <c r="A2782" s="293">
        <v>44178</v>
      </c>
      <c r="B2782" s="161"/>
      <c r="C2782" s="162"/>
      <c r="D2782" s="162"/>
      <c r="E2782" s="162"/>
      <c r="F2782" s="162"/>
      <c r="G2782" s="163"/>
      <c r="I2782" s="191"/>
      <c r="J2782" s="190"/>
      <c r="K2782" s="190"/>
      <c r="L2782" s="190"/>
      <c r="M2782" s="190">
        <v>44178</v>
      </c>
      <c r="N2782" s="189" t="s">
        <v>864</v>
      </c>
      <c r="O2782" s="189"/>
      <c r="P2782" s="189"/>
      <c r="Q2782" s="189"/>
      <c r="R2782" s="189"/>
      <c r="S2782" s="189"/>
    </row>
    <row r="2783" spans="1:19">
      <c r="A2783" s="294"/>
      <c r="B2783" s="164"/>
      <c r="C2783" s="165"/>
      <c r="D2783" s="165"/>
      <c r="E2783" s="165"/>
      <c r="F2783" s="165"/>
      <c r="G2783" s="166"/>
      <c r="I2783" s="304"/>
      <c r="J2783" s="304"/>
      <c r="K2783" s="167"/>
      <c r="L2783" s="168"/>
      <c r="M2783" s="168"/>
      <c r="N2783" s="168"/>
      <c r="O2783" s="169"/>
      <c r="P2783" s="169"/>
      <c r="Q2783" s="169"/>
      <c r="R2783" s="161"/>
      <c r="S2783" s="161"/>
    </row>
    <row r="2784" spans="1:19">
      <c r="A2784" s="294"/>
      <c r="B2784" s="161"/>
      <c r="C2784" s="162"/>
      <c r="D2784" s="162"/>
      <c r="E2784" s="162"/>
      <c r="F2784" s="162"/>
      <c r="G2784" s="163"/>
      <c r="I2784" s="295" t="s">
        <v>782</v>
      </c>
      <c r="J2784" s="296"/>
      <c r="K2784" s="170"/>
      <c r="L2784" s="171"/>
      <c r="M2784" s="50"/>
      <c r="N2784" s="171"/>
      <c r="O2784" s="202"/>
      <c r="P2784" s="202"/>
      <c r="Q2784" s="202"/>
      <c r="R2784" s="162"/>
      <c r="S2784" s="162"/>
    </row>
    <row r="2785" spans="1:19">
      <c r="A2785" s="294"/>
      <c r="B2785" s="164"/>
      <c r="C2785" s="165"/>
      <c r="D2785" s="165"/>
      <c r="E2785" s="165"/>
      <c r="F2785" s="165"/>
      <c r="G2785" s="166"/>
      <c r="I2785" s="295" t="s">
        <v>783</v>
      </c>
      <c r="J2785" s="295"/>
      <c r="K2785" s="170"/>
      <c r="L2785" s="171"/>
      <c r="M2785" s="50"/>
      <c r="N2785" s="171"/>
      <c r="O2785" s="202"/>
      <c r="P2785" s="202"/>
      <c r="Q2785" s="202"/>
      <c r="R2785" s="162"/>
      <c r="S2785" s="162"/>
    </row>
    <row r="2786" spans="1:19">
      <c r="A2786" s="294"/>
      <c r="B2786" s="161"/>
      <c r="C2786" s="162"/>
      <c r="D2786" s="162"/>
      <c r="E2786" s="162"/>
      <c r="F2786" s="162"/>
      <c r="G2786" s="163"/>
      <c r="I2786" s="295" t="s">
        <v>784</v>
      </c>
      <c r="J2786" s="295"/>
      <c r="K2786" s="170"/>
      <c r="L2786" s="171"/>
      <c r="M2786" s="50"/>
      <c r="N2786" s="171"/>
      <c r="O2786" s="202"/>
      <c r="P2786" s="202"/>
      <c r="Q2786" s="202"/>
      <c r="R2786" s="162"/>
      <c r="S2786" s="162"/>
    </row>
    <row r="2787" spans="1:19">
      <c r="A2787" s="294"/>
      <c r="B2787" s="164"/>
      <c r="C2787" s="165"/>
      <c r="D2787" s="165"/>
      <c r="E2787" s="165"/>
      <c r="F2787" s="165"/>
      <c r="G2787" s="166"/>
      <c r="I2787" s="295" t="s">
        <v>785</v>
      </c>
      <c r="J2787" s="295"/>
      <c r="K2787" s="170"/>
      <c r="L2787" s="171"/>
      <c r="M2787" s="50"/>
      <c r="N2787" s="171"/>
      <c r="O2787" s="202"/>
      <c r="P2787" s="202"/>
      <c r="Q2787" s="202"/>
      <c r="R2787" s="162"/>
      <c r="S2787" s="162"/>
    </row>
    <row r="2788" spans="1:19">
      <c r="A2788" s="294"/>
      <c r="B2788" s="161"/>
      <c r="C2788" s="162"/>
      <c r="D2788" s="162"/>
      <c r="E2788" s="162"/>
      <c r="F2788" s="162"/>
      <c r="G2788" s="163"/>
      <c r="I2788" s="295" t="s">
        <v>786</v>
      </c>
      <c r="J2788" s="295"/>
      <c r="K2788" s="170"/>
      <c r="L2788" s="171"/>
      <c r="M2788" s="50"/>
      <c r="N2788" s="171"/>
      <c r="O2788" s="202"/>
      <c r="P2788" s="202"/>
      <c r="Q2788" s="202"/>
      <c r="R2788" s="162"/>
      <c r="S2788" s="162"/>
    </row>
    <row r="2789" spans="1:19">
      <c r="A2789" s="294"/>
      <c r="B2789" s="164"/>
      <c r="C2789" s="165"/>
      <c r="D2789" s="165"/>
      <c r="E2789" s="165"/>
      <c r="F2789" s="165"/>
      <c r="G2789" s="166"/>
      <c r="I2789" s="295" t="s">
        <v>787</v>
      </c>
      <c r="J2789" s="295"/>
      <c r="K2789" s="170"/>
      <c r="L2789" s="171"/>
      <c r="M2789" s="50"/>
      <c r="N2789" s="171"/>
      <c r="O2789" s="202"/>
      <c r="P2789" s="202"/>
      <c r="Q2789" s="202"/>
      <c r="R2789" s="162"/>
      <c r="S2789" s="162"/>
    </row>
    <row r="2790" spans="1:19">
      <c r="A2790" s="294"/>
      <c r="B2790" s="161"/>
      <c r="C2790" s="162"/>
      <c r="D2790" s="162"/>
      <c r="E2790" s="162"/>
      <c r="F2790" s="162"/>
      <c r="G2790" s="163"/>
      <c r="I2790" s="295" t="s">
        <v>788</v>
      </c>
      <c r="J2790" s="295"/>
      <c r="K2790" s="170"/>
      <c r="L2790" s="171"/>
      <c r="M2790" s="50"/>
      <c r="N2790" s="171"/>
      <c r="O2790" s="202"/>
      <c r="P2790" s="202"/>
      <c r="Q2790" s="202"/>
      <c r="R2790" s="162"/>
      <c r="S2790" s="162"/>
    </row>
    <row r="2791" spans="1:19">
      <c r="A2791" s="294"/>
      <c r="B2791" s="164"/>
      <c r="C2791" s="165"/>
      <c r="D2791" s="165"/>
      <c r="E2791" s="165"/>
      <c r="F2791" s="165"/>
      <c r="G2791" s="166"/>
      <c r="I2791" s="295" t="s">
        <v>789</v>
      </c>
      <c r="J2791" s="295"/>
      <c r="K2791" s="170"/>
      <c r="L2791" s="171"/>
      <c r="M2791" s="50"/>
      <c r="N2791" s="171"/>
      <c r="O2791" s="202"/>
      <c r="P2791" s="202"/>
      <c r="Q2791" s="202"/>
      <c r="R2791" s="162"/>
      <c r="S2791" s="162"/>
    </row>
    <row r="2792" spans="1:19">
      <c r="A2792" s="63"/>
      <c r="B2792" s="63"/>
      <c r="C2792" s="63"/>
      <c r="D2792" s="63"/>
      <c r="E2792" s="63"/>
      <c r="F2792" s="63"/>
      <c r="G2792" s="63"/>
      <c r="I2792" s="295" t="s">
        <v>790</v>
      </c>
      <c r="J2792" s="295"/>
      <c r="K2792" s="170"/>
      <c r="L2792" s="171"/>
      <c r="M2792" s="50"/>
      <c r="N2792" s="171"/>
      <c r="O2792" s="202"/>
      <c r="P2792" s="202"/>
      <c r="Q2792" s="202"/>
      <c r="R2792" s="162"/>
      <c r="S2792" s="162"/>
    </row>
    <row r="2793" spans="1:19">
      <c r="A2793" s="63"/>
      <c r="B2793" s="63"/>
      <c r="C2793" s="63"/>
      <c r="D2793" s="63"/>
      <c r="E2793" s="63"/>
      <c r="F2793" s="63"/>
      <c r="G2793" s="63"/>
      <c r="I2793" s="295" t="s">
        <v>791</v>
      </c>
      <c r="J2793" s="295"/>
      <c r="K2793" s="170"/>
      <c r="L2793" s="171"/>
      <c r="M2793" s="50"/>
      <c r="N2793" s="171"/>
      <c r="O2793" s="202"/>
      <c r="P2793" s="202"/>
      <c r="Q2793" s="202"/>
      <c r="R2793" s="162"/>
      <c r="S2793" s="162"/>
    </row>
    <row r="2794" spans="1:19">
      <c r="A2794" s="63"/>
      <c r="B2794" s="63"/>
      <c r="C2794" s="63"/>
      <c r="D2794" s="63"/>
      <c r="E2794" s="63"/>
      <c r="F2794" s="63"/>
      <c r="G2794" s="63"/>
      <c r="I2794" s="296" t="s">
        <v>792</v>
      </c>
      <c r="J2794" s="296"/>
      <c r="K2794" s="170"/>
      <c r="L2794" s="171"/>
      <c r="M2794" s="50"/>
      <c r="N2794" s="171"/>
      <c r="O2794" s="202"/>
      <c r="P2794" s="202"/>
      <c r="Q2794" s="202"/>
      <c r="R2794" s="162"/>
      <c r="S2794" s="162"/>
    </row>
    <row r="2795" spans="1:19" ht="17.25" thickBot="1">
      <c r="A2795" s="63"/>
      <c r="B2795" s="63"/>
      <c r="C2795" s="63"/>
      <c r="D2795" s="63"/>
      <c r="E2795" s="63"/>
      <c r="F2795" s="63"/>
      <c r="G2795" s="63"/>
      <c r="I2795" s="297" t="s">
        <v>793</v>
      </c>
      <c r="J2795" s="297"/>
      <c r="K2795" s="172">
        <f t="shared" ref="K2795:S2795" si="1309">SUM(K2784:K2794)</f>
        <v>0</v>
      </c>
      <c r="L2795" s="205">
        <f t="shared" si="1309"/>
        <v>0</v>
      </c>
      <c r="M2795" s="205">
        <f t="shared" si="1309"/>
        <v>0</v>
      </c>
      <c r="N2795" s="205">
        <f t="shared" si="1309"/>
        <v>0</v>
      </c>
      <c r="O2795" s="174">
        <f t="shared" si="1309"/>
        <v>0</v>
      </c>
      <c r="P2795" s="174">
        <f t="shared" si="1309"/>
        <v>0</v>
      </c>
      <c r="Q2795" s="174">
        <f t="shared" si="1309"/>
        <v>0</v>
      </c>
      <c r="R2795" s="175">
        <f t="shared" si="1309"/>
        <v>0</v>
      </c>
      <c r="S2795" s="175">
        <f t="shared" si="1309"/>
        <v>0</v>
      </c>
    </row>
    <row r="2796" spans="1:19" ht="17.25" thickBot="1">
      <c r="A2796" s="63"/>
      <c r="B2796" s="63"/>
      <c r="C2796" s="63"/>
      <c r="D2796" s="63"/>
      <c r="E2796" s="63"/>
      <c r="F2796" s="63"/>
      <c r="G2796" s="63"/>
      <c r="I2796" s="298" t="s">
        <v>794</v>
      </c>
      <c r="J2796" s="299"/>
      <c r="K2796" s="176">
        <f t="shared" ref="K2796" si="1310">S2775-K2795</f>
        <v>0</v>
      </c>
      <c r="L2796" s="177">
        <f t="shared" ref="L2796" si="1311">K2795-L2795</f>
        <v>0</v>
      </c>
      <c r="M2796" s="177">
        <f t="shared" ref="M2796" si="1312">K2795-M2795</f>
        <v>0</v>
      </c>
      <c r="N2796" s="177">
        <f t="shared" ref="N2796" si="1313">K2795-N2795</f>
        <v>0</v>
      </c>
      <c r="O2796" s="178">
        <f t="shared" ref="O2796" si="1314">K2795-O2795</f>
        <v>0</v>
      </c>
      <c r="P2796" s="178">
        <f t="shared" ref="P2796" si="1315">K2795-P2795</f>
        <v>0</v>
      </c>
      <c r="Q2796" s="178">
        <f t="shared" ref="Q2796" si="1316">K2795-Q2795</f>
        <v>0</v>
      </c>
      <c r="R2796" s="179">
        <f t="shared" ref="R2796" si="1317">K2795-R2795</f>
        <v>0</v>
      </c>
      <c r="S2796" s="180">
        <f t="shared" ref="S2796" si="1318">L2795-S2795</f>
        <v>0</v>
      </c>
    </row>
    <row r="2797" spans="1:19">
      <c r="A2797" s="63"/>
      <c r="B2797" s="63"/>
      <c r="C2797" s="63"/>
      <c r="D2797" s="63"/>
      <c r="E2797" s="63"/>
      <c r="F2797" s="63"/>
      <c r="G2797" s="63"/>
      <c r="I2797" s="300" t="s">
        <v>795</v>
      </c>
      <c r="J2797" s="301"/>
      <c r="K2797" s="181"/>
      <c r="L2797" s="182"/>
      <c r="M2797" s="182"/>
      <c r="N2797" s="182"/>
      <c r="O2797" s="183"/>
      <c r="P2797" s="182"/>
      <c r="Q2797" s="182"/>
      <c r="R2797" s="182"/>
      <c r="S2797" s="182"/>
    </row>
    <row r="2798" spans="1:19">
      <c r="A2798" s="63"/>
      <c r="B2798" s="63"/>
      <c r="C2798" s="63"/>
      <c r="D2798" s="63"/>
      <c r="E2798" s="63"/>
      <c r="F2798" s="63"/>
      <c r="G2798" s="63"/>
      <c r="I2798" s="302" t="s">
        <v>796</v>
      </c>
      <c r="J2798" s="302"/>
      <c r="K2798" s="184"/>
      <c r="L2798" s="203"/>
      <c r="M2798" s="203"/>
      <c r="N2798" s="203"/>
      <c r="O2798" s="203"/>
      <c r="P2798" s="203"/>
      <c r="Q2798" s="203"/>
      <c r="R2798" s="203"/>
      <c r="S2798" s="203"/>
    </row>
    <row r="2799" spans="1:19">
      <c r="A2799" s="63"/>
      <c r="B2799" s="63"/>
      <c r="C2799" s="63"/>
      <c r="D2799" s="63"/>
      <c r="E2799" s="63"/>
      <c r="F2799" s="63"/>
      <c r="G2799" s="63"/>
      <c r="I2799" s="302" t="s">
        <v>797</v>
      </c>
      <c r="J2799" s="302"/>
      <c r="K2799" s="184"/>
      <c r="L2799" s="203"/>
      <c r="M2799" s="203"/>
      <c r="N2799" s="203"/>
      <c r="O2799" s="203"/>
      <c r="P2799" s="203"/>
      <c r="Q2799" s="203"/>
      <c r="R2799" s="203"/>
      <c r="S2799" s="203"/>
    </row>
    <row r="2800" spans="1:19">
      <c r="A2800" s="63"/>
      <c r="B2800" s="63"/>
      <c r="C2800" s="63"/>
      <c r="D2800" s="63"/>
      <c r="E2800" s="63"/>
      <c r="F2800" s="63"/>
      <c r="G2800" s="63"/>
      <c r="I2800" s="303" t="s">
        <v>798</v>
      </c>
      <c r="J2800" s="303"/>
      <c r="K2800" s="184"/>
      <c r="L2800" s="185"/>
      <c r="M2800" s="185"/>
      <c r="N2800" s="185"/>
      <c r="O2800" s="185"/>
      <c r="P2800" s="204"/>
      <c r="Q2800" s="204"/>
      <c r="R2800" s="204"/>
      <c r="S2800" s="204"/>
    </row>
    <row r="2801" spans="1:19">
      <c r="A2801" s="3" t="s">
        <v>801</v>
      </c>
      <c r="B2801" s="201" t="s">
        <v>802</v>
      </c>
      <c r="C2801" s="201" t="s">
        <v>803</v>
      </c>
      <c r="D2801" s="201" t="s">
        <v>119</v>
      </c>
      <c r="E2801" s="201" t="s">
        <v>148</v>
      </c>
      <c r="F2801" s="201" t="s">
        <v>806</v>
      </c>
      <c r="G2801" s="201" t="s">
        <v>81</v>
      </c>
      <c r="I2801" s="187"/>
      <c r="J2801" s="187"/>
      <c r="K2801" s="187"/>
      <c r="L2801" s="188"/>
      <c r="M2801" s="188"/>
      <c r="N2801" s="188"/>
      <c r="O2801" s="188"/>
      <c r="P2801" s="187"/>
      <c r="Q2801" s="187"/>
      <c r="R2801" s="187"/>
      <c r="S2801" s="187"/>
    </row>
    <row r="2802" spans="1:19">
      <c r="A2802" s="293">
        <v>44179</v>
      </c>
      <c r="B2802" s="161"/>
      <c r="C2802" s="162"/>
      <c r="D2802" s="162"/>
      <c r="E2802" s="162"/>
      <c r="F2802" s="162"/>
      <c r="G2802" s="163"/>
      <c r="I2802" s="191"/>
      <c r="J2802" s="190"/>
      <c r="K2802" s="190"/>
      <c r="L2802" s="190"/>
      <c r="M2802" s="190">
        <v>44179</v>
      </c>
      <c r="N2802" s="189" t="s">
        <v>864</v>
      </c>
      <c r="O2802" s="189"/>
      <c r="P2802" s="189"/>
      <c r="Q2802" s="189"/>
      <c r="R2802" s="189"/>
      <c r="S2802" s="189"/>
    </row>
    <row r="2803" spans="1:19">
      <c r="A2803" s="294"/>
      <c r="B2803" s="164"/>
      <c r="C2803" s="165"/>
      <c r="D2803" s="165"/>
      <c r="E2803" s="165"/>
      <c r="F2803" s="165"/>
      <c r="G2803" s="166"/>
      <c r="I2803" s="304"/>
      <c r="J2803" s="304"/>
      <c r="K2803" s="167"/>
      <c r="L2803" s="168"/>
      <c r="M2803" s="168"/>
      <c r="N2803" s="168"/>
      <c r="O2803" s="169"/>
      <c r="P2803" s="169"/>
      <c r="Q2803" s="169"/>
      <c r="R2803" s="161"/>
      <c r="S2803" s="161"/>
    </row>
    <row r="2804" spans="1:19">
      <c r="A2804" s="294"/>
      <c r="B2804" s="161"/>
      <c r="C2804" s="162"/>
      <c r="D2804" s="162"/>
      <c r="E2804" s="162"/>
      <c r="F2804" s="162"/>
      <c r="G2804" s="163"/>
      <c r="I2804" s="295" t="s">
        <v>782</v>
      </c>
      <c r="J2804" s="296"/>
      <c r="K2804" s="170"/>
      <c r="L2804" s="171"/>
      <c r="M2804" s="50"/>
      <c r="N2804" s="171"/>
      <c r="O2804" s="202"/>
      <c r="P2804" s="202"/>
      <c r="Q2804" s="202"/>
      <c r="R2804" s="162"/>
      <c r="S2804" s="162"/>
    </row>
    <row r="2805" spans="1:19">
      <c r="A2805" s="294"/>
      <c r="B2805" s="164"/>
      <c r="C2805" s="165"/>
      <c r="D2805" s="165"/>
      <c r="E2805" s="165"/>
      <c r="F2805" s="165"/>
      <c r="G2805" s="166"/>
      <c r="I2805" s="295" t="s">
        <v>783</v>
      </c>
      <c r="J2805" s="295"/>
      <c r="K2805" s="170"/>
      <c r="L2805" s="171"/>
      <c r="M2805" s="50"/>
      <c r="N2805" s="171"/>
      <c r="O2805" s="202"/>
      <c r="P2805" s="202"/>
      <c r="Q2805" s="202"/>
      <c r="R2805" s="162"/>
      <c r="S2805" s="162"/>
    </row>
    <row r="2806" spans="1:19">
      <c r="A2806" s="294"/>
      <c r="B2806" s="161"/>
      <c r="C2806" s="162"/>
      <c r="D2806" s="162"/>
      <c r="E2806" s="162"/>
      <c r="F2806" s="162"/>
      <c r="G2806" s="163"/>
      <c r="I2806" s="295" t="s">
        <v>784</v>
      </c>
      <c r="J2806" s="295"/>
      <c r="K2806" s="170"/>
      <c r="L2806" s="171"/>
      <c r="M2806" s="50"/>
      <c r="N2806" s="171"/>
      <c r="O2806" s="202"/>
      <c r="P2806" s="202"/>
      <c r="Q2806" s="202"/>
      <c r="R2806" s="162"/>
      <c r="S2806" s="162"/>
    </row>
    <row r="2807" spans="1:19">
      <c r="A2807" s="294"/>
      <c r="B2807" s="164"/>
      <c r="C2807" s="165"/>
      <c r="D2807" s="165"/>
      <c r="E2807" s="165"/>
      <c r="F2807" s="165"/>
      <c r="G2807" s="166"/>
      <c r="I2807" s="295" t="s">
        <v>785</v>
      </c>
      <c r="J2807" s="295"/>
      <c r="K2807" s="170"/>
      <c r="L2807" s="171"/>
      <c r="M2807" s="50"/>
      <c r="N2807" s="171"/>
      <c r="O2807" s="202"/>
      <c r="P2807" s="202"/>
      <c r="Q2807" s="202"/>
      <c r="R2807" s="162"/>
      <c r="S2807" s="162"/>
    </row>
    <row r="2808" spans="1:19">
      <c r="A2808" s="294"/>
      <c r="B2808" s="161"/>
      <c r="C2808" s="162"/>
      <c r="D2808" s="162"/>
      <c r="E2808" s="162"/>
      <c r="F2808" s="162"/>
      <c r="G2808" s="163"/>
      <c r="I2808" s="295" t="s">
        <v>786</v>
      </c>
      <c r="J2808" s="295"/>
      <c r="K2808" s="170"/>
      <c r="L2808" s="171"/>
      <c r="M2808" s="50"/>
      <c r="N2808" s="171"/>
      <c r="O2808" s="202"/>
      <c r="P2808" s="202"/>
      <c r="Q2808" s="202"/>
      <c r="R2808" s="162"/>
      <c r="S2808" s="162"/>
    </row>
    <row r="2809" spans="1:19">
      <c r="A2809" s="294"/>
      <c r="B2809" s="164"/>
      <c r="C2809" s="165"/>
      <c r="D2809" s="165"/>
      <c r="E2809" s="165"/>
      <c r="F2809" s="165"/>
      <c r="G2809" s="166"/>
      <c r="I2809" s="295" t="s">
        <v>787</v>
      </c>
      <c r="J2809" s="295"/>
      <c r="K2809" s="170"/>
      <c r="L2809" s="171"/>
      <c r="M2809" s="50"/>
      <c r="N2809" s="171"/>
      <c r="O2809" s="202"/>
      <c r="P2809" s="202"/>
      <c r="Q2809" s="202"/>
      <c r="R2809" s="162"/>
      <c r="S2809" s="162"/>
    </row>
    <row r="2810" spans="1:19">
      <c r="A2810" s="294"/>
      <c r="B2810" s="161"/>
      <c r="C2810" s="162"/>
      <c r="D2810" s="162"/>
      <c r="E2810" s="162"/>
      <c r="F2810" s="162"/>
      <c r="G2810" s="163"/>
      <c r="I2810" s="295" t="s">
        <v>788</v>
      </c>
      <c r="J2810" s="295"/>
      <c r="K2810" s="170"/>
      <c r="L2810" s="171"/>
      <c r="M2810" s="50"/>
      <c r="N2810" s="171"/>
      <c r="O2810" s="202"/>
      <c r="P2810" s="202"/>
      <c r="Q2810" s="202"/>
      <c r="R2810" s="162"/>
      <c r="S2810" s="162"/>
    </row>
    <row r="2811" spans="1:19">
      <c r="A2811" s="294"/>
      <c r="B2811" s="164"/>
      <c r="C2811" s="165"/>
      <c r="D2811" s="165"/>
      <c r="E2811" s="165"/>
      <c r="F2811" s="165"/>
      <c r="G2811" s="166"/>
      <c r="I2811" s="295" t="s">
        <v>789</v>
      </c>
      <c r="J2811" s="295"/>
      <c r="K2811" s="170"/>
      <c r="L2811" s="171"/>
      <c r="M2811" s="50"/>
      <c r="N2811" s="171"/>
      <c r="O2811" s="202"/>
      <c r="P2811" s="202"/>
      <c r="Q2811" s="202"/>
      <c r="R2811" s="162"/>
      <c r="S2811" s="162"/>
    </row>
    <row r="2812" spans="1:19">
      <c r="A2812" s="63"/>
      <c r="B2812" s="63"/>
      <c r="C2812" s="63"/>
      <c r="D2812" s="63"/>
      <c r="E2812" s="63"/>
      <c r="F2812" s="63"/>
      <c r="G2812" s="63"/>
      <c r="I2812" s="295" t="s">
        <v>790</v>
      </c>
      <c r="J2812" s="295"/>
      <c r="K2812" s="170"/>
      <c r="L2812" s="171"/>
      <c r="M2812" s="50"/>
      <c r="N2812" s="171"/>
      <c r="O2812" s="202"/>
      <c r="P2812" s="202"/>
      <c r="Q2812" s="202"/>
      <c r="R2812" s="162"/>
      <c r="S2812" s="162"/>
    </row>
    <row r="2813" spans="1:19">
      <c r="A2813" s="63"/>
      <c r="B2813" s="63"/>
      <c r="C2813" s="63"/>
      <c r="D2813" s="63"/>
      <c r="E2813" s="63"/>
      <c r="F2813" s="63"/>
      <c r="G2813" s="63"/>
      <c r="I2813" s="295" t="s">
        <v>791</v>
      </c>
      <c r="J2813" s="295"/>
      <c r="K2813" s="170"/>
      <c r="L2813" s="171"/>
      <c r="M2813" s="50"/>
      <c r="N2813" s="171"/>
      <c r="O2813" s="202"/>
      <c r="P2813" s="202"/>
      <c r="Q2813" s="202"/>
      <c r="R2813" s="162"/>
      <c r="S2813" s="162"/>
    </row>
    <row r="2814" spans="1:19">
      <c r="A2814" s="63"/>
      <c r="B2814" s="63"/>
      <c r="C2814" s="63"/>
      <c r="D2814" s="63"/>
      <c r="E2814" s="63"/>
      <c r="F2814" s="63"/>
      <c r="G2814" s="63"/>
      <c r="I2814" s="296" t="s">
        <v>792</v>
      </c>
      <c r="J2814" s="296"/>
      <c r="K2814" s="170"/>
      <c r="L2814" s="171"/>
      <c r="M2814" s="50"/>
      <c r="N2814" s="171"/>
      <c r="O2814" s="202"/>
      <c r="P2814" s="202"/>
      <c r="Q2814" s="202"/>
      <c r="R2814" s="162"/>
      <c r="S2814" s="162"/>
    </row>
    <row r="2815" spans="1:19" ht="17.25" thickBot="1">
      <c r="A2815" s="63"/>
      <c r="B2815" s="63"/>
      <c r="C2815" s="63"/>
      <c r="D2815" s="63"/>
      <c r="E2815" s="63"/>
      <c r="F2815" s="63"/>
      <c r="G2815" s="63"/>
      <c r="I2815" s="297" t="s">
        <v>793</v>
      </c>
      <c r="J2815" s="297"/>
      <c r="K2815" s="172">
        <f t="shared" ref="K2815:S2815" si="1319">SUM(K2804:K2814)</f>
        <v>0</v>
      </c>
      <c r="L2815" s="205">
        <f t="shared" si="1319"/>
        <v>0</v>
      </c>
      <c r="M2815" s="205">
        <f t="shared" si="1319"/>
        <v>0</v>
      </c>
      <c r="N2815" s="205">
        <f t="shared" si="1319"/>
        <v>0</v>
      </c>
      <c r="O2815" s="174">
        <f t="shared" si="1319"/>
        <v>0</v>
      </c>
      <c r="P2815" s="174">
        <f t="shared" si="1319"/>
        <v>0</v>
      </c>
      <c r="Q2815" s="174">
        <f t="shared" si="1319"/>
        <v>0</v>
      </c>
      <c r="R2815" s="175">
        <f t="shared" si="1319"/>
        <v>0</v>
      </c>
      <c r="S2815" s="175">
        <f t="shared" si="1319"/>
        <v>0</v>
      </c>
    </row>
    <row r="2816" spans="1:19" ht="17.25" thickBot="1">
      <c r="A2816" s="63"/>
      <c r="B2816" s="63"/>
      <c r="C2816" s="63"/>
      <c r="D2816" s="63"/>
      <c r="E2816" s="63"/>
      <c r="F2816" s="63"/>
      <c r="G2816" s="63"/>
      <c r="I2816" s="298" t="s">
        <v>794</v>
      </c>
      <c r="J2816" s="299"/>
      <c r="K2816" s="176">
        <f t="shared" ref="K2816" si="1320">S2795-K2815</f>
        <v>0</v>
      </c>
      <c r="L2816" s="177">
        <f t="shared" ref="L2816" si="1321">K2815-L2815</f>
        <v>0</v>
      </c>
      <c r="M2816" s="177">
        <f t="shared" ref="M2816" si="1322">K2815-M2815</f>
        <v>0</v>
      </c>
      <c r="N2816" s="177">
        <f t="shared" ref="N2816" si="1323">K2815-N2815</f>
        <v>0</v>
      </c>
      <c r="O2816" s="178">
        <f t="shared" ref="O2816" si="1324">K2815-O2815</f>
        <v>0</v>
      </c>
      <c r="P2816" s="178">
        <f t="shared" ref="P2816" si="1325">K2815-P2815</f>
        <v>0</v>
      </c>
      <c r="Q2816" s="178">
        <f t="shared" ref="Q2816" si="1326">K2815-Q2815</f>
        <v>0</v>
      </c>
      <c r="R2816" s="179">
        <f t="shared" ref="R2816" si="1327">K2815-R2815</f>
        <v>0</v>
      </c>
      <c r="S2816" s="180">
        <f t="shared" ref="S2816" si="1328">L2815-S2815</f>
        <v>0</v>
      </c>
    </row>
    <row r="2817" spans="1:19">
      <c r="A2817" s="63"/>
      <c r="B2817" s="63"/>
      <c r="C2817" s="63"/>
      <c r="D2817" s="63"/>
      <c r="E2817" s="63"/>
      <c r="F2817" s="63"/>
      <c r="G2817" s="63"/>
      <c r="I2817" s="300" t="s">
        <v>795</v>
      </c>
      <c r="J2817" s="301"/>
      <c r="K2817" s="181"/>
      <c r="L2817" s="182"/>
      <c r="M2817" s="182"/>
      <c r="N2817" s="182"/>
      <c r="O2817" s="183"/>
      <c r="P2817" s="182"/>
      <c r="Q2817" s="182"/>
      <c r="R2817" s="182"/>
      <c r="S2817" s="182"/>
    </row>
    <row r="2818" spans="1:19">
      <c r="A2818" s="63"/>
      <c r="B2818" s="63"/>
      <c r="C2818" s="63"/>
      <c r="D2818" s="63"/>
      <c r="E2818" s="63"/>
      <c r="F2818" s="63"/>
      <c r="G2818" s="63"/>
      <c r="I2818" s="302" t="s">
        <v>796</v>
      </c>
      <c r="J2818" s="302"/>
      <c r="K2818" s="184"/>
      <c r="L2818" s="203"/>
      <c r="M2818" s="203"/>
      <c r="N2818" s="203"/>
      <c r="O2818" s="203"/>
      <c r="P2818" s="203"/>
      <c r="Q2818" s="203"/>
      <c r="R2818" s="203"/>
      <c r="S2818" s="203"/>
    </row>
    <row r="2819" spans="1:19">
      <c r="A2819" s="63"/>
      <c r="B2819" s="63"/>
      <c r="C2819" s="63"/>
      <c r="D2819" s="63"/>
      <c r="E2819" s="63"/>
      <c r="F2819" s="63"/>
      <c r="G2819" s="63"/>
      <c r="I2819" s="302" t="s">
        <v>797</v>
      </c>
      <c r="J2819" s="302"/>
      <c r="K2819" s="184"/>
      <c r="L2819" s="203"/>
      <c r="M2819" s="203"/>
      <c r="N2819" s="203"/>
      <c r="O2819" s="203"/>
      <c r="P2819" s="203"/>
      <c r="Q2819" s="203"/>
      <c r="R2819" s="203"/>
      <c r="S2819" s="203"/>
    </row>
    <row r="2820" spans="1:19">
      <c r="A2820" s="63"/>
      <c r="B2820" s="63"/>
      <c r="C2820" s="63"/>
      <c r="D2820" s="63"/>
      <c r="E2820" s="63"/>
      <c r="F2820" s="63"/>
      <c r="G2820" s="63"/>
      <c r="I2820" s="303" t="s">
        <v>798</v>
      </c>
      <c r="J2820" s="303"/>
      <c r="K2820" s="184"/>
      <c r="L2820" s="185"/>
      <c r="M2820" s="185"/>
      <c r="N2820" s="185"/>
      <c r="O2820" s="185"/>
      <c r="P2820" s="204"/>
      <c r="Q2820" s="204"/>
      <c r="R2820" s="204"/>
      <c r="S2820" s="204"/>
    </row>
    <row r="2821" spans="1:19">
      <c r="A2821" s="3" t="s">
        <v>801</v>
      </c>
      <c r="B2821" s="201" t="s">
        <v>802</v>
      </c>
      <c r="C2821" s="201" t="s">
        <v>803</v>
      </c>
      <c r="D2821" s="201" t="s">
        <v>119</v>
      </c>
      <c r="E2821" s="201" t="s">
        <v>148</v>
      </c>
      <c r="F2821" s="201" t="s">
        <v>806</v>
      </c>
      <c r="G2821" s="201" t="s">
        <v>81</v>
      </c>
      <c r="I2821" s="187"/>
      <c r="J2821" s="187"/>
      <c r="K2821" s="187"/>
      <c r="L2821" s="188"/>
      <c r="M2821" s="188"/>
      <c r="N2821" s="188"/>
      <c r="O2821" s="188"/>
      <c r="P2821" s="187"/>
      <c r="Q2821" s="187"/>
      <c r="R2821" s="187"/>
      <c r="S2821" s="187"/>
    </row>
    <row r="2822" spans="1:19">
      <c r="A2822" s="293">
        <v>44180</v>
      </c>
      <c r="B2822" s="161"/>
      <c r="C2822" s="162"/>
      <c r="D2822" s="162"/>
      <c r="E2822" s="162"/>
      <c r="F2822" s="162"/>
      <c r="G2822" s="163"/>
      <c r="I2822" s="191"/>
      <c r="J2822" s="190"/>
      <c r="K2822" s="190"/>
      <c r="L2822" s="190"/>
      <c r="M2822" s="190">
        <v>44180</v>
      </c>
      <c r="N2822" s="189" t="s">
        <v>864</v>
      </c>
      <c r="O2822" s="189"/>
      <c r="P2822" s="189"/>
      <c r="Q2822" s="189"/>
      <c r="R2822" s="189"/>
      <c r="S2822" s="189"/>
    </row>
    <row r="2823" spans="1:19">
      <c r="A2823" s="294"/>
      <c r="B2823" s="164"/>
      <c r="C2823" s="165"/>
      <c r="D2823" s="165"/>
      <c r="E2823" s="165"/>
      <c r="F2823" s="165"/>
      <c r="G2823" s="166"/>
      <c r="I2823" s="304"/>
      <c r="J2823" s="304"/>
      <c r="K2823" s="167"/>
      <c r="L2823" s="168"/>
      <c r="M2823" s="168"/>
      <c r="N2823" s="168"/>
      <c r="O2823" s="169"/>
      <c r="P2823" s="169"/>
      <c r="Q2823" s="169"/>
      <c r="R2823" s="161"/>
      <c r="S2823" s="161"/>
    </row>
    <row r="2824" spans="1:19">
      <c r="A2824" s="294"/>
      <c r="B2824" s="161"/>
      <c r="C2824" s="162"/>
      <c r="D2824" s="162"/>
      <c r="E2824" s="162"/>
      <c r="F2824" s="162"/>
      <c r="G2824" s="163"/>
      <c r="I2824" s="295" t="s">
        <v>782</v>
      </c>
      <c r="J2824" s="296"/>
      <c r="K2824" s="170"/>
      <c r="L2824" s="171"/>
      <c r="M2824" s="50"/>
      <c r="N2824" s="171"/>
      <c r="O2824" s="202"/>
      <c r="P2824" s="202"/>
      <c r="Q2824" s="202"/>
      <c r="R2824" s="162"/>
      <c r="S2824" s="162"/>
    </row>
    <row r="2825" spans="1:19">
      <c r="A2825" s="294"/>
      <c r="B2825" s="164"/>
      <c r="C2825" s="165"/>
      <c r="D2825" s="165"/>
      <c r="E2825" s="165"/>
      <c r="F2825" s="165"/>
      <c r="G2825" s="166"/>
      <c r="I2825" s="295" t="s">
        <v>783</v>
      </c>
      <c r="J2825" s="295"/>
      <c r="K2825" s="170"/>
      <c r="L2825" s="171"/>
      <c r="M2825" s="50"/>
      <c r="N2825" s="171"/>
      <c r="O2825" s="202"/>
      <c r="P2825" s="202"/>
      <c r="Q2825" s="202"/>
      <c r="R2825" s="162"/>
      <c r="S2825" s="162"/>
    </row>
    <row r="2826" spans="1:19">
      <c r="A2826" s="294"/>
      <c r="B2826" s="161"/>
      <c r="C2826" s="162"/>
      <c r="D2826" s="162"/>
      <c r="E2826" s="162"/>
      <c r="F2826" s="162"/>
      <c r="G2826" s="163"/>
      <c r="I2826" s="295" t="s">
        <v>784</v>
      </c>
      <c r="J2826" s="295"/>
      <c r="K2826" s="170"/>
      <c r="L2826" s="171"/>
      <c r="M2826" s="50"/>
      <c r="N2826" s="171"/>
      <c r="O2826" s="202"/>
      <c r="P2826" s="202"/>
      <c r="Q2826" s="202"/>
      <c r="R2826" s="162"/>
      <c r="S2826" s="162"/>
    </row>
    <row r="2827" spans="1:19">
      <c r="A2827" s="294"/>
      <c r="B2827" s="164"/>
      <c r="C2827" s="165"/>
      <c r="D2827" s="165"/>
      <c r="E2827" s="165"/>
      <c r="F2827" s="165"/>
      <c r="G2827" s="166"/>
      <c r="I2827" s="295" t="s">
        <v>785</v>
      </c>
      <c r="J2827" s="295"/>
      <c r="K2827" s="170"/>
      <c r="L2827" s="171"/>
      <c r="M2827" s="50"/>
      <c r="N2827" s="171"/>
      <c r="O2827" s="202"/>
      <c r="P2827" s="202"/>
      <c r="Q2827" s="202"/>
      <c r="R2827" s="162"/>
      <c r="S2827" s="162"/>
    </row>
    <row r="2828" spans="1:19">
      <c r="A2828" s="294"/>
      <c r="B2828" s="161"/>
      <c r="C2828" s="162"/>
      <c r="D2828" s="162"/>
      <c r="E2828" s="162"/>
      <c r="F2828" s="162"/>
      <c r="G2828" s="163"/>
      <c r="I2828" s="295" t="s">
        <v>786</v>
      </c>
      <c r="J2828" s="295"/>
      <c r="K2828" s="170"/>
      <c r="L2828" s="171"/>
      <c r="M2828" s="50"/>
      <c r="N2828" s="171"/>
      <c r="O2828" s="202"/>
      <c r="P2828" s="202"/>
      <c r="Q2828" s="202"/>
      <c r="R2828" s="162"/>
      <c r="S2828" s="162"/>
    </row>
    <row r="2829" spans="1:19">
      <c r="A2829" s="294"/>
      <c r="B2829" s="164"/>
      <c r="C2829" s="165"/>
      <c r="D2829" s="165"/>
      <c r="E2829" s="165"/>
      <c r="F2829" s="165"/>
      <c r="G2829" s="166"/>
      <c r="I2829" s="295" t="s">
        <v>787</v>
      </c>
      <c r="J2829" s="295"/>
      <c r="K2829" s="170"/>
      <c r="L2829" s="171"/>
      <c r="M2829" s="50"/>
      <c r="N2829" s="171"/>
      <c r="O2829" s="202"/>
      <c r="P2829" s="202"/>
      <c r="Q2829" s="202"/>
      <c r="R2829" s="162"/>
      <c r="S2829" s="162"/>
    </row>
    <row r="2830" spans="1:19">
      <c r="A2830" s="294"/>
      <c r="B2830" s="161"/>
      <c r="C2830" s="162"/>
      <c r="D2830" s="162"/>
      <c r="E2830" s="162"/>
      <c r="F2830" s="162"/>
      <c r="G2830" s="163"/>
      <c r="I2830" s="295" t="s">
        <v>788</v>
      </c>
      <c r="J2830" s="295"/>
      <c r="K2830" s="170"/>
      <c r="L2830" s="171"/>
      <c r="M2830" s="50"/>
      <c r="N2830" s="171"/>
      <c r="O2830" s="202"/>
      <c r="P2830" s="202"/>
      <c r="Q2830" s="202"/>
      <c r="R2830" s="162"/>
      <c r="S2830" s="162"/>
    </row>
    <row r="2831" spans="1:19">
      <c r="A2831" s="294"/>
      <c r="B2831" s="164"/>
      <c r="C2831" s="165"/>
      <c r="D2831" s="165"/>
      <c r="E2831" s="165"/>
      <c r="F2831" s="165"/>
      <c r="G2831" s="166"/>
      <c r="I2831" s="295" t="s">
        <v>789</v>
      </c>
      <c r="J2831" s="295"/>
      <c r="K2831" s="170"/>
      <c r="L2831" s="171"/>
      <c r="M2831" s="50"/>
      <c r="N2831" s="171"/>
      <c r="O2831" s="202"/>
      <c r="P2831" s="202"/>
      <c r="Q2831" s="202"/>
      <c r="R2831" s="162"/>
      <c r="S2831" s="162"/>
    </row>
    <row r="2832" spans="1:19">
      <c r="A2832" s="63"/>
      <c r="B2832" s="63"/>
      <c r="C2832" s="63"/>
      <c r="D2832" s="63"/>
      <c r="E2832" s="63"/>
      <c r="F2832" s="63"/>
      <c r="G2832" s="63"/>
      <c r="I2832" s="295" t="s">
        <v>790</v>
      </c>
      <c r="J2832" s="295"/>
      <c r="K2832" s="170"/>
      <c r="L2832" s="171"/>
      <c r="M2832" s="50"/>
      <c r="N2832" s="171"/>
      <c r="O2832" s="202"/>
      <c r="P2832" s="202"/>
      <c r="Q2832" s="202"/>
      <c r="R2832" s="162"/>
      <c r="S2832" s="162"/>
    </row>
    <row r="2833" spans="1:19">
      <c r="A2833" s="63"/>
      <c r="B2833" s="63"/>
      <c r="C2833" s="63"/>
      <c r="D2833" s="63"/>
      <c r="E2833" s="63"/>
      <c r="F2833" s="63"/>
      <c r="G2833" s="63"/>
      <c r="I2833" s="295" t="s">
        <v>791</v>
      </c>
      <c r="J2833" s="295"/>
      <c r="K2833" s="170"/>
      <c r="L2833" s="171"/>
      <c r="M2833" s="50"/>
      <c r="N2833" s="171"/>
      <c r="O2833" s="202"/>
      <c r="P2833" s="202"/>
      <c r="Q2833" s="202"/>
      <c r="R2833" s="162"/>
      <c r="S2833" s="162"/>
    </row>
    <row r="2834" spans="1:19">
      <c r="A2834" s="63"/>
      <c r="B2834" s="63"/>
      <c r="C2834" s="63"/>
      <c r="D2834" s="63"/>
      <c r="E2834" s="63"/>
      <c r="F2834" s="63"/>
      <c r="G2834" s="63"/>
      <c r="I2834" s="296" t="s">
        <v>792</v>
      </c>
      <c r="J2834" s="296"/>
      <c r="K2834" s="170"/>
      <c r="L2834" s="171"/>
      <c r="M2834" s="50"/>
      <c r="N2834" s="171"/>
      <c r="O2834" s="202"/>
      <c r="P2834" s="202"/>
      <c r="Q2834" s="202"/>
      <c r="R2834" s="162"/>
      <c r="S2834" s="162"/>
    </row>
    <row r="2835" spans="1:19" ht="17.25" thickBot="1">
      <c r="A2835" s="63"/>
      <c r="B2835" s="63"/>
      <c r="C2835" s="63"/>
      <c r="D2835" s="63"/>
      <c r="E2835" s="63"/>
      <c r="F2835" s="63"/>
      <c r="G2835" s="63"/>
      <c r="I2835" s="297" t="s">
        <v>793</v>
      </c>
      <c r="J2835" s="297"/>
      <c r="K2835" s="172">
        <f t="shared" ref="K2835:S2835" si="1329">SUM(K2824:K2834)</f>
        <v>0</v>
      </c>
      <c r="L2835" s="205">
        <f t="shared" si="1329"/>
        <v>0</v>
      </c>
      <c r="M2835" s="205">
        <f t="shared" si="1329"/>
        <v>0</v>
      </c>
      <c r="N2835" s="205">
        <f t="shared" si="1329"/>
        <v>0</v>
      </c>
      <c r="O2835" s="174">
        <f t="shared" si="1329"/>
        <v>0</v>
      </c>
      <c r="P2835" s="174">
        <f t="shared" si="1329"/>
        <v>0</v>
      </c>
      <c r="Q2835" s="174">
        <f t="shared" si="1329"/>
        <v>0</v>
      </c>
      <c r="R2835" s="175">
        <f t="shared" si="1329"/>
        <v>0</v>
      </c>
      <c r="S2835" s="175">
        <f t="shared" si="1329"/>
        <v>0</v>
      </c>
    </row>
    <row r="2836" spans="1:19" ht="17.25" thickBot="1">
      <c r="A2836" s="63"/>
      <c r="B2836" s="63"/>
      <c r="C2836" s="63"/>
      <c r="D2836" s="63"/>
      <c r="E2836" s="63"/>
      <c r="F2836" s="63"/>
      <c r="G2836" s="63"/>
      <c r="I2836" s="298" t="s">
        <v>794</v>
      </c>
      <c r="J2836" s="299"/>
      <c r="K2836" s="176">
        <f t="shared" ref="K2836" si="1330">S2815-K2835</f>
        <v>0</v>
      </c>
      <c r="L2836" s="177">
        <f t="shared" ref="L2836" si="1331">K2835-L2835</f>
        <v>0</v>
      </c>
      <c r="M2836" s="177">
        <f t="shared" ref="M2836" si="1332">K2835-M2835</f>
        <v>0</v>
      </c>
      <c r="N2836" s="177">
        <f t="shared" ref="N2836" si="1333">K2835-N2835</f>
        <v>0</v>
      </c>
      <c r="O2836" s="178">
        <f t="shared" ref="O2836" si="1334">K2835-O2835</f>
        <v>0</v>
      </c>
      <c r="P2836" s="178">
        <f t="shared" ref="P2836" si="1335">K2835-P2835</f>
        <v>0</v>
      </c>
      <c r="Q2836" s="178">
        <f t="shared" ref="Q2836" si="1336">K2835-Q2835</f>
        <v>0</v>
      </c>
      <c r="R2836" s="179">
        <f t="shared" ref="R2836" si="1337">K2835-R2835</f>
        <v>0</v>
      </c>
      <c r="S2836" s="180">
        <f t="shared" ref="S2836" si="1338">L2835-S2835</f>
        <v>0</v>
      </c>
    </row>
    <row r="2837" spans="1:19">
      <c r="A2837" s="63"/>
      <c r="B2837" s="63"/>
      <c r="C2837" s="63"/>
      <c r="D2837" s="63"/>
      <c r="E2837" s="63"/>
      <c r="F2837" s="63"/>
      <c r="G2837" s="63"/>
      <c r="I2837" s="300" t="s">
        <v>795</v>
      </c>
      <c r="J2837" s="301"/>
      <c r="K2837" s="181"/>
      <c r="L2837" s="182"/>
      <c r="M2837" s="182"/>
      <c r="N2837" s="182"/>
      <c r="O2837" s="183"/>
      <c r="P2837" s="182"/>
      <c r="Q2837" s="182"/>
      <c r="R2837" s="182"/>
      <c r="S2837" s="182"/>
    </row>
    <row r="2838" spans="1:19">
      <c r="A2838" s="63"/>
      <c r="B2838" s="63"/>
      <c r="C2838" s="63"/>
      <c r="D2838" s="63"/>
      <c r="E2838" s="63"/>
      <c r="F2838" s="63"/>
      <c r="G2838" s="63"/>
      <c r="I2838" s="302" t="s">
        <v>796</v>
      </c>
      <c r="J2838" s="302"/>
      <c r="K2838" s="184"/>
      <c r="L2838" s="203"/>
      <c r="M2838" s="203"/>
      <c r="N2838" s="203"/>
      <c r="O2838" s="203"/>
      <c r="P2838" s="203"/>
      <c r="Q2838" s="203"/>
      <c r="R2838" s="203"/>
      <c r="S2838" s="203"/>
    </row>
    <row r="2839" spans="1:19">
      <c r="A2839" s="63"/>
      <c r="B2839" s="63"/>
      <c r="C2839" s="63"/>
      <c r="D2839" s="63"/>
      <c r="E2839" s="63"/>
      <c r="F2839" s="63"/>
      <c r="G2839" s="63"/>
      <c r="I2839" s="302" t="s">
        <v>797</v>
      </c>
      <c r="J2839" s="302"/>
      <c r="K2839" s="184"/>
      <c r="L2839" s="203"/>
      <c r="M2839" s="203"/>
      <c r="N2839" s="203"/>
      <c r="O2839" s="203"/>
      <c r="P2839" s="203"/>
      <c r="Q2839" s="203"/>
      <c r="R2839" s="203"/>
      <c r="S2839" s="203"/>
    </row>
    <row r="2840" spans="1:19">
      <c r="A2840" s="63"/>
      <c r="B2840" s="63"/>
      <c r="C2840" s="63"/>
      <c r="D2840" s="63"/>
      <c r="E2840" s="63"/>
      <c r="F2840" s="63"/>
      <c r="G2840" s="63"/>
      <c r="I2840" s="303" t="s">
        <v>798</v>
      </c>
      <c r="J2840" s="303"/>
      <c r="K2840" s="184"/>
      <c r="L2840" s="185"/>
      <c r="M2840" s="185"/>
      <c r="N2840" s="185"/>
      <c r="O2840" s="185"/>
      <c r="P2840" s="204"/>
      <c r="Q2840" s="204"/>
      <c r="R2840" s="204"/>
      <c r="S2840" s="204"/>
    </row>
    <row r="2841" spans="1:19">
      <c r="A2841" s="3" t="s">
        <v>801</v>
      </c>
      <c r="B2841" s="201" t="s">
        <v>802</v>
      </c>
      <c r="C2841" s="201" t="s">
        <v>803</v>
      </c>
      <c r="D2841" s="201" t="s">
        <v>119</v>
      </c>
      <c r="E2841" s="201" t="s">
        <v>148</v>
      </c>
      <c r="F2841" s="201" t="s">
        <v>806</v>
      </c>
      <c r="G2841" s="201" t="s">
        <v>81</v>
      </c>
      <c r="I2841" s="187"/>
      <c r="J2841" s="187"/>
      <c r="K2841" s="187"/>
      <c r="L2841" s="188"/>
      <c r="M2841" s="188"/>
      <c r="N2841" s="188"/>
      <c r="O2841" s="188"/>
      <c r="P2841" s="187"/>
      <c r="Q2841" s="187"/>
      <c r="R2841" s="187"/>
      <c r="S2841" s="187"/>
    </row>
    <row r="2842" spans="1:19">
      <c r="A2842" s="293">
        <v>44181</v>
      </c>
      <c r="B2842" s="161"/>
      <c r="C2842" s="162"/>
      <c r="D2842" s="162"/>
      <c r="E2842" s="162"/>
      <c r="F2842" s="162"/>
      <c r="G2842" s="163"/>
      <c r="I2842" s="191"/>
      <c r="J2842" s="190"/>
      <c r="K2842" s="190"/>
      <c r="L2842" s="190"/>
      <c r="M2842" s="190">
        <v>44181</v>
      </c>
      <c r="N2842" s="189" t="s">
        <v>864</v>
      </c>
      <c r="O2842" s="189"/>
      <c r="P2842" s="189"/>
      <c r="Q2842" s="189"/>
      <c r="R2842" s="189"/>
      <c r="S2842" s="189"/>
    </row>
    <row r="2843" spans="1:19">
      <c r="A2843" s="294"/>
      <c r="B2843" s="164"/>
      <c r="C2843" s="165"/>
      <c r="D2843" s="165"/>
      <c r="E2843" s="165"/>
      <c r="F2843" s="165"/>
      <c r="G2843" s="166"/>
      <c r="I2843" s="304"/>
      <c r="J2843" s="304"/>
      <c r="K2843" s="167"/>
      <c r="L2843" s="168"/>
      <c r="M2843" s="168"/>
      <c r="N2843" s="168"/>
      <c r="O2843" s="169"/>
      <c r="P2843" s="169"/>
      <c r="Q2843" s="169"/>
      <c r="R2843" s="161"/>
      <c r="S2843" s="161"/>
    </row>
    <row r="2844" spans="1:19">
      <c r="A2844" s="294"/>
      <c r="B2844" s="161"/>
      <c r="C2844" s="162"/>
      <c r="D2844" s="162"/>
      <c r="E2844" s="162"/>
      <c r="F2844" s="162"/>
      <c r="G2844" s="163"/>
      <c r="I2844" s="295" t="s">
        <v>782</v>
      </c>
      <c r="J2844" s="296"/>
      <c r="K2844" s="170"/>
      <c r="L2844" s="171"/>
      <c r="M2844" s="50"/>
      <c r="N2844" s="171"/>
      <c r="O2844" s="202"/>
      <c r="P2844" s="202"/>
      <c r="Q2844" s="202"/>
      <c r="R2844" s="162"/>
      <c r="S2844" s="162"/>
    </row>
    <row r="2845" spans="1:19">
      <c r="A2845" s="294"/>
      <c r="B2845" s="164"/>
      <c r="C2845" s="165"/>
      <c r="D2845" s="165"/>
      <c r="E2845" s="165"/>
      <c r="F2845" s="165"/>
      <c r="G2845" s="166"/>
      <c r="I2845" s="295" t="s">
        <v>783</v>
      </c>
      <c r="J2845" s="295"/>
      <c r="K2845" s="170"/>
      <c r="L2845" s="171"/>
      <c r="M2845" s="50"/>
      <c r="N2845" s="171"/>
      <c r="O2845" s="202"/>
      <c r="P2845" s="202"/>
      <c r="Q2845" s="202"/>
      <c r="R2845" s="162"/>
      <c r="S2845" s="162"/>
    </row>
    <row r="2846" spans="1:19">
      <c r="A2846" s="294"/>
      <c r="B2846" s="161"/>
      <c r="C2846" s="162"/>
      <c r="D2846" s="162"/>
      <c r="E2846" s="162"/>
      <c r="F2846" s="162"/>
      <c r="G2846" s="163"/>
      <c r="I2846" s="295" t="s">
        <v>784</v>
      </c>
      <c r="J2846" s="295"/>
      <c r="K2846" s="170"/>
      <c r="L2846" s="171"/>
      <c r="M2846" s="50"/>
      <c r="N2846" s="171"/>
      <c r="O2846" s="202"/>
      <c r="P2846" s="202"/>
      <c r="Q2846" s="202"/>
      <c r="R2846" s="162"/>
      <c r="S2846" s="162"/>
    </row>
    <row r="2847" spans="1:19">
      <c r="A2847" s="294"/>
      <c r="B2847" s="164"/>
      <c r="C2847" s="165"/>
      <c r="D2847" s="165"/>
      <c r="E2847" s="165"/>
      <c r="F2847" s="165"/>
      <c r="G2847" s="166"/>
      <c r="I2847" s="295" t="s">
        <v>785</v>
      </c>
      <c r="J2847" s="295"/>
      <c r="K2847" s="170"/>
      <c r="L2847" s="171"/>
      <c r="M2847" s="50"/>
      <c r="N2847" s="171"/>
      <c r="O2847" s="202"/>
      <c r="P2847" s="202"/>
      <c r="Q2847" s="202"/>
      <c r="R2847" s="162"/>
      <c r="S2847" s="162"/>
    </row>
    <row r="2848" spans="1:19">
      <c r="A2848" s="294"/>
      <c r="B2848" s="161"/>
      <c r="C2848" s="162"/>
      <c r="D2848" s="162"/>
      <c r="E2848" s="162"/>
      <c r="F2848" s="162"/>
      <c r="G2848" s="163"/>
      <c r="I2848" s="295" t="s">
        <v>786</v>
      </c>
      <c r="J2848" s="295"/>
      <c r="K2848" s="170"/>
      <c r="L2848" s="171"/>
      <c r="M2848" s="50"/>
      <c r="N2848" s="171"/>
      <c r="O2848" s="202"/>
      <c r="P2848" s="202"/>
      <c r="Q2848" s="202"/>
      <c r="R2848" s="162"/>
      <c r="S2848" s="162"/>
    </row>
    <row r="2849" spans="1:19">
      <c r="A2849" s="294"/>
      <c r="B2849" s="164"/>
      <c r="C2849" s="165"/>
      <c r="D2849" s="165"/>
      <c r="E2849" s="165"/>
      <c r="F2849" s="165"/>
      <c r="G2849" s="166"/>
      <c r="I2849" s="295" t="s">
        <v>787</v>
      </c>
      <c r="J2849" s="295"/>
      <c r="K2849" s="170"/>
      <c r="L2849" s="171"/>
      <c r="M2849" s="50"/>
      <c r="N2849" s="171"/>
      <c r="O2849" s="202"/>
      <c r="P2849" s="202"/>
      <c r="Q2849" s="202"/>
      <c r="R2849" s="162"/>
      <c r="S2849" s="162"/>
    </row>
    <row r="2850" spans="1:19">
      <c r="A2850" s="294"/>
      <c r="B2850" s="161"/>
      <c r="C2850" s="162"/>
      <c r="D2850" s="162"/>
      <c r="E2850" s="162"/>
      <c r="F2850" s="162"/>
      <c r="G2850" s="163"/>
      <c r="I2850" s="295" t="s">
        <v>788</v>
      </c>
      <c r="J2850" s="295"/>
      <c r="K2850" s="170"/>
      <c r="L2850" s="171"/>
      <c r="M2850" s="50"/>
      <c r="N2850" s="171"/>
      <c r="O2850" s="202"/>
      <c r="P2850" s="202"/>
      <c r="Q2850" s="202"/>
      <c r="R2850" s="162"/>
      <c r="S2850" s="162"/>
    </row>
    <row r="2851" spans="1:19">
      <c r="A2851" s="294"/>
      <c r="B2851" s="164"/>
      <c r="C2851" s="165"/>
      <c r="D2851" s="165"/>
      <c r="E2851" s="165"/>
      <c r="F2851" s="165"/>
      <c r="G2851" s="166"/>
      <c r="I2851" s="295" t="s">
        <v>789</v>
      </c>
      <c r="J2851" s="295"/>
      <c r="K2851" s="170"/>
      <c r="L2851" s="171"/>
      <c r="M2851" s="50"/>
      <c r="N2851" s="171"/>
      <c r="O2851" s="202"/>
      <c r="P2851" s="202"/>
      <c r="Q2851" s="202"/>
      <c r="R2851" s="162"/>
      <c r="S2851" s="162"/>
    </row>
    <row r="2852" spans="1:19">
      <c r="A2852" s="63"/>
      <c r="B2852" s="63"/>
      <c r="C2852" s="63"/>
      <c r="D2852" s="63"/>
      <c r="E2852" s="63"/>
      <c r="F2852" s="63"/>
      <c r="G2852" s="63"/>
      <c r="I2852" s="295" t="s">
        <v>790</v>
      </c>
      <c r="J2852" s="295"/>
      <c r="K2852" s="170"/>
      <c r="L2852" s="171"/>
      <c r="M2852" s="50"/>
      <c r="N2852" s="171"/>
      <c r="O2852" s="202"/>
      <c r="P2852" s="202"/>
      <c r="Q2852" s="202"/>
      <c r="R2852" s="162"/>
      <c r="S2852" s="162"/>
    </row>
    <row r="2853" spans="1:19">
      <c r="A2853" s="63"/>
      <c r="B2853" s="63"/>
      <c r="C2853" s="63"/>
      <c r="D2853" s="63"/>
      <c r="E2853" s="63"/>
      <c r="F2853" s="63"/>
      <c r="G2853" s="63"/>
      <c r="I2853" s="295" t="s">
        <v>791</v>
      </c>
      <c r="J2853" s="295"/>
      <c r="K2853" s="170"/>
      <c r="L2853" s="171"/>
      <c r="M2853" s="50"/>
      <c r="N2853" s="171"/>
      <c r="O2853" s="202"/>
      <c r="P2853" s="202"/>
      <c r="Q2853" s="202"/>
      <c r="R2853" s="162"/>
      <c r="S2853" s="162"/>
    </row>
    <row r="2854" spans="1:19">
      <c r="A2854" s="63"/>
      <c r="B2854" s="63"/>
      <c r="C2854" s="63"/>
      <c r="D2854" s="63"/>
      <c r="E2854" s="63"/>
      <c r="F2854" s="63"/>
      <c r="G2854" s="63"/>
      <c r="I2854" s="296" t="s">
        <v>792</v>
      </c>
      <c r="J2854" s="296"/>
      <c r="K2854" s="170"/>
      <c r="L2854" s="171"/>
      <c r="M2854" s="50"/>
      <c r="N2854" s="171"/>
      <c r="O2854" s="202"/>
      <c r="P2854" s="202"/>
      <c r="Q2854" s="202"/>
      <c r="R2854" s="162"/>
      <c r="S2854" s="162"/>
    </row>
    <row r="2855" spans="1:19" ht="17.25" thickBot="1">
      <c r="A2855" s="63"/>
      <c r="B2855" s="63"/>
      <c r="C2855" s="63"/>
      <c r="D2855" s="63"/>
      <c r="E2855" s="63"/>
      <c r="F2855" s="63"/>
      <c r="G2855" s="63"/>
      <c r="I2855" s="297" t="s">
        <v>793</v>
      </c>
      <c r="J2855" s="297"/>
      <c r="K2855" s="172">
        <f t="shared" ref="K2855:S2855" si="1339">SUM(K2844:K2854)</f>
        <v>0</v>
      </c>
      <c r="L2855" s="205">
        <f t="shared" si="1339"/>
        <v>0</v>
      </c>
      <c r="M2855" s="205">
        <f t="shared" si="1339"/>
        <v>0</v>
      </c>
      <c r="N2855" s="205">
        <f t="shared" si="1339"/>
        <v>0</v>
      </c>
      <c r="O2855" s="174">
        <f t="shared" si="1339"/>
        <v>0</v>
      </c>
      <c r="P2855" s="174">
        <f t="shared" si="1339"/>
        <v>0</v>
      </c>
      <c r="Q2855" s="174">
        <f t="shared" si="1339"/>
        <v>0</v>
      </c>
      <c r="R2855" s="175">
        <f t="shared" si="1339"/>
        <v>0</v>
      </c>
      <c r="S2855" s="175">
        <f t="shared" si="1339"/>
        <v>0</v>
      </c>
    </row>
    <row r="2856" spans="1:19" ht="17.25" thickBot="1">
      <c r="A2856" s="63"/>
      <c r="B2856" s="63"/>
      <c r="C2856" s="63"/>
      <c r="D2856" s="63"/>
      <c r="E2856" s="63"/>
      <c r="F2856" s="63"/>
      <c r="G2856" s="63"/>
      <c r="I2856" s="298" t="s">
        <v>794</v>
      </c>
      <c r="J2856" s="299"/>
      <c r="K2856" s="176">
        <f t="shared" ref="K2856" si="1340">S2835-K2855</f>
        <v>0</v>
      </c>
      <c r="L2856" s="177">
        <f t="shared" ref="L2856" si="1341">K2855-L2855</f>
        <v>0</v>
      </c>
      <c r="M2856" s="177">
        <f t="shared" ref="M2856" si="1342">K2855-M2855</f>
        <v>0</v>
      </c>
      <c r="N2856" s="177">
        <f t="shared" ref="N2856" si="1343">K2855-N2855</f>
        <v>0</v>
      </c>
      <c r="O2856" s="178">
        <f t="shared" ref="O2856" si="1344">K2855-O2855</f>
        <v>0</v>
      </c>
      <c r="P2856" s="178">
        <f t="shared" ref="P2856" si="1345">K2855-P2855</f>
        <v>0</v>
      </c>
      <c r="Q2856" s="178">
        <f t="shared" ref="Q2856" si="1346">K2855-Q2855</f>
        <v>0</v>
      </c>
      <c r="R2856" s="179">
        <f t="shared" ref="R2856" si="1347">K2855-R2855</f>
        <v>0</v>
      </c>
      <c r="S2856" s="180">
        <f t="shared" ref="S2856" si="1348">L2855-S2855</f>
        <v>0</v>
      </c>
    </row>
    <row r="2857" spans="1:19">
      <c r="A2857" s="63"/>
      <c r="B2857" s="63"/>
      <c r="C2857" s="63"/>
      <c r="D2857" s="63"/>
      <c r="E2857" s="63"/>
      <c r="F2857" s="63"/>
      <c r="G2857" s="63"/>
      <c r="I2857" s="300" t="s">
        <v>795</v>
      </c>
      <c r="J2857" s="301"/>
      <c r="K2857" s="181"/>
      <c r="L2857" s="182"/>
      <c r="M2857" s="182"/>
      <c r="N2857" s="182"/>
      <c r="O2857" s="183"/>
      <c r="P2857" s="182"/>
      <c r="Q2857" s="182"/>
      <c r="R2857" s="182"/>
      <c r="S2857" s="182"/>
    </row>
    <row r="2858" spans="1:19">
      <c r="A2858" s="63"/>
      <c r="B2858" s="63"/>
      <c r="C2858" s="63"/>
      <c r="D2858" s="63"/>
      <c r="E2858" s="63"/>
      <c r="F2858" s="63"/>
      <c r="G2858" s="63"/>
      <c r="I2858" s="302" t="s">
        <v>796</v>
      </c>
      <c r="J2858" s="302"/>
      <c r="K2858" s="184"/>
      <c r="L2858" s="203"/>
      <c r="M2858" s="203"/>
      <c r="N2858" s="203"/>
      <c r="O2858" s="203"/>
      <c r="P2858" s="203"/>
      <c r="Q2858" s="203"/>
      <c r="R2858" s="203"/>
      <c r="S2858" s="203"/>
    </row>
    <row r="2859" spans="1:19">
      <c r="A2859" s="63"/>
      <c r="B2859" s="63"/>
      <c r="C2859" s="63"/>
      <c r="D2859" s="63"/>
      <c r="E2859" s="63"/>
      <c r="F2859" s="63"/>
      <c r="G2859" s="63"/>
      <c r="I2859" s="302" t="s">
        <v>797</v>
      </c>
      <c r="J2859" s="302"/>
      <c r="K2859" s="184"/>
      <c r="L2859" s="203"/>
      <c r="M2859" s="203"/>
      <c r="N2859" s="203"/>
      <c r="O2859" s="203"/>
      <c r="P2859" s="203"/>
      <c r="Q2859" s="203"/>
      <c r="R2859" s="203"/>
      <c r="S2859" s="203"/>
    </row>
    <row r="2860" spans="1:19">
      <c r="A2860" s="63"/>
      <c r="B2860" s="63"/>
      <c r="C2860" s="63"/>
      <c r="D2860" s="63"/>
      <c r="E2860" s="63"/>
      <c r="F2860" s="63"/>
      <c r="G2860" s="63"/>
      <c r="I2860" s="303" t="s">
        <v>798</v>
      </c>
      <c r="J2860" s="303"/>
      <c r="K2860" s="184"/>
      <c r="L2860" s="185"/>
      <c r="M2860" s="185"/>
      <c r="N2860" s="185"/>
      <c r="O2860" s="185"/>
      <c r="P2860" s="204"/>
      <c r="Q2860" s="204"/>
      <c r="R2860" s="204"/>
      <c r="S2860" s="204"/>
    </row>
    <row r="2861" spans="1:19">
      <c r="A2861" s="3" t="s">
        <v>801</v>
      </c>
      <c r="B2861" s="201" t="s">
        <v>802</v>
      </c>
      <c r="C2861" s="201" t="s">
        <v>803</v>
      </c>
      <c r="D2861" s="201" t="s">
        <v>119</v>
      </c>
      <c r="E2861" s="201" t="s">
        <v>148</v>
      </c>
      <c r="F2861" s="201" t="s">
        <v>806</v>
      </c>
      <c r="G2861" s="201" t="s">
        <v>81</v>
      </c>
      <c r="I2861" s="187"/>
      <c r="J2861" s="187"/>
      <c r="K2861" s="187"/>
      <c r="L2861" s="188"/>
      <c r="M2861" s="188"/>
      <c r="N2861" s="188"/>
      <c r="O2861" s="188"/>
      <c r="P2861" s="187"/>
      <c r="Q2861" s="187"/>
      <c r="R2861" s="187"/>
      <c r="S2861" s="187"/>
    </row>
    <row r="2862" spans="1:19">
      <c r="A2862" s="293">
        <v>44182</v>
      </c>
      <c r="B2862" s="161"/>
      <c r="C2862" s="162"/>
      <c r="D2862" s="162"/>
      <c r="E2862" s="162"/>
      <c r="F2862" s="162"/>
      <c r="G2862" s="163"/>
      <c r="I2862" s="191"/>
      <c r="J2862" s="190"/>
      <c r="K2862" s="190"/>
      <c r="L2862" s="190"/>
      <c r="M2862" s="190">
        <v>44182</v>
      </c>
      <c r="N2862" s="189" t="s">
        <v>864</v>
      </c>
      <c r="O2862" s="189"/>
      <c r="P2862" s="189"/>
      <c r="Q2862" s="189"/>
      <c r="R2862" s="189"/>
      <c r="S2862" s="189"/>
    </row>
    <row r="2863" spans="1:19">
      <c r="A2863" s="294"/>
      <c r="B2863" s="164"/>
      <c r="C2863" s="165"/>
      <c r="D2863" s="165"/>
      <c r="E2863" s="165"/>
      <c r="F2863" s="165"/>
      <c r="G2863" s="166"/>
      <c r="I2863" s="304"/>
      <c r="J2863" s="304"/>
      <c r="K2863" s="167"/>
      <c r="L2863" s="168"/>
      <c r="M2863" s="168"/>
      <c r="N2863" s="168"/>
      <c r="O2863" s="169"/>
      <c r="P2863" s="169"/>
      <c r="Q2863" s="169"/>
      <c r="R2863" s="161"/>
      <c r="S2863" s="161"/>
    </row>
    <row r="2864" spans="1:19">
      <c r="A2864" s="294"/>
      <c r="B2864" s="161"/>
      <c r="C2864" s="162"/>
      <c r="D2864" s="162"/>
      <c r="E2864" s="162"/>
      <c r="F2864" s="162"/>
      <c r="G2864" s="163"/>
      <c r="I2864" s="295" t="s">
        <v>782</v>
      </c>
      <c r="J2864" s="296"/>
      <c r="K2864" s="170"/>
      <c r="L2864" s="171"/>
      <c r="M2864" s="50"/>
      <c r="N2864" s="171"/>
      <c r="O2864" s="202"/>
      <c r="P2864" s="202"/>
      <c r="Q2864" s="202"/>
      <c r="R2864" s="162"/>
      <c r="S2864" s="162"/>
    </row>
    <row r="2865" spans="1:19">
      <c r="A2865" s="294"/>
      <c r="B2865" s="164"/>
      <c r="C2865" s="165"/>
      <c r="D2865" s="165"/>
      <c r="E2865" s="165"/>
      <c r="F2865" s="165"/>
      <c r="G2865" s="166"/>
      <c r="I2865" s="295" t="s">
        <v>783</v>
      </c>
      <c r="J2865" s="295"/>
      <c r="K2865" s="170"/>
      <c r="L2865" s="171"/>
      <c r="M2865" s="50"/>
      <c r="N2865" s="171"/>
      <c r="O2865" s="202"/>
      <c r="P2865" s="202"/>
      <c r="Q2865" s="202"/>
      <c r="R2865" s="162"/>
      <c r="S2865" s="162"/>
    </row>
    <row r="2866" spans="1:19">
      <c r="A2866" s="294"/>
      <c r="B2866" s="161"/>
      <c r="C2866" s="162"/>
      <c r="D2866" s="162"/>
      <c r="E2866" s="162"/>
      <c r="F2866" s="162"/>
      <c r="G2866" s="163"/>
      <c r="I2866" s="295" t="s">
        <v>784</v>
      </c>
      <c r="J2866" s="295"/>
      <c r="K2866" s="170"/>
      <c r="L2866" s="171"/>
      <c r="M2866" s="50"/>
      <c r="N2866" s="171"/>
      <c r="O2866" s="202"/>
      <c r="P2866" s="202"/>
      <c r="Q2866" s="202"/>
      <c r="R2866" s="162"/>
      <c r="S2866" s="162"/>
    </row>
    <row r="2867" spans="1:19">
      <c r="A2867" s="294"/>
      <c r="B2867" s="164"/>
      <c r="C2867" s="165"/>
      <c r="D2867" s="165"/>
      <c r="E2867" s="165"/>
      <c r="F2867" s="165"/>
      <c r="G2867" s="166"/>
      <c r="I2867" s="295" t="s">
        <v>785</v>
      </c>
      <c r="J2867" s="295"/>
      <c r="K2867" s="170"/>
      <c r="L2867" s="171"/>
      <c r="M2867" s="50"/>
      <c r="N2867" s="171"/>
      <c r="O2867" s="202"/>
      <c r="P2867" s="202"/>
      <c r="Q2867" s="202"/>
      <c r="R2867" s="162"/>
      <c r="S2867" s="162"/>
    </row>
    <row r="2868" spans="1:19">
      <c r="A2868" s="294"/>
      <c r="B2868" s="161"/>
      <c r="C2868" s="162"/>
      <c r="D2868" s="162"/>
      <c r="E2868" s="162"/>
      <c r="F2868" s="162"/>
      <c r="G2868" s="163"/>
      <c r="I2868" s="295" t="s">
        <v>786</v>
      </c>
      <c r="J2868" s="295"/>
      <c r="K2868" s="170"/>
      <c r="L2868" s="171"/>
      <c r="M2868" s="50"/>
      <c r="N2868" s="171"/>
      <c r="O2868" s="202"/>
      <c r="P2868" s="202"/>
      <c r="Q2868" s="202"/>
      <c r="R2868" s="162"/>
      <c r="S2868" s="162"/>
    </row>
    <row r="2869" spans="1:19">
      <c r="A2869" s="294"/>
      <c r="B2869" s="164"/>
      <c r="C2869" s="165"/>
      <c r="D2869" s="165"/>
      <c r="E2869" s="165"/>
      <c r="F2869" s="165"/>
      <c r="G2869" s="166"/>
      <c r="I2869" s="295" t="s">
        <v>787</v>
      </c>
      <c r="J2869" s="295"/>
      <c r="K2869" s="170"/>
      <c r="L2869" s="171"/>
      <c r="M2869" s="50"/>
      <c r="N2869" s="171"/>
      <c r="O2869" s="202"/>
      <c r="P2869" s="202"/>
      <c r="Q2869" s="202"/>
      <c r="R2869" s="162"/>
      <c r="S2869" s="162"/>
    </row>
    <row r="2870" spans="1:19">
      <c r="A2870" s="294"/>
      <c r="B2870" s="161"/>
      <c r="C2870" s="162"/>
      <c r="D2870" s="162"/>
      <c r="E2870" s="162"/>
      <c r="F2870" s="162"/>
      <c r="G2870" s="163"/>
      <c r="I2870" s="295" t="s">
        <v>788</v>
      </c>
      <c r="J2870" s="295"/>
      <c r="K2870" s="170"/>
      <c r="L2870" s="171"/>
      <c r="M2870" s="50"/>
      <c r="N2870" s="171"/>
      <c r="O2870" s="202"/>
      <c r="P2870" s="202"/>
      <c r="Q2870" s="202"/>
      <c r="R2870" s="162"/>
      <c r="S2870" s="162"/>
    </row>
    <row r="2871" spans="1:19">
      <c r="A2871" s="294"/>
      <c r="B2871" s="164"/>
      <c r="C2871" s="165"/>
      <c r="D2871" s="165"/>
      <c r="E2871" s="165"/>
      <c r="F2871" s="165"/>
      <c r="G2871" s="166"/>
      <c r="I2871" s="295" t="s">
        <v>789</v>
      </c>
      <c r="J2871" s="295"/>
      <c r="K2871" s="170"/>
      <c r="L2871" s="171"/>
      <c r="M2871" s="50"/>
      <c r="N2871" s="171"/>
      <c r="O2871" s="202"/>
      <c r="P2871" s="202"/>
      <c r="Q2871" s="202"/>
      <c r="R2871" s="162"/>
      <c r="S2871" s="162"/>
    </row>
    <row r="2872" spans="1:19">
      <c r="A2872" s="63"/>
      <c r="B2872" s="63"/>
      <c r="C2872" s="63"/>
      <c r="D2872" s="63"/>
      <c r="E2872" s="63"/>
      <c r="F2872" s="63"/>
      <c r="G2872" s="63"/>
      <c r="I2872" s="295" t="s">
        <v>790</v>
      </c>
      <c r="J2872" s="295"/>
      <c r="K2872" s="170"/>
      <c r="L2872" s="171"/>
      <c r="M2872" s="50"/>
      <c r="N2872" s="171"/>
      <c r="O2872" s="202"/>
      <c r="P2872" s="202"/>
      <c r="Q2872" s="202"/>
      <c r="R2872" s="162"/>
      <c r="S2872" s="162"/>
    </row>
    <row r="2873" spans="1:19">
      <c r="A2873" s="63"/>
      <c r="B2873" s="63"/>
      <c r="C2873" s="63"/>
      <c r="D2873" s="63"/>
      <c r="E2873" s="63"/>
      <c r="F2873" s="63"/>
      <c r="G2873" s="63"/>
      <c r="I2873" s="295" t="s">
        <v>791</v>
      </c>
      <c r="J2873" s="295"/>
      <c r="K2873" s="170"/>
      <c r="L2873" s="171"/>
      <c r="M2873" s="50"/>
      <c r="N2873" s="171"/>
      <c r="O2873" s="202"/>
      <c r="P2873" s="202"/>
      <c r="Q2873" s="202"/>
      <c r="R2873" s="162"/>
      <c r="S2873" s="162"/>
    </row>
    <row r="2874" spans="1:19">
      <c r="A2874" s="63"/>
      <c r="B2874" s="63"/>
      <c r="C2874" s="63"/>
      <c r="D2874" s="63"/>
      <c r="E2874" s="63"/>
      <c r="F2874" s="63"/>
      <c r="G2874" s="63"/>
      <c r="I2874" s="296" t="s">
        <v>792</v>
      </c>
      <c r="J2874" s="296"/>
      <c r="K2874" s="170"/>
      <c r="L2874" s="171"/>
      <c r="M2874" s="50"/>
      <c r="N2874" s="171"/>
      <c r="O2874" s="202"/>
      <c r="P2874" s="202"/>
      <c r="Q2874" s="202"/>
      <c r="R2874" s="162"/>
      <c r="S2874" s="162"/>
    </row>
    <row r="2875" spans="1:19" ht="17.25" thickBot="1">
      <c r="A2875" s="63"/>
      <c r="B2875" s="63"/>
      <c r="C2875" s="63"/>
      <c r="D2875" s="63"/>
      <c r="E2875" s="63"/>
      <c r="F2875" s="63"/>
      <c r="G2875" s="63"/>
      <c r="I2875" s="297" t="s">
        <v>793</v>
      </c>
      <c r="J2875" s="297"/>
      <c r="K2875" s="172">
        <f t="shared" ref="K2875:S2875" si="1349">SUM(K2864:K2874)</f>
        <v>0</v>
      </c>
      <c r="L2875" s="205">
        <f t="shared" si="1349"/>
        <v>0</v>
      </c>
      <c r="M2875" s="205">
        <f t="shared" si="1349"/>
        <v>0</v>
      </c>
      <c r="N2875" s="205">
        <f t="shared" si="1349"/>
        <v>0</v>
      </c>
      <c r="O2875" s="174">
        <f t="shared" si="1349"/>
        <v>0</v>
      </c>
      <c r="P2875" s="174">
        <f t="shared" si="1349"/>
        <v>0</v>
      </c>
      <c r="Q2875" s="174">
        <f t="shared" si="1349"/>
        <v>0</v>
      </c>
      <c r="R2875" s="175">
        <f t="shared" si="1349"/>
        <v>0</v>
      </c>
      <c r="S2875" s="175">
        <f t="shared" si="1349"/>
        <v>0</v>
      </c>
    </row>
    <row r="2876" spans="1:19" ht="17.25" thickBot="1">
      <c r="A2876" s="63"/>
      <c r="B2876" s="63"/>
      <c r="C2876" s="63"/>
      <c r="D2876" s="63"/>
      <c r="E2876" s="63"/>
      <c r="F2876" s="63"/>
      <c r="G2876" s="63"/>
      <c r="I2876" s="298" t="s">
        <v>794</v>
      </c>
      <c r="J2876" s="299"/>
      <c r="K2876" s="176">
        <f t="shared" ref="K2876" si="1350">S2855-K2875</f>
        <v>0</v>
      </c>
      <c r="L2876" s="177">
        <f t="shared" ref="L2876" si="1351">K2875-L2875</f>
        <v>0</v>
      </c>
      <c r="M2876" s="177">
        <f t="shared" ref="M2876" si="1352">K2875-M2875</f>
        <v>0</v>
      </c>
      <c r="N2876" s="177">
        <f t="shared" ref="N2876" si="1353">K2875-N2875</f>
        <v>0</v>
      </c>
      <c r="O2876" s="178">
        <f t="shared" ref="O2876" si="1354">K2875-O2875</f>
        <v>0</v>
      </c>
      <c r="P2876" s="178">
        <f t="shared" ref="P2876" si="1355">K2875-P2875</f>
        <v>0</v>
      </c>
      <c r="Q2876" s="178">
        <f t="shared" ref="Q2876" si="1356">K2875-Q2875</f>
        <v>0</v>
      </c>
      <c r="R2876" s="179">
        <f t="shared" ref="R2876" si="1357">K2875-R2875</f>
        <v>0</v>
      </c>
      <c r="S2876" s="180">
        <f t="shared" ref="S2876" si="1358">L2875-S2875</f>
        <v>0</v>
      </c>
    </row>
    <row r="2877" spans="1:19">
      <c r="A2877" s="63"/>
      <c r="B2877" s="63"/>
      <c r="C2877" s="63"/>
      <c r="D2877" s="63"/>
      <c r="E2877" s="63"/>
      <c r="F2877" s="63"/>
      <c r="G2877" s="63"/>
      <c r="I2877" s="300" t="s">
        <v>795</v>
      </c>
      <c r="J2877" s="301"/>
      <c r="K2877" s="181"/>
      <c r="L2877" s="182"/>
      <c r="M2877" s="182"/>
      <c r="N2877" s="182"/>
      <c r="O2877" s="183"/>
      <c r="P2877" s="182"/>
      <c r="Q2877" s="182"/>
      <c r="R2877" s="182"/>
      <c r="S2877" s="182"/>
    </row>
    <row r="2878" spans="1:19">
      <c r="A2878" s="63"/>
      <c r="B2878" s="63"/>
      <c r="C2878" s="63"/>
      <c r="D2878" s="63"/>
      <c r="E2878" s="63"/>
      <c r="F2878" s="63"/>
      <c r="G2878" s="63"/>
      <c r="I2878" s="302" t="s">
        <v>796</v>
      </c>
      <c r="J2878" s="302"/>
      <c r="K2878" s="184"/>
      <c r="L2878" s="203"/>
      <c r="M2878" s="203"/>
      <c r="N2878" s="203"/>
      <c r="O2878" s="203"/>
      <c r="P2878" s="203"/>
      <c r="Q2878" s="203"/>
      <c r="R2878" s="203"/>
      <c r="S2878" s="203"/>
    </row>
    <row r="2879" spans="1:19">
      <c r="A2879" s="63"/>
      <c r="B2879" s="63"/>
      <c r="C2879" s="63"/>
      <c r="D2879" s="63"/>
      <c r="E2879" s="63"/>
      <c r="F2879" s="63"/>
      <c r="G2879" s="63"/>
      <c r="I2879" s="302" t="s">
        <v>797</v>
      </c>
      <c r="J2879" s="302"/>
      <c r="K2879" s="184"/>
      <c r="L2879" s="203"/>
      <c r="M2879" s="203"/>
      <c r="N2879" s="203"/>
      <c r="O2879" s="203"/>
      <c r="P2879" s="203"/>
      <c r="Q2879" s="203"/>
      <c r="R2879" s="203"/>
      <c r="S2879" s="203"/>
    </row>
    <row r="2880" spans="1:19">
      <c r="A2880" s="63"/>
      <c r="B2880" s="63"/>
      <c r="C2880" s="63"/>
      <c r="D2880" s="63"/>
      <c r="E2880" s="63"/>
      <c r="F2880" s="63"/>
      <c r="G2880" s="63"/>
      <c r="I2880" s="303" t="s">
        <v>798</v>
      </c>
      <c r="J2880" s="303"/>
      <c r="K2880" s="184"/>
      <c r="L2880" s="185"/>
      <c r="M2880" s="185"/>
      <c r="N2880" s="185"/>
      <c r="O2880" s="185"/>
      <c r="P2880" s="204"/>
      <c r="Q2880" s="204"/>
      <c r="R2880" s="204"/>
      <c r="S2880" s="204"/>
    </row>
    <row r="2881" spans="1:19">
      <c r="A2881" s="3" t="s">
        <v>801</v>
      </c>
      <c r="B2881" s="201" t="s">
        <v>802</v>
      </c>
      <c r="C2881" s="201" t="s">
        <v>803</v>
      </c>
      <c r="D2881" s="201" t="s">
        <v>119</v>
      </c>
      <c r="E2881" s="201" t="s">
        <v>148</v>
      </c>
      <c r="F2881" s="201" t="s">
        <v>806</v>
      </c>
      <c r="G2881" s="201" t="s">
        <v>81</v>
      </c>
      <c r="I2881" s="187"/>
      <c r="J2881" s="187"/>
      <c r="K2881" s="187"/>
      <c r="L2881" s="188"/>
      <c r="M2881" s="188"/>
      <c r="N2881" s="188"/>
      <c r="O2881" s="188"/>
      <c r="P2881" s="187"/>
      <c r="Q2881" s="187"/>
      <c r="R2881" s="187"/>
      <c r="S2881" s="187"/>
    </row>
    <row r="2882" spans="1:19">
      <c r="A2882" s="293">
        <v>44183</v>
      </c>
      <c r="B2882" s="161"/>
      <c r="C2882" s="162"/>
      <c r="D2882" s="162"/>
      <c r="E2882" s="162"/>
      <c r="F2882" s="162"/>
      <c r="G2882" s="163"/>
      <c r="I2882" s="191"/>
      <c r="J2882" s="190"/>
      <c r="K2882" s="190"/>
      <c r="L2882" s="190"/>
      <c r="M2882" s="190">
        <v>44183</v>
      </c>
      <c r="N2882" s="189" t="s">
        <v>864</v>
      </c>
      <c r="O2882" s="189"/>
      <c r="P2882" s="189"/>
      <c r="Q2882" s="189"/>
      <c r="R2882" s="189"/>
      <c r="S2882" s="189"/>
    </row>
    <row r="2883" spans="1:19">
      <c r="A2883" s="294"/>
      <c r="B2883" s="164"/>
      <c r="C2883" s="165"/>
      <c r="D2883" s="165"/>
      <c r="E2883" s="165"/>
      <c r="F2883" s="165"/>
      <c r="G2883" s="166"/>
      <c r="I2883" s="304"/>
      <c r="J2883" s="304"/>
      <c r="K2883" s="167"/>
      <c r="L2883" s="168"/>
      <c r="M2883" s="168"/>
      <c r="N2883" s="168"/>
      <c r="O2883" s="169"/>
      <c r="P2883" s="169"/>
      <c r="Q2883" s="169"/>
      <c r="R2883" s="161"/>
      <c r="S2883" s="161"/>
    </row>
    <row r="2884" spans="1:19">
      <c r="A2884" s="294"/>
      <c r="B2884" s="161"/>
      <c r="C2884" s="162"/>
      <c r="D2884" s="162"/>
      <c r="E2884" s="162"/>
      <c r="F2884" s="162"/>
      <c r="G2884" s="163"/>
      <c r="I2884" s="295" t="s">
        <v>782</v>
      </c>
      <c r="J2884" s="296"/>
      <c r="K2884" s="170"/>
      <c r="L2884" s="171"/>
      <c r="M2884" s="50"/>
      <c r="N2884" s="171"/>
      <c r="O2884" s="202"/>
      <c r="P2884" s="202"/>
      <c r="Q2884" s="202"/>
      <c r="R2884" s="162"/>
      <c r="S2884" s="162"/>
    </row>
    <row r="2885" spans="1:19">
      <c r="A2885" s="294"/>
      <c r="B2885" s="164"/>
      <c r="C2885" s="165"/>
      <c r="D2885" s="165"/>
      <c r="E2885" s="165"/>
      <c r="F2885" s="165"/>
      <c r="G2885" s="166"/>
      <c r="I2885" s="295" t="s">
        <v>783</v>
      </c>
      <c r="J2885" s="295"/>
      <c r="K2885" s="170"/>
      <c r="L2885" s="171"/>
      <c r="M2885" s="50"/>
      <c r="N2885" s="171"/>
      <c r="O2885" s="202"/>
      <c r="P2885" s="202"/>
      <c r="Q2885" s="202"/>
      <c r="R2885" s="162"/>
      <c r="S2885" s="162"/>
    </row>
    <row r="2886" spans="1:19">
      <c r="A2886" s="294"/>
      <c r="B2886" s="161"/>
      <c r="C2886" s="162"/>
      <c r="D2886" s="162"/>
      <c r="E2886" s="162"/>
      <c r="F2886" s="162"/>
      <c r="G2886" s="163"/>
      <c r="I2886" s="295" t="s">
        <v>784</v>
      </c>
      <c r="J2886" s="295"/>
      <c r="K2886" s="170"/>
      <c r="L2886" s="171"/>
      <c r="M2886" s="50"/>
      <c r="N2886" s="171"/>
      <c r="O2886" s="202"/>
      <c r="P2886" s="202"/>
      <c r="Q2886" s="202"/>
      <c r="R2886" s="162"/>
      <c r="S2886" s="162"/>
    </row>
    <row r="2887" spans="1:19">
      <c r="A2887" s="294"/>
      <c r="B2887" s="164"/>
      <c r="C2887" s="165"/>
      <c r="D2887" s="165"/>
      <c r="E2887" s="165"/>
      <c r="F2887" s="165"/>
      <c r="G2887" s="166"/>
      <c r="I2887" s="295" t="s">
        <v>785</v>
      </c>
      <c r="J2887" s="295"/>
      <c r="K2887" s="170"/>
      <c r="L2887" s="171"/>
      <c r="M2887" s="50"/>
      <c r="N2887" s="171"/>
      <c r="O2887" s="202"/>
      <c r="P2887" s="202"/>
      <c r="Q2887" s="202"/>
      <c r="R2887" s="162"/>
      <c r="S2887" s="162"/>
    </row>
    <row r="2888" spans="1:19">
      <c r="A2888" s="294"/>
      <c r="B2888" s="161"/>
      <c r="C2888" s="162"/>
      <c r="D2888" s="162"/>
      <c r="E2888" s="162"/>
      <c r="F2888" s="162"/>
      <c r="G2888" s="163"/>
      <c r="I2888" s="295" t="s">
        <v>786</v>
      </c>
      <c r="J2888" s="295"/>
      <c r="K2888" s="170"/>
      <c r="L2888" s="171"/>
      <c r="M2888" s="50"/>
      <c r="N2888" s="171"/>
      <c r="O2888" s="202"/>
      <c r="P2888" s="202"/>
      <c r="Q2888" s="202"/>
      <c r="R2888" s="162"/>
      <c r="S2888" s="162"/>
    </row>
    <row r="2889" spans="1:19">
      <c r="A2889" s="294"/>
      <c r="B2889" s="164"/>
      <c r="C2889" s="165"/>
      <c r="D2889" s="165"/>
      <c r="E2889" s="165"/>
      <c r="F2889" s="165"/>
      <c r="G2889" s="166"/>
      <c r="I2889" s="295" t="s">
        <v>787</v>
      </c>
      <c r="J2889" s="295"/>
      <c r="K2889" s="170"/>
      <c r="L2889" s="171"/>
      <c r="M2889" s="50"/>
      <c r="N2889" s="171"/>
      <c r="O2889" s="202"/>
      <c r="P2889" s="202"/>
      <c r="Q2889" s="202"/>
      <c r="R2889" s="162"/>
      <c r="S2889" s="162"/>
    </row>
    <row r="2890" spans="1:19">
      <c r="A2890" s="294"/>
      <c r="B2890" s="161"/>
      <c r="C2890" s="162"/>
      <c r="D2890" s="162"/>
      <c r="E2890" s="162"/>
      <c r="F2890" s="162"/>
      <c r="G2890" s="163"/>
      <c r="I2890" s="295" t="s">
        <v>788</v>
      </c>
      <c r="J2890" s="295"/>
      <c r="K2890" s="170"/>
      <c r="L2890" s="171"/>
      <c r="M2890" s="50"/>
      <c r="N2890" s="171"/>
      <c r="O2890" s="202"/>
      <c r="P2890" s="202"/>
      <c r="Q2890" s="202"/>
      <c r="R2890" s="162"/>
      <c r="S2890" s="162"/>
    </row>
    <row r="2891" spans="1:19">
      <c r="A2891" s="294"/>
      <c r="B2891" s="164"/>
      <c r="C2891" s="165"/>
      <c r="D2891" s="165"/>
      <c r="E2891" s="165"/>
      <c r="F2891" s="165"/>
      <c r="G2891" s="166"/>
      <c r="I2891" s="295" t="s">
        <v>789</v>
      </c>
      <c r="J2891" s="295"/>
      <c r="K2891" s="170"/>
      <c r="L2891" s="171"/>
      <c r="M2891" s="50"/>
      <c r="N2891" s="171"/>
      <c r="O2891" s="202"/>
      <c r="P2891" s="202"/>
      <c r="Q2891" s="202"/>
      <c r="R2891" s="162"/>
      <c r="S2891" s="162"/>
    </row>
    <row r="2892" spans="1:19">
      <c r="A2892" s="63"/>
      <c r="B2892" s="63"/>
      <c r="C2892" s="63"/>
      <c r="D2892" s="63"/>
      <c r="E2892" s="63"/>
      <c r="F2892" s="63"/>
      <c r="G2892" s="63"/>
      <c r="I2892" s="295" t="s">
        <v>790</v>
      </c>
      <c r="J2892" s="295"/>
      <c r="K2892" s="170"/>
      <c r="L2892" s="171"/>
      <c r="M2892" s="50"/>
      <c r="N2892" s="171"/>
      <c r="O2892" s="202"/>
      <c r="P2892" s="202"/>
      <c r="Q2892" s="202"/>
      <c r="R2892" s="162"/>
      <c r="S2892" s="162"/>
    </row>
    <row r="2893" spans="1:19">
      <c r="A2893" s="63"/>
      <c r="B2893" s="63"/>
      <c r="C2893" s="63"/>
      <c r="D2893" s="63"/>
      <c r="E2893" s="63"/>
      <c r="F2893" s="63"/>
      <c r="G2893" s="63"/>
      <c r="I2893" s="295" t="s">
        <v>791</v>
      </c>
      <c r="J2893" s="295"/>
      <c r="K2893" s="170"/>
      <c r="L2893" s="171"/>
      <c r="M2893" s="50"/>
      <c r="N2893" s="171"/>
      <c r="O2893" s="202"/>
      <c r="P2893" s="202"/>
      <c r="Q2893" s="202"/>
      <c r="R2893" s="162"/>
      <c r="S2893" s="162"/>
    </row>
    <row r="2894" spans="1:19">
      <c r="A2894" s="63"/>
      <c r="B2894" s="63"/>
      <c r="C2894" s="63"/>
      <c r="D2894" s="63"/>
      <c r="E2894" s="63"/>
      <c r="F2894" s="63"/>
      <c r="G2894" s="63"/>
      <c r="I2894" s="296" t="s">
        <v>792</v>
      </c>
      <c r="J2894" s="296"/>
      <c r="K2894" s="170"/>
      <c r="L2894" s="171"/>
      <c r="M2894" s="50"/>
      <c r="N2894" s="171"/>
      <c r="O2894" s="202"/>
      <c r="P2894" s="202"/>
      <c r="Q2894" s="202"/>
      <c r="R2894" s="162"/>
      <c r="S2894" s="162"/>
    </row>
    <row r="2895" spans="1:19" ht="17.25" thickBot="1">
      <c r="A2895" s="63"/>
      <c r="B2895" s="63"/>
      <c r="C2895" s="63"/>
      <c r="D2895" s="63"/>
      <c r="E2895" s="63"/>
      <c r="F2895" s="63"/>
      <c r="G2895" s="63"/>
      <c r="I2895" s="297" t="s">
        <v>793</v>
      </c>
      <c r="J2895" s="297"/>
      <c r="K2895" s="172">
        <f t="shared" ref="K2895:S2895" si="1359">SUM(K2884:K2894)</f>
        <v>0</v>
      </c>
      <c r="L2895" s="205">
        <f t="shared" si="1359"/>
        <v>0</v>
      </c>
      <c r="M2895" s="205">
        <f t="shared" si="1359"/>
        <v>0</v>
      </c>
      <c r="N2895" s="205">
        <f t="shared" si="1359"/>
        <v>0</v>
      </c>
      <c r="O2895" s="174">
        <f t="shared" si="1359"/>
        <v>0</v>
      </c>
      <c r="P2895" s="174">
        <f t="shared" si="1359"/>
        <v>0</v>
      </c>
      <c r="Q2895" s="174">
        <f t="shared" si="1359"/>
        <v>0</v>
      </c>
      <c r="R2895" s="175">
        <f t="shared" si="1359"/>
        <v>0</v>
      </c>
      <c r="S2895" s="175">
        <f t="shared" si="1359"/>
        <v>0</v>
      </c>
    </row>
    <row r="2896" spans="1:19" ht="17.25" thickBot="1">
      <c r="A2896" s="63"/>
      <c r="B2896" s="63"/>
      <c r="C2896" s="63"/>
      <c r="D2896" s="63"/>
      <c r="E2896" s="63"/>
      <c r="F2896" s="63"/>
      <c r="G2896" s="63"/>
      <c r="I2896" s="298" t="s">
        <v>794</v>
      </c>
      <c r="J2896" s="299"/>
      <c r="K2896" s="176">
        <f t="shared" ref="K2896" si="1360">S2875-K2895</f>
        <v>0</v>
      </c>
      <c r="L2896" s="177">
        <f t="shared" ref="L2896" si="1361">K2895-L2895</f>
        <v>0</v>
      </c>
      <c r="M2896" s="177">
        <f t="shared" ref="M2896" si="1362">K2895-M2895</f>
        <v>0</v>
      </c>
      <c r="N2896" s="177">
        <f t="shared" ref="N2896" si="1363">K2895-N2895</f>
        <v>0</v>
      </c>
      <c r="O2896" s="178">
        <f t="shared" ref="O2896" si="1364">K2895-O2895</f>
        <v>0</v>
      </c>
      <c r="P2896" s="178">
        <f t="shared" ref="P2896" si="1365">K2895-P2895</f>
        <v>0</v>
      </c>
      <c r="Q2896" s="178">
        <f t="shared" ref="Q2896" si="1366">K2895-Q2895</f>
        <v>0</v>
      </c>
      <c r="R2896" s="179">
        <f t="shared" ref="R2896" si="1367">K2895-R2895</f>
        <v>0</v>
      </c>
      <c r="S2896" s="180">
        <f t="shared" ref="S2896" si="1368">L2895-S2895</f>
        <v>0</v>
      </c>
    </row>
    <row r="2897" spans="1:19">
      <c r="A2897" s="63"/>
      <c r="B2897" s="63"/>
      <c r="C2897" s="63"/>
      <c r="D2897" s="63"/>
      <c r="E2897" s="63"/>
      <c r="F2897" s="63"/>
      <c r="G2897" s="63"/>
      <c r="I2897" s="300" t="s">
        <v>795</v>
      </c>
      <c r="J2897" s="301"/>
      <c r="K2897" s="181"/>
      <c r="L2897" s="182"/>
      <c r="M2897" s="182"/>
      <c r="N2897" s="182"/>
      <c r="O2897" s="183"/>
      <c r="P2897" s="182"/>
      <c r="Q2897" s="182"/>
      <c r="R2897" s="182"/>
      <c r="S2897" s="182"/>
    </row>
    <row r="2898" spans="1:19">
      <c r="A2898" s="63"/>
      <c r="B2898" s="63"/>
      <c r="C2898" s="63"/>
      <c r="D2898" s="63"/>
      <c r="E2898" s="63"/>
      <c r="F2898" s="63"/>
      <c r="G2898" s="63"/>
      <c r="I2898" s="302" t="s">
        <v>796</v>
      </c>
      <c r="J2898" s="302"/>
      <c r="K2898" s="184"/>
      <c r="L2898" s="203"/>
      <c r="M2898" s="203"/>
      <c r="N2898" s="203"/>
      <c r="O2898" s="203"/>
      <c r="P2898" s="203"/>
      <c r="Q2898" s="203"/>
      <c r="R2898" s="203"/>
      <c r="S2898" s="203"/>
    </row>
    <row r="2899" spans="1:19">
      <c r="A2899" s="63"/>
      <c r="B2899" s="63"/>
      <c r="C2899" s="63"/>
      <c r="D2899" s="63"/>
      <c r="E2899" s="63"/>
      <c r="F2899" s="63"/>
      <c r="G2899" s="63"/>
      <c r="I2899" s="302" t="s">
        <v>797</v>
      </c>
      <c r="J2899" s="302"/>
      <c r="K2899" s="184"/>
      <c r="L2899" s="203"/>
      <c r="M2899" s="203"/>
      <c r="N2899" s="203"/>
      <c r="O2899" s="203"/>
      <c r="P2899" s="203"/>
      <c r="Q2899" s="203"/>
      <c r="R2899" s="203"/>
      <c r="S2899" s="203"/>
    </row>
    <row r="2900" spans="1:19">
      <c r="A2900" s="63"/>
      <c r="B2900" s="63"/>
      <c r="C2900" s="63"/>
      <c r="D2900" s="63"/>
      <c r="E2900" s="63"/>
      <c r="F2900" s="63"/>
      <c r="G2900" s="63"/>
      <c r="I2900" s="303" t="s">
        <v>798</v>
      </c>
      <c r="J2900" s="303"/>
      <c r="K2900" s="184"/>
      <c r="L2900" s="185"/>
      <c r="M2900" s="185"/>
      <c r="N2900" s="185"/>
      <c r="O2900" s="185"/>
      <c r="P2900" s="204"/>
      <c r="Q2900" s="204"/>
      <c r="R2900" s="204"/>
      <c r="S2900" s="204"/>
    </row>
    <row r="2901" spans="1:19">
      <c r="A2901" s="3" t="s">
        <v>801</v>
      </c>
      <c r="B2901" s="201" t="s">
        <v>802</v>
      </c>
      <c r="C2901" s="201" t="s">
        <v>803</v>
      </c>
      <c r="D2901" s="201" t="s">
        <v>119</v>
      </c>
      <c r="E2901" s="201" t="s">
        <v>148</v>
      </c>
      <c r="F2901" s="201" t="s">
        <v>806</v>
      </c>
      <c r="G2901" s="201" t="s">
        <v>81</v>
      </c>
      <c r="I2901" s="187"/>
      <c r="J2901" s="187"/>
      <c r="K2901" s="187"/>
      <c r="L2901" s="188"/>
      <c r="M2901" s="188"/>
      <c r="N2901" s="188"/>
      <c r="O2901" s="188"/>
      <c r="P2901" s="187"/>
      <c r="Q2901" s="187"/>
      <c r="R2901" s="187"/>
      <c r="S2901" s="187"/>
    </row>
    <row r="2902" spans="1:19">
      <c r="A2902" s="293">
        <v>44184</v>
      </c>
      <c r="B2902" s="161"/>
      <c r="C2902" s="162"/>
      <c r="D2902" s="162"/>
      <c r="E2902" s="162"/>
      <c r="F2902" s="162"/>
      <c r="G2902" s="163"/>
      <c r="I2902" s="191"/>
      <c r="J2902" s="190"/>
      <c r="K2902" s="190"/>
      <c r="L2902" s="190"/>
      <c r="M2902" s="190">
        <v>44184</v>
      </c>
      <c r="N2902" s="189" t="s">
        <v>864</v>
      </c>
      <c r="O2902" s="189"/>
      <c r="P2902" s="189"/>
      <c r="Q2902" s="189"/>
      <c r="R2902" s="189"/>
      <c r="S2902" s="189"/>
    </row>
    <row r="2903" spans="1:19">
      <c r="A2903" s="294"/>
      <c r="B2903" s="164"/>
      <c r="C2903" s="165"/>
      <c r="D2903" s="165"/>
      <c r="E2903" s="165"/>
      <c r="F2903" s="165"/>
      <c r="G2903" s="166"/>
      <c r="I2903" s="304"/>
      <c r="J2903" s="304"/>
      <c r="K2903" s="167"/>
      <c r="L2903" s="168"/>
      <c r="M2903" s="168"/>
      <c r="N2903" s="168"/>
      <c r="O2903" s="169"/>
      <c r="P2903" s="169"/>
      <c r="Q2903" s="169"/>
      <c r="R2903" s="161"/>
      <c r="S2903" s="161"/>
    </row>
    <row r="2904" spans="1:19">
      <c r="A2904" s="294"/>
      <c r="B2904" s="161"/>
      <c r="C2904" s="162"/>
      <c r="D2904" s="162"/>
      <c r="E2904" s="162"/>
      <c r="F2904" s="162"/>
      <c r="G2904" s="163"/>
      <c r="I2904" s="295" t="s">
        <v>782</v>
      </c>
      <c r="J2904" s="296"/>
      <c r="K2904" s="170"/>
      <c r="L2904" s="171"/>
      <c r="M2904" s="50"/>
      <c r="N2904" s="171"/>
      <c r="O2904" s="202"/>
      <c r="P2904" s="202"/>
      <c r="Q2904" s="202"/>
      <c r="R2904" s="162"/>
      <c r="S2904" s="162"/>
    </row>
    <row r="2905" spans="1:19">
      <c r="A2905" s="294"/>
      <c r="B2905" s="164"/>
      <c r="C2905" s="165"/>
      <c r="D2905" s="165"/>
      <c r="E2905" s="165"/>
      <c r="F2905" s="165"/>
      <c r="G2905" s="166"/>
      <c r="I2905" s="295" t="s">
        <v>783</v>
      </c>
      <c r="J2905" s="295"/>
      <c r="K2905" s="170"/>
      <c r="L2905" s="171"/>
      <c r="M2905" s="50"/>
      <c r="N2905" s="171"/>
      <c r="O2905" s="202"/>
      <c r="P2905" s="202"/>
      <c r="Q2905" s="202"/>
      <c r="R2905" s="162"/>
      <c r="S2905" s="162"/>
    </row>
    <row r="2906" spans="1:19">
      <c r="A2906" s="294"/>
      <c r="B2906" s="161"/>
      <c r="C2906" s="162"/>
      <c r="D2906" s="162"/>
      <c r="E2906" s="162"/>
      <c r="F2906" s="162"/>
      <c r="G2906" s="163"/>
      <c r="I2906" s="295" t="s">
        <v>784</v>
      </c>
      <c r="J2906" s="295"/>
      <c r="K2906" s="170"/>
      <c r="L2906" s="171"/>
      <c r="M2906" s="50"/>
      <c r="N2906" s="171"/>
      <c r="O2906" s="202"/>
      <c r="P2906" s="202"/>
      <c r="Q2906" s="202"/>
      <c r="R2906" s="162"/>
      <c r="S2906" s="162"/>
    </row>
    <row r="2907" spans="1:19">
      <c r="A2907" s="294"/>
      <c r="B2907" s="164"/>
      <c r="C2907" s="165"/>
      <c r="D2907" s="165"/>
      <c r="E2907" s="165"/>
      <c r="F2907" s="165"/>
      <c r="G2907" s="166"/>
      <c r="I2907" s="295" t="s">
        <v>785</v>
      </c>
      <c r="J2907" s="295"/>
      <c r="K2907" s="170"/>
      <c r="L2907" s="171"/>
      <c r="M2907" s="50"/>
      <c r="N2907" s="171"/>
      <c r="O2907" s="202"/>
      <c r="P2907" s="202"/>
      <c r="Q2907" s="202"/>
      <c r="R2907" s="162"/>
      <c r="S2907" s="162"/>
    </row>
    <row r="2908" spans="1:19">
      <c r="A2908" s="294"/>
      <c r="B2908" s="161"/>
      <c r="C2908" s="162"/>
      <c r="D2908" s="162"/>
      <c r="E2908" s="162"/>
      <c r="F2908" s="162"/>
      <c r="G2908" s="163"/>
      <c r="I2908" s="295" t="s">
        <v>786</v>
      </c>
      <c r="J2908" s="295"/>
      <c r="K2908" s="170"/>
      <c r="L2908" s="171"/>
      <c r="M2908" s="50"/>
      <c r="N2908" s="171"/>
      <c r="O2908" s="202"/>
      <c r="P2908" s="202"/>
      <c r="Q2908" s="202"/>
      <c r="R2908" s="162"/>
      <c r="S2908" s="162"/>
    </row>
    <row r="2909" spans="1:19">
      <c r="A2909" s="294"/>
      <c r="B2909" s="164"/>
      <c r="C2909" s="165"/>
      <c r="D2909" s="165"/>
      <c r="E2909" s="165"/>
      <c r="F2909" s="165"/>
      <c r="G2909" s="166"/>
      <c r="I2909" s="295" t="s">
        <v>787</v>
      </c>
      <c r="J2909" s="295"/>
      <c r="K2909" s="170"/>
      <c r="L2909" s="171"/>
      <c r="M2909" s="50"/>
      <c r="N2909" s="171"/>
      <c r="O2909" s="202"/>
      <c r="P2909" s="202"/>
      <c r="Q2909" s="202"/>
      <c r="R2909" s="162"/>
      <c r="S2909" s="162"/>
    </row>
    <row r="2910" spans="1:19">
      <c r="A2910" s="294"/>
      <c r="B2910" s="161"/>
      <c r="C2910" s="162"/>
      <c r="D2910" s="162"/>
      <c r="E2910" s="162"/>
      <c r="F2910" s="162"/>
      <c r="G2910" s="163"/>
      <c r="I2910" s="295" t="s">
        <v>788</v>
      </c>
      <c r="J2910" s="295"/>
      <c r="K2910" s="170"/>
      <c r="L2910" s="171"/>
      <c r="M2910" s="50"/>
      <c r="N2910" s="171"/>
      <c r="O2910" s="202"/>
      <c r="P2910" s="202"/>
      <c r="Q2910" s="202"/>
      <c r="R2910" s="162"/>
      <c r="S2910" s="162"/>
    </row>
    <row r="2911" spans="1:19">
      <c r="A2911" s="294"/>
      <c r="B2911" s="164"/>
      <c r="C2911" s="165"/>
      <c r="D2911" s="165"/>
      <c r="E2911" s="165"/>
      <c r="F2911" s="165"/>
      <c r="G2911" s="166"/>
      <c r="I2911" s="295" t="s">
        <v>789</v>
      </c>
      <c r="J2911" s="295"/>
      <c r="K2911" s="170"/>
      <c r="L2911" s="171"/>
      <c r="M2911" s="50"/>
      <c r="N2911" s="171"/>
      <c r="O2911" s="202"/>
      <c r="P2911" s="202"/>
      <c r="Q2911" s="202"/>
      <c r="R2911" s="162"/>
      <c r="S2911" s="162"/>
    </row>
    <row r="2912" spans="1:19">
      <c r="A2912" s="63"/>
      <c r="B2912" s="63"/>
      <c r="C2912" s="63"/>
      <c r="D2912" s="63"/>
      <c r="E2912" s="63"/>
      <c r="F2912" s="63"/>
      <c r="G2912" s="63"/>
      <c r="I2912" s="295" t="s">
        <v>790</v>
      </c>
      <c r="J2912" s="295"/>
      <c r="K2912" s="170"/>
      <c r="L2912" s="171"/>
      <c r="M2912" s="50"/>
      <c r="N2912" s="171"/>
      <c r="O2912" s="202"/>
      <c r="P2912" s="202"/>
      <c r="Q2912" s="202"/>
      <c r="R2912" s="162"/>
      <c r="S2912" s="162"/>
    </row>
    <row r="2913" spans="1:19">
      <c r="A2913" s="63"/>
      <c r="B2913" s="63"/>
      <c r="C2913" s="63"/>
      <c r="D2913" s="63"/>
      <c r="E2913" s="63"/>
      <c r="F2913" s="63"/>
      <c r="G2913" s="63"/>
      <c r="I2913" s="295" t="s">
        <v>791</v>
      </c>
      <c r="J2913" s="295"/>
      <c r="K2913" s="170"/>
      <c r="L2913" s="171"/>
      <c r="M2913" s="50"/>
      <c r="N2913" s="171"/>
      <c r="O2913" s="202"/>
      <c r="P2913" s="202"/>
      <c r="Q2913" s="202"/>
      <c r="R2913" s="162"/>
      <c r="S2913" s="162"/>
    </row>
    <row r="2914" spans="1:19">
      <c r="A2914" s="63"/>
      <c r="B2914" s="63"/>
      <c r="C2914" s="63"/>
      <c r="D2914" s="63"/>
      <c r="E2914" s="63"/>
      <c r="F2914" s="63"/>
      <c r="G2914" s="63"/>
      <c r="I2914" s="296" t="s">
        <v>792</v>
      </c>
      <c r="J2914" s="296"/>
      <c r="K2914" s="170"/>
      <c r="L2914" s="171"/>
      <c r="M2914" s="50"/>
      <c r="N2914" s="171"/>
      <c r="O2914" s="202"/>
      <c r="P2914" s="202"/>
      <c r="Q2914" s="202"/>
      <c r="R2914" s="162"/>
      <c r="S2914" s="162"/>
    </row>
    <row r="2915" spans="1:19" ht="17.25" thickBot="1">
      <c r="A2915" s="63"/>
      <c r="B2915" s="63"/>
      <c r="C2915" s="63"/>
      <c r="D2915" s="63"/>
      <c r="E2915" s="63"/>
      <c r="F2915" s="63"/>
      <c r="G2915" s="63"/>
      <c r="I2915" s="297" t="s">
        <v>793</v>
      </c>
      <c r="J2915" s="297"/>
      <c r="K2915" s="172">
        <f t="shared" ref="K2915:S2915" si="1369">SUM(K2904:K2914)</f>
        <v>0</v>
      </c>
      <c r="L2915" s="205">
        <f t="shared" si="1369"/>
        <v>0</v>
      </c>
      <c r="M2915" s="205">
        <f t="shared" si="1369"/>
        <v>0</v>
      </c>
      <c r="N2915" s="205">
        <f t="shared" si="1369"/>
        <v>0</v>
      </c>
      <c r="O2915" s="174">
        <f t="shared" si="1369"/>
        <v>0</v>
      </c>
      <c r="P2915" s="174">
        <f t="shared" si="1369"/>
        <v>0</v>
      </c>
      <c r="Q2915" s="174">
        <f t="shared" si="1369"/>
        <v>0</v>
      </c>
      <c r="R2915" s="175">
        <f t="shared" si="1369"/>
        <v>0</v>
      </c>
      <c r="S2915" s="175">
        <f t="shared" si="1369"/>
        <v>0</v>
      </c>
    </row>
    <row r="2916" spans="1:19" ht="17.25" thickBot="1">
      <c r="A2916" s="63"/>
      <c r="B2916" s="63"/>
      <c r="C2916" s="63"/>
      <c r="D2916" s="63"/>
      <c r="E2916" s="63"/>
      <c r="F2916" s="63"/>
      <c r="G2916" s="63"/>
      <c r="I2916" s="298" t="s">
        <v>794</v>
      </c>
      <c r="J2916" s="299"/>
      <c r="K2916" s="176">
        <f t="shared" ref="K2916" si="1370">S2895-K2915</f>
        <v>0</v>
      </c>
      <c r="L2916" s="177">
        <f t="shared" ref="L2916" si="1371">K2915-L2915</f>
        <v>0</v>
      </c>
      <c r="M2916" s="177">
        <f t="shared" ref="M2916" si="1372">K2915-M2915</f>
        <v>0</v>
      </c>
      <c r="N2916" s="177">
        <f t="shared" ref="N2916" si="1373">K2915-N2915</f>
        <v>0</v>
      </c>
      <c r="O2916" s="178">
        <f t="shared" ref="O2916" si="1374">K2915-O2915</f>
        <v>0</v>
      </c>
      <c r="P2916" s="178">
        <f t="shared" ref="P2916" si="1375">K2915-P2915</f>
        <v>0</v>
      </c>
      <c r="Q2916" s="178">
        <f t="shared" ref="Q2916" si="1376">K2915-Q2915</f>
        <v>0</v>
      </c>
      <c r="R2916" s="179">
        <f t="shared" ref="R2916" si="1377">K2915-R2915</f>
        <v>0</v>
      </c>
      <c r="S2916" s="180">
        <f t="shared" ref="S2916" si="1378">L2915-S2915</f>
        <v>0</v>
      </c>
    </row>
    <row r="2917" spans="1:19">
      <c r="A2917" s="63"/>
      <c r="B2917" s="63"/>
      <c r="C2917" s="63"/>
      <c r="D2917" s="63"/>
      <c r="E2917" s="63"/>
      <c r="F2917" s="63"/>
      <c r="G2917" s="63"/>
      <c r="I2917" s="300" t="s">
        <v>795</v>
      </c>
      <c r="J2917" s="301"/>
      <c r="K2917" s="181"/>
      <c r="L2917" s="182"/>
      <c r="M2917" s="182"/>
      <c r="N2917" s="182"/>
      <c r="O2917" s="183"/>
      <c r="P2917" s="182"/>
      <c r="Q2917" s="182"/>
      <c r="R2917" s="182"/>
      <c r="S2917" s="182"/>
    </row>
    <row r="2918" spans="1:19">
      <c r="A2918" s="63"/>
      <c r="B2918" s="63"/>
      <c r="C2918" s="63"/>
      <c r="D2918" s="63"/>
      <c r="E2918" s="63"/>
      <c r="F2918" s="63"/>
      <c r="G2918" s="63"/>
      <c r="I2918" s="302" t="s">
        <v>796</v>
      </c>
      <c r="J2918" s="302"/>
      <c r="K2918" s="184"/>
      <c r="L2918" s="203"/>
      <c r="M2918" s="203"/>
      <c r="N2918" s="203"/>
      <c r="O2918" s="203"/>
      <c r="P2918" s="203"/>
      <c r="Q2918" s="203"/>
      <c r="R2918" s="203"/>
      <c r="S2918" s="203"/>
    </row>
    <row r="2919" spans="1:19">
      <c r="A2919" s="63"/>
      <c r="B2919" s="63"/>
      <c r="C2919" s="63"/>
      <c r="D2919" s="63"/>
      <c r="E2919" s="63"/>
      <c r="F2919" s="63"/>
      <c r="G2919" s="63"/>
      <c r="I2919" s="302" t="s">
        <v>797</v>
      </c>
      <c r="J2919" s="302"/>
      <c r="K2919" s="184"/>
      <c r="L2919" s="203"/>
      <c r="M2919" s="203"/>
      <c r="N2919" s="203"/>
      <c r="O2919" s="203"/>
      <c r="P2919" s="203"/>
      <c r="Q2919" s="203"/>
      <c r="R2919" s="203"/>
      <c r="S2919" s="203"/>
    </row>
    <row r="2920" spans="1:19">
      <c r="A2920" s="63"/>
      <c r="B2920" s="63"/>
      <c r="C2920" s="63"/>
      <c r="D2920" s="63"/>
      <c r="E2920" s="63"/>
      <c r="F2920" s="63"/>
      <c r="G2920" s="63"/>
      <c r="I2920" s="303" t="s">
        <v>798</v>
      </c>
      <c r="J2920" s="303"/>
      <c r="K2920" s="184"/>
      <c r="L2920" s="185"/>
      <c r="M2920" s="185"/>
      <c r="N2920" s="185"/>
      <c r="O2920" s="185"/>
      <c r="P2920" s="204"/>
      <c r="Q2920" s="204"/>
      <c r="R2920" s="204"/>
      <c r="S2920" s="204"/>
    </row>
    <row r="2921" spans="1:19">
      <c r="A2921" s="3" t="s">
        <v>801</v>
      </c>
      <c r="B2921" s="201" t="s">
        <v>802</v>
      </c>
      <c r="C2921" s="201" t="s">
        <v>803</v>
      </c>
      <c r="D2921" s="201" t="s">
        <v>119</v>
      </c>
      <c r="E2921" s="201" t="s">
        <v>148</v>
      </c>
      <c r="F2921" s="201" t="s">
        <v>806</v>
      </c>
      <c r="G2921" s="201" t="s">
        <v>81</v>
      </c>
      <c r="I2921" s="187"/>
      <c r="J2921" s="187"/>
      <c r="K2921" s="187"/>
      <c r="L2921" s="188"/>
      <c r="M2921" s="188"/>
      <c r="N2921" s="188"/>
      <c r="O2921" s="188"/>
      <c r="P2921" s="187"/>
      <c r="Q2921" s="187"/>
      <c r="R2921" s="187"/>
      <c r="S2921" s="187"/>
    </row>
    <row r="2922" spans="1:19">
      <c r="A2922" s="293">
        <v>44185</v>
      </c>
      <c r="B2922" s="161"/>
      <c r="C2922" s="162"/>
      <c r="D2922" s="162"/>
      <c r="E2922" s="162"/>
      <c r="F2922" s="162"/>
      <c r="G2922" s="163"/>
      <c r="I2922" s="191"/>
      <c r="J2922" s="190"/>
      <c r="K2922" s="190"/>
      <c r="L2922" s="190"/>
      <c r="M2922" s="190">
        <v>44185</v>
      </c>
      <c r="N2922" s="189" t="s">
        <v>864</v>
      </c>
      <c r="O2922" s="189"/>
      <c r="P2922" s="189"/>
      <c r="Q2922" s="189"/>
      <c r="R2922" s="189"/>
      <c r="S2922" s="189"/>
    </row>
    <row r="2923" spans="1:19">
      <c r="A2923" s="294"/>
      <c r="B2923" s="164"/>
      <c r="C2923" s="165"/>
      <c r="D2923" s="165"/>
      <c r="E2923" s="165"/>
      <c r="F2923" s="165"/>
      <c r="G2923" s="166"/>
      <c r="I2923" s="304"/>
      <c r="J2923" s="304"/>
      <c r="K2923" s="167"/>
      <c r="L2923" s="168"/>
      <c r="M2923" s="168"/>
      <c r="N2923" s="168"/>
      <c r="O2923" s="169"/>
      <c r="P2923" s="169"/>
      <c r="Q2923" s="169"/>
      <c r="R2923" s="161"/>
      <c r="S2923" s="161"/>
    </row>
    <row r="2924" spans="1:19">
      <c r="A2924" s="294"/>
      <c r="B2924" s="161"/>
      <c r="C2924" s="162"/>
      <c r="D2924" s="162"/>
      <c r="E2924" s="162"/>
      <c r="F2924" s="162"/>
      <c r="G2924" s="163"/>
      <c r="I2924" s="295" t="s">
        <v>782</v>
      </c>
      <c r="J2924" s="296"/>
      <c r="K2924" s="170"/>
      <c r="L2924" s="171"/>
      <c r="M2924" s="50"/>
      <c r="N2924" s="171"/>
      <c r="O2924" s="202"/>
      <c r="P2924" s="202"/>
      <c r="Q2924" s="202"/>
      <c r="R2924" s="162"/>
      <c r="S2924" s="162"/>
    </row>
    <row r="2925" spans="1:19">
      <c r="A2925" s="294"/>
      <c r="B2925" s="164"/>
      <c r="C2925" s="165"/>
      <c r="D2925" s="165"/>
      <c r="E2925" s="165"/>
      <c r="F2925" s="165"/>
      <c r="G2925" s="166"/>
      <c r="I2925" s="295" t="s">
        <v>783</v>
      </c>
      <c r="J2925" s="295"/>
      <c r="K2925" s="170"/>
      <c r="L2925" s="171"/>
      <c r="M2925" s="50"/>
      <c r="N2925" s="171"/>
      <c r="O2925" s="202"/>
      <c r="P2925" s="202"/>
      <c r="Q2925" s="202"/>
      <c r="R2925" s="162"/>
      <c r="S2925" s="162"/>
    </row>
    <row r="2926" spans="1:19">
      <c r="A2926" s="294"/>
      <c r="B2926" s="161"/>
      <c r="C2926" s="162"/>
      <c r="D2926" s="162"/>
      <c r="E2926" s="162"/>
      <c r="F2926" s="162"/>
      <c r="G2926" s="163"/>
      <c r="I2926" s="295" t="s">
        <v>784</v>
      </c>
      <c r="J2926" s="295"/>
      <c r="K2926" s="170"/>
      <c r="L2926" s="171"/>
      <c r="M2926" s="50"/>
      <c r="N2926" s="171"/>
      <c r="O2926" s="202"/>
      <c r="P2926" s="202"/>
      <c r="Q2926" s="202"/>
      <c r="R2926" s="162"/>
      <c r="S2926" s="162"/>
    </row>
    <row r="2927" spans="1:19">
      <c r="A2927" s="294"/>
      <c r="B2927" s="164"/>
      <c r="C2927" s="165"/>
      <c r="D2927" s="165"/>
      <c r="E2927" s="165"/>
      <c r="F2927" s="165"/>
      <c r="G2927" s="166"/>
      <c r="I2927" s="295" t="s">
        <v>785</v>
      </c>
      <c r="J2927" s="295"/>
      <c r="K2927" s="170"/>
      <c r="L2927" s="171"/>
      <c r="M2927" s="50"/>
      <c r="N2927" s="171"/>
      <c r="O2927" s="202"/>
      <c r="P2927" s="202"/>
      <c r="Q2927" s="202"/>
      <c r="R2927" s="162"/>
      <c r="S2927" s="162"/>
    </row>
    <row r="2928" spans="1:19">
      <c r="A2928" s="294"/>
      <c r="B2928" s="161"/>
      <c r="C2928" s="162"/>
      <c r="D2928" s="162"/>
      <c r="E2928" s="162"/>
      <c r="F2928" s="162"/>
      <c r="G2928" s="163"/>
      <c r="I2928" s="295" t="s">
        <v>786</v>
      </c>
      <c r="J2928" s="295"/>
      <c r="K2928" s="170"/>
      <c r="L2928" s="171"/>
      <c r="M2928" s="50"/>
      <c r="N2928" s="171"/>
      <c r="O2928" s="202"/>
      <c r="P2928" s="202"/>
      <c r="Q2928" s="202"/>
      <c r="R2928" s="162"/>
      <c r="S2928" s="162"/>
    </row>
    <row r="2929" spans="1:19">
      <c r="A2929" s="294"/>
      <c r="B2929" s="164"/>
      <c r="C2929" s="165"/>
      <c r="D2929" s="165"/>
      <c r="E2929" s="165"/>
      <c r="F2929" s="165"/>
      <c r="G2929" s="166"/>
      <c r="I2929" s="295" t="s">
        <v>787</v>
      </c>
      <c r="J2929" s="295"/>
      <c r="K2929" s="170"/>
      <c r="L2929" s="171"/>
      <c r="M2929" s="50"/>
      <c r="N2929" s="171"/>
      <c r="O2929" s="202"/>
      <c r="P2929" s="202"/>
      <c r="Q2929" s="202"/>
      <c r="R2929" s="162"/>
      <c r="S2929" s="162"/>
    </row>
    <row r="2930" spans="1:19">
      <c r="A2930" s="294"/>
      <c r="B2930" s="161"/>
      <c r="C2930" s="162"/>
      <c r="D2930" s="162"/>
      <c r="E2930" s="162"/>
      <c r="F2930" s="162"/>
      <c r="G2930" s="163"/>
      <c r="I2930" s="295" t="s">
        <v>788</v>
      </c>
      <c r="J2930" s="295"/>
      <c r="K2930" s="170"/>
      <c r="L2930" s="171"/>
      <c r="M2930" s="50"/>
      <c r="N2930" s="171"/>
      <c r="O2930" s="202"/>
      <c r="P2930" s="202"/>
      <c r="Q2930" s="202"/>
      <c r="R2930" s="162"/>
      <c r="S2930" s="162"/>
    </row>
    <row r="2931" spans="1:19">
      <c r="A2931" s="294"/>
      <c r="B2931" s="164"/>
      <c r="C2931" s="165"/>
      <c r="D2931" s="165"/>
      <c r="E2931" s="165"/>
      <c r="F2931" s="165"/>
      <c r="G2931" s="166"/>
      <c r="I2931" s="295" t="s">
        <v>789</v>
      </c>
      <c r="J2931" s="295"/>
      <c r="K2931" s="170"/>
      <c r="L2931" s="171"/>
      <c r="M2931" s="50"/>
      <c r="N2931" s="171"/>
      <c r="O2931" s="202"/>
      <c r="P2931" s="202"/>
      <c r="Q2931" s="202"/>
      <c r="R2931" s="162"/>
      <c r="S2931" s="162"/>
    </row>
    <row r="2932" spans="1:19">
      <c r="A2932" s="63"/>
      <c r="B2932" s="63"/>
      <c r="C2932" s="63"/>
      <c r="D2932" s="63"/>
      <c r="E2932" s="63"/>
      <c r="F2932" s="63"/>
      <c r="G2932" s="63"/>
      <c r="I2932" s="295" t="s">
        <v>790</v>
      </c>
      <c r="J2932" s="295"/>
      <c r="K2932" s="170"/>
      <c r="L2932" s="171"/>
      <c r="M2932" s="50"/>
      <c r="N2932" s="171"/>
      <c r="O2932" s="202"/>
      <c r="P2932" s="202"/>
      <c r="Q2932" s="202"/>
      <c r="R2932" s="162"/>
      <c r="S2932" s="162"/>
    </row>
    <row r="2933" spans="1:19">
      <c r="A2933" s="63"/>
      <c r="B2933" s="63"/>
      <c r="C2933" s="63"/>
      <c r="D2933" s="63"/>
      <c r="E2933" s="63"/>
      <c r="F2933" s="63"/>
      <c r="G2933" s="63"/>
      <c r="I2933" s="295" t="s">
        <v>791</v>
      </c>
      <c r="J2933" s="295"/>
      <c r="K2933" s="170"/>
      <c r="L2933" s="171"/>
      <c r="M2933" s="50"/>
      <c r="N2933" s="171"/>
      <c r="O2933" s="202"/>
      <c r="P2933" s="202"/>
      <c r="Q2933" s="202"/>
      <c r="R2933" s="162"/>
      <c r="S2933" s="162"/>
    </row>
    <row r="2934" spans="1:19">
      <c r="A2934" s="63"/>
      <c r="B2934" s="63"/>
      <c r="C2934" s="63"/>
      <c r="D2934" s="63"/>
      <c r="E2934" s="63"/>
      <c r="F2934" s="63"/>
      <c r="G2934" s="63"/>
      <c r="I2934" s="296" t="s">
        <v>792</v>
      </c>
      <c r="J2934" s="296"/>
      <c r="K2934" s="170"/>
      <c r="L2934" s="171"/>
      <c r="M2934" s="50"/>
      <c r="N2934" s="171"/>
      <c r="O2934" s="202"/>
      <c r="P2934" s="202"/>
      <c r="Q2934" s="202"/>
      <c r="R2934" s="162"/>
      <c r="S2934" s="162"/>
    </row>
    <row r="2935" spans="1:19" ht="17.25" thickBot="1">
      <c r="A2935" s="63"/>
      <c r="B2935" s="63"/>
      <c r="C2935" s="63"/>
      <c r="D2935" s="63"/>
      <c r="E2935" s="63"/>
      <c r="F2935" s="63"/>
      <c r="G2935" s="63"/>
      <c r="I2935" s="297" t="s">
        <v>793</v>
      </c>
      <c r="J2935" s="297"/>
      <c r="K2935" s="172">
        <f t="shared" ref="K2935:S2935" si="1379">SUM(K2924:K2934)</f>
        <v>0</v>
      </c>
      <c r="L2935" s="205">
        <f t="shared" si="1379"/>
        <v>0</v>
      </c>
      <c r="M2935" s="205">
        <f t="shared" si="1379"/>
        <v>0</v>
      </c>
      <c r="N2935" s="205">
        <f t="shared" si="1379"/>
        <v>0</v>
      </c>
      <c r="O2935" s="174">
        <f t="shared" si="1379"/>
        <v>0</v>
      </c>
      <c r="P2935" s="174">
        <f t="shared" si="1379"/>
        <v>0</v>
      </c>
      <c r="Q2935" s="174">
        <f t="shared" si="1379"/>
        <v>0</v>
      </c>
      <c r="R2935" s="175">
        <f t="shared" si="1379"/>
        <v>0</v>
      </c>
      <c r="S2935" s="175">
        <f t="shared" si="1379"/>
        <v>0</v>
      </c>
    </row>
    <row r="2936" spans="1:19" ht="17.25" thickBot="1">
      <c r="A2936" s="63"/>
      <c r="B2936" s="63"/>
      <c r="C2936" s="63"/>
      <c r="D2936" s="63"/>
      <c r="E2936" s="63"/>
      <c r="F2936" s="63"/>
      <c r="G2936" s="63"/>
      <c r="I2936" s="298" t="s">
        <v>794</v>
      </c>
      <c r="J2936" s="299"/>
      <c r="K2936" s="176">
        <f t="shared" ref="K2936" si="1380">S2915-K2935</f>
        <v>0</v>
      </c>
      <c r="L2936" s="177">
        <f t="shared" ref="L2936" si="1381">K2935-L2935</f>
        <v>0</v>
      </c>
      <c r="M2936" s="177">
        <f t="shared" ref="M2936" si="1382">K2935-M2935</f>
        <v>0</v>
      </c>
      <c r="N2936" s="177">
        <f t="shared" ref="N2936" si="1383">K2935-N2935</f>
        <v>0</v>
      </c>
      <c r="O2936" s="178">
        <f t="shared" ref="O2936" si="1384">K2935-O2935</f>
        <v>0</v>
      </c>
      <c r="P2936" s="178">
        <f t="shared" ref="P2936" si="1385">K2935-P2935</f>
        <v>0</v>
      </c>
      <c r="Q2936" s="178">
        <f t="shared" ref="Q2936" si="1386">K2935-Q2935</f>
        <v>0</v>
      </c>
      <c r="R2936" s="179">
        <f t="shared" ref="R2936" si="1387">K2935-R2935</f>
        <v>0</v>
      </c>
      <c r="S2936" s="180">
        <f t="shared" ref="S2936" si="1388">L2935-S2935</f>
        <v>0</v>
      </c>
    </row>
    <row r="2937" spans="1:19">
      <c r="A2937" s="63"/>
      <c r="B2937" s="63"/>
      <c r="C2937" s="63"/>
      <c r="D2937" s="63"/>
      <c r="E2937" s="63"/>
      <c r="F2937" s="63"/>
      <c r="G2937" s="63"/>
      <c r="I2937" s="300" t="s">
        <v>795</v>
      </c>
      <c r="J2937" s="301"/>
      <c r="K2937" s="181"/>
      <c r="L2937" s="182"/>
      <c r="M2937" s="182"/>
      <c r="N2937" s="182"/>
      <c r="O2937" s="183"/>
      <c r="P2937" s="182"/>
      <c r="Q2937" s="182"/>
      <c r="R2937" s="182"/>
      <c r="S2937" s="182"/>
    </row>
    <row r="2938" spans="1:19">
      <c r="A2938" s="63"/>
      <c r="B2938" s="63"/>
      <c r="C2938" s="63"/>
      <c r="D2938" s="63"/>
      <c r="E2938" s="63"/>
      <c r="F2938" s="63"/>
      <c r="G2938" s="63"/>
      <c r="I2938" s="302" t="s">
        <v>796</v>
      </c>
      <c r="J2938" s="302"/>
      <c r="K2938" s="184"/>
      <c r="L2938" s="203"/>
      <c r="M2938" s="203"/>
      <c r="N2938" s="203"/>
      <c r="O2938" s="203"/>
      <c r="P2938" s="203"/>
      <c r="Q2938" s="203"/>
      <c r="R2938" s="203"/>
      <c r="S2938" s="203"/>
    </row>
    <row r="2939" spans="1:19">
      <c r="A2939" s="63"/>
      <c r="B2939" s="63"/>
      <c r="C2939" s="63"/>
      <c r="D2939" s="63"/>
      <c r="E2939" s="63"/>
      <c r="F2939" s="63"/>
      <c r="G2939" s="63"/>
      <c r="I2939" s="302" t="s">
        <v>797</v>
      </c>
      <c r="J2939" s="302"/>
      <c r="K2939" s="184"/>
      <c r="L2939" s="203"/>
      <c r="M2939" s="203"/>
      <c r="N2939" s="203"/>
      <c r="O2939" s="203"/>
      <c r="P2939" s="203"/>
      <c r="Q2939" s="203"/>
      <c r="R2939" s="203"/>
      <c r="S2939" s="203"/>
    </row>
    <row r="2940" spans="1:19">
      <c r="A2940" s="63"/>
      <c r="B2940" s="63"/>
      <c r="C2940" s="63"/>
      <c r="D2940" s="63"/>
      <c r="E2940" s="63"/>
      <c r="F2940" s="63"/>
      <c r="G2940" s="63"/>
      <c r="I2940" s="303" t="s">
        <v>798</v>
      </c>
      <c r="J2940" s="303"/>
      <c r="K2940" s="184"/>
      <c r="L2940" s="185"/>
      <c r="M2940" s="185"/>
      <c r="N2940" s="185"/>
      <c r="O2940" s="185"/>
      <c r="P2940" s="204"/>
      <c r="Q2940" s="204"/>
      <c r="R2940" s="204"/>
      <c r="S2940" s="204"/>
    </row>
    <row r="2941" spans="1:19">
      <c r="A2941" s="3" t="s">
        <v>801</v>
      </c>
      <c r="B2941" s="201" t="s">
        <v>802</v>
      </c>
      <c r="C2941" s="201" t="s">
        <v>803</v>
      </c>
      <c r="D2941" s="201" t="s">
        <v>119</v>
      </c>
      <c r="E2941" s="201" t="s">
        <v>148</v>
      </c>
      <c r="F2941" s="201" t="s">
        <v>806</v>
      </c>
      <c r="G2941" s="201" t="s">
        <v>81</v>
      </c>
      <c r="I2941" s="187"/>
      <c r="J2941" s="187"/>
      <c r="K2941" s="187"/>
      <c r="L2941" s="188"/>
      <c r="M2941" s="188"/>
      <c r="N2941" s="188"/>
      <c r="O2941" s="188"/>
      <c r="P2941" s="187"/>
      <c r="Q2941" s="187"/>
      <c r="R2941" s="187"/>
      <c r="S2941" s="187"/>
    </row>
    <row r="2942" spans="1:19">
      <c r="A2942" s="293">
        <v>44186</v>
      </c>
      <c r="B2942" s="161"/>
      <c r="C2942" s="162"/>
      <c r="D2942" s="162"/>
      <c r="E2942" s="162"/>
      <c r="F2942" s="162"/>
      <c r="G2942" s="163"/>
      <c r="I2942" s="191"/>
      <c r="J2942" s="190"/>
      <c r="K2942" s="190"/>
      <c r="L2942" s="190"/>
      <c r="M2942" s="190">
        <v>44186</v>
      </c>
      <c r="N2942" s="189" t="s">
        <v>864</v>
      </c>
      <c r="O2942" s="189"/>
      <c r="P2942" s="189"/>
      <c r="Q2942" s="189"/>
      <c r="R2942" s="189"/>
      <c r="S2942" s="189"/>
    </row>
    <row r="2943" spans="1:19">
      <c r="A2943" s="294"/>
      <c r="B2943" s="164"/>
      <c r="C2943" s="165"/>
      <c r="D2943" s="165"/>
      <c r="E2943" s="165"/>
      <c r="F2943" s="165"/>
      <c r="G2943" s="166"/>
      <c r="I2943" s="304"/>
      <c r="J2943" s="304"/>
      <c r="K2943" s="167"/>
      <c r="L2943" s="168"/>
      <c r="M2943" s="168"/>
      <c r="N2943" s="168"/>
      <c r="O2943" s="169"/>
      <c r="P2943" s="169"/>
      <c r="Q2943" s="169"/>
      <c r="R2943" s="161"/>
      <c r="S2943" s="161"/>
    </row>
    <row r="2944" spans="1:19">
      <c r="A2944" s="294"/>
      <c r="B2944" s="161"/>
      <c r="C2944" s="162"/>
      <c r="D2944" s="162"/>
      <c r="E2944" s="162"/>
      <c r="F2944" s="162"/>
      <c r="G2944" s="163"/>
      <c r="I2944" s="295" t="s">
        <v>782</v>
      </c>
      <c r="J2944" s="296"/>
      <c r="K2944" s="170"/>
      <c r="L2944" s="171"/>
      <c r="M2944" s="50"/>
      <c r="N2944" s="171"/>
      <c r="O2944" s="202"/>
      <c r="P2944" s="202"/>
      <c r="Q2944" s="202"/>
      <c r="R2944" s="162"/>
      <c r="S2944" s="162"/>
    </row>
    <row r="2945" spans="1:19">
      <c r="A2945" s="294"/>
      <c r="B2945" s="164"/>
      <c r="C2945" s="165"/>
      <c r="D2945" s="165"/>
      <c r="E2945" s="165"/>
      <c r="F2945" s="165"/>
      <c r="G2945" s="166"/>
      <c r="I2945" s="295" t="s">
        <v>783</v>
      </c>
      <c r="J2945" s="295"/>
      <c r="K2945" s="170"/>
      <c r="L2945" s="171"/>
      <c r="M2945" s="50"/>
      <c r="N2945" s="171"/>
      <c r="O2945" s="202"/>
      <c r="P2945" s="202"/>
      <c r="Q2945" s="202"/>
      <c r="R2945" s="162"/>
      <c r="S2945" s="162"/>
    </row>
    <row r="2946" spans="1:19">
      <c r="A2946" s="294"/>
      <c r="B2946" s="161"/>
      <c r="C2946" s="162"/>
      <c r="D2946" s="162"/>
      <c r="E2946" s="162"/>
      <c r="F2946" s="162"/>
      <c r="G2946" s="163"/>
      <c r="I2946" s="295" t="s">
        <v>784</v>
      </c>
      <c r="J2946" s="295"/>
      <c r="K2946" s="170"/>
      <c r="L2946" s="171"/>
      <c r="M2946" s="50"/>
      <c r="N2946" s="171"/>
      <c r="O2946" s="202"/>
      <c r="P2946" s="202"/>
      <c r="Q2946" s="202"/>
      <c r="R2946" s="162"/>
      <c r="S2946" s="162"/>
    </row>
    <row r="2947" spans="1:19">
      <c r="A2947" s="294"/>
      <c r="B2947" s="164"/>
      <c r="C2947" s="165"/>
      <c r="D2947" s="165"/>
      <c r="E2947" s="165"/>
      <c r="F2947" s="165"/>
      <c r="G2947" s="166"/>
      <c r="I2947" s="295" t="s">
        <v>785</v>
      </c>
      <c r="J2947" s="295"/>
      <c r="K2947" s="170"/>
      <c r="L2947" s="171"/>
      <c r="M2947" s="50"/>
      <c r="N2947" s="171"/>
      <c r="O2947" s="202"/>
      <c r="P2947" s="202"/>
      <c r="Q2947" s="202"/>
      <c r="R2947" s="162"/>
      <c r="S2947" s="162"/>
    </row>
    <row r="2948" spans="1:19">
      <c r="A2948" s="294"/>
      <c r="B2948" s="161"/>
      <c r="C2948" s="162"/>
      <c r="D2948" s="162"/>
      <c r="E2948" s="162"/>
      <c r="F2948" s="162"/>
      <c r="G2948" s="163"/>
      <c r="I2948" s="295" t="s">
        <v>786</v>
      </c>
      <c r="J2948" s="295"/>
      <c r="K2948" s="170"/>
      <c r="L2948" s="171"/>
      <c r="M2948" s="50"/>
      <c r="N2948" s="171"/>
      <c r="O2948" s="202"/>
      <c r="P2948" s="202"/>
      <c r="Q2948" s="202"/>
      <c r="R2948" s="162"/>
      <c r="S2948" s="162"/>
    </row>
    <row r="2949" spans="1:19">
      <c r="A2949" s="294"/>
      <c r="B2949" s="164"/>
      <c r="C2949" s="165"/>
      <c r="D2949" s="165"/>
      <c r="E2949" s="165"/>
      <c r="F2949" s="165"/>
      <c r="G2949" s="166"/>
      <c r="I2949" s="295" t="s">
        <v>787</v>
      </c>
      <c r="J2949" s="295"/>
      <c r="K2949" s="170"/>
      <c r="L2949" s="171"/>
      <c r="M2949" s="50"/>
      <c r="N2949" s="171"/>
      <c r="O2949" s="202"/>
      <c r="P2949" s="202"/>
      <c r="Q2949" s="202"/>
      <c r="R2949" s="162"/>
      <c r="S2949" s="162"/>
    </row>
    <row r="2950" spans="1:19">
      <c r="A2950" s="294"/>
      <c r="B2950" s="161"/>
      <c r="C2950" s="162"/>
      <c r="D2950" s="162"/>
      <c r="E2950" s="162"/>
      <c r="F2950" s="162"/>
      <c r="G2950" s="163"/>
      <c r="I2950" s="295" t="s">
        <v>788</v>
      </c>
      <c r="J2950" s="295"/>
      <c r="K2950" s="170"/>
      <c r="L2950" s="171"/>
      <c r="M2950" s="50"/>
      <c r="N2950" s="171"/>
      <c r="O2950" s="202"/>
      <c r="P2950" s="202"/>
      <c r="Q2950" s="202"/>
      <c r="R2950" s="162"/>
      <c r="S2950" s="162"/>
    </row>
    <row r="2951" spans="1:19">
      <c r="A2951" s="294"/>
      <c r="B2951" s="164"/>
      <c r="C2951" s="165"/>
      <c r="D2951" s="165"/>
      <c r="E2951" s="165"/>
      <c r="F2951" s="165"/>
      <c r="G2951" s="166"/>
      <c r="I2951" s="295" t="s">
        <v>789</v>
      </c>
      <c r="J2951" s="295"/>
      <c r="K2951" s="170"/>
      <c r="L2951" s="171"/>
      <c r="M2951" s="50"/>
      <c r="N2951" s="171"/>
      <c r="O2951" s="202"/>
      <c r="P2951" s="202"/>
      <c r="Q2951" s="202"/>
      <c r="R2951" s="162"/>
      <c r="S2951" s="162"/>
    </row>
    <row r="2952" spans="1:19">
      <c r="A2952" s="63"/>
      <c r="B2952" s="63"/>
      <c r="C2952" s="63"/>
      <c r="D2952" s="63"/>
      <c r="E2952" s="63"/>
      <c r="F2952" s="63"/>
      <c r="G2952" s="63"/>
      <c r="I2952" s="295" t="s">
        <v>790</v>
      </c>
      <c r="J2952" s="295"/>
      <c r="K2952" s="170"/>
      <c r="L2952" s="171"/>
      <c r="M2952" s="50"/>
      <c r="N2952" s="171"/>
      <c r="O2952" s="202"/>
      <c r="P2952" s="202"/>
      <c r="Q2952" s="202"/>
      <c r="R2952" s="162"/>
      <c r="S2952" s="162"/>
    </row>
    <row r="2953" spans="1:19">
      <c r="A2953" s="63"/>
      <c r="B2953" s="63"/>
      <c r="C2953" s="63"/>
      <c r="D2953" s="63"/>
      <c r="E2953" s="63"/>
      <c r="F2953" s="63"/>
      <c r="G2953" s="63"/>
      <c r="I2953" s="295" t="s">
        <v>791</v>
      </c>
      <c r="J2953" s="295"/>
      <c r="K2953" s="170"/>
      <c r="L2953" s="171"/>
      <c r="M2953" s="50"/>
      <c r="N2953" s="171"/>
      <c r="O2953" s="202"/>
      <c r="P2953" s="202"/>
      <c r="Q2953" s="202"/>
      <c r="R2953" s="162"/>
      <c r="S2953" s="162"/>
    </row>
    <row r="2954" spans="1:19">
      <c r="A2954" s="63"/>
      <c r="B2954" s="63"/>
      <c r="C2954" s="63"/>
      <c r="D2954" s="63"/>
      <c r="E2954" s="63"/>
      <c r="F2954" s="63"/>
      <c r="G2954" s="63"/>
      <c r="I2954" s="296" t="s">
        <v>792</v>
      </c>
      <c r="J2954" s="296"/>
      <c r="K2954" s="170"/>
      <c r="L2954" s="171"/>
      <c r="M2954" s="50"/>
      <c r="N2954" s="171"/>
      <c r="O2954" s="202"/>
      <c r="P2954" s="202"/>
      <c r="Q2954" s="202"/>
      <c r="R2954" s="162"/>
      <c r="S2954" s="162"/>
    </row>
    <row r="2955" spans="1:19" ht="17.25" thickBot="1">
      <c r="A2955" s="63"/>
      <c r="B2955" s="63"/>
      <c r="C2955" s="63"/>
      <c r="D2955" s="63"/>
      <c r="E2955" s="63"/>
      <c r="F2955" s="63"/>
      <c r="G2955" s="63"/>
      <c r="I2955" s="297" t="s">
        <v>793</v>
      </c>
      <c r="J2955" s="297"/>
      <c r="K2955" s="172">
        <f t="shared" ref="K2955:S2955" si="1389">SUM(K2944:K2954)</f>
        <v>0</v>
      </c>
      <c r="L2955" s="205">
        <f t="shared" si="1389"/>
        <v>0</v>
      </c>
      <c r="M2955" s="205">
        <f t="shared" si="1389"/>
        <v>0</v>
      </c>
      <c r="N2955" s="205">
        <f t="shared" si="1389"/>
        <v>0</v>
      </c>
      <c r="O2955" s="174">
        <f t="shared" si="1389"/>
        <v>0</v>
      </c>
      <c r="P2955" s="174">
        <f t="shared" si="1389"/>
        <v>0</v>
      </c>
      <c r="Q2955" s="174">
        <f t="shared" si="1389"/>
        <v>0</v>
      </c>
      <c r="R2955" s="175">
        <f t="shared" si="1389"/>
        <v>0</v>
      </c>
      <c r="S2955" s="175">
        <f t="shared" si="1389"/>
        <v>0</v>
      </c>
    </row>
    <row r="2956" spans="1:19" ht="17.25" thickBot="1">
      <c r="A2956" s="63"/>
      <c r="B2956" s="63"/>
      <c r="C2956" s="63"/>
      <c r="D2956" s="63"/>
      <c r="E2956" s="63"/>
      <c r="F2956" s="63"/>
      <c r="G2956" s="63"/>
      <c r="I2956" s="298" t="s">
        <v>794</v>
      </c>
      <c r="J2956" s="299"/>
      <c r="K2956" s="176">
        <f t="shared" ref="K2956" si="1390">S2935-K2955</f>
        <v>0</v>
      </c>
      <c r="L2956" s="177">
        <f t="shared" ref="L2956" si="1391">K2955-L2955</f>
        <v>0</v>
      </c>
      <c r="M2956" s="177">
        <f t="shared" ref="M2956" si="1392">K2955-M2955</f>
        <v>0</v>
      </c>
      <c r="N2956" s="177">
        <f t="shared" ref="N2956" si="1393">K2955-N2955</f>
        <v>0</v>
      </c>
      <c r="O2956" s="178">
        <f t="shared" ref="O2956" si="1394">K2955-O2955</f>
        <v>0</v>
      </c>
      <c r="P2956" s="178">
        <f t="shared" ref="P2956" si="1395">K2955-P2955</f>
        <v>0</v>
      </c>
      <c r="Q2956" s="178">
        <f t="shared" ref="Q2956" si="1396">K2955-Q2955</f>
        <v>0</v>
      </c>
      <c r="R2956" s="179">
        <f t="shared" ref="R2956" si="1397">K2955-R2955</f>
        <v>0</v>
      </c>
      <c r="S2956" s="180">
        <f t="shared" ref="S2956" si="1398">L2955-S2955</f>
        <v>0</v>
      </c>
    </row>
    <row r="2957" spans="1:19">
      <c r="A2957" s="63"/>
      <c r="B2957" s="63"/>
      <c r="C2957" s="63"/>
      <c r="D2957" s="63"/>
      <c r="E2957" s="63"/>
      <c r="F2957" s="63"/>
      <c r="G2957" s="63"/>
      <c r="I2957" s="300" t="s">
        <v>795</v>
      </c>
      <c r="J2957" s="301"/>
      <c r="K2957" s="181"/>
      <c r="L2957" s="182"/>
      <c r="M2957" s="182"/>
      <c r="N2957" s="182"/>
      <c r="O2957" s="183"/>
      <c r="P2957" s="182"/>
      <c r="Q2957" s="182"/>
      <c r="R2957" s="182"/>
      <c r="S2957" s="182"/>
    </row>
    <row r="2958" spans="1:19">
      <c r="A2958" s="63"/>
      <c r="B2958" s="63"/>
      <c r="C2958" s="63"/>
      <c r="D2958" s="63"/>
      <c r="E2958" s="63"/>
      <c r="F2958" s="63"/>
      <c r="G2958" s="63"/>
      <c r="I2958" s="302" t="s">
        <v>796</v>
      </c>
      <c r="J2958" s="302"/>
      <c r="K2958" s="184"/>
      <c r="L2958" s="203"/>
      <c r="M2958" s="203"/>
      <c r="N2958" s="203"/>
      <c r="O2958" s="203"/>
      <c r="P2958" s="203"/>
      <c r="Q2958" s="203"/>
      <c r="R2958" s="203"/>
      <c r="S2958" s="203"/>
    </row>
    <row r="2959" spans="1:19">
      <c r="A2959" s="63"/>
      <c r="B2959" s="63"/>
      <c r="C2959" s="63"/>
      <c r="D2959" s="63"/>
      <c r="E2959" s="63"/>
      <c r="F2959" s="63"/>
      <c r="G2959" s="63"/>
      <c r="I2959" s="302" t="s">
        <v>797</v>
      </c>
      <c r="J2959" s="302"/>
      <c r="K2959" s="184"/>
      <c r="L2959" s="203"/>
      <c r="M2959" s="203"/>
      <c r="N2959" s="203"/>
      <c r="O2959" s="203"/>
      <c r="P2959" s="203"/>
      <c r="Q2959" s="203"/>
      <c r="R2959" s="203"/>
      <c r="S2959" s="203"/>
    </row>
    <row r="2960" spans="1:19">
      <c r="A2960" s="63"/>
      <c r="B2960" s="63"/>
      <c r="C2960" s="63"/>
      <c r="D2960" s="63"/>
      <c r="E2960" s="63"/>
      <c r="F2960" s="63"/>
      <c r="G2960" s="63"/>
      <c r="I2960" s="303" t="s">
        <v>798</v>
      </c>
      <c r="J2960" s="303"/>
      <c r="K2960" s="184"/>
      <c r="L2960" s="185"/>
      <c r="M2960" s="185"/>
      <c r="N2960" s="185"/>
      <c r="O2960" s="185"/>
      <c r="P2960" s="204"/>
      <c r="Q2960" s="204"/>
      <c r="R2960" s="204"/>
      <c r="S2960" s="204"/>
    </row>
    <row r="2961" spans="1:19">
      <c r="A2961" s="3" t="s">
        <v>801</v>
      </c>
      <c r="B2961" s="201" t="s">
        <v>802</v>
      </c>
      <c r="C2961" s="201" t="s">
        <v>803</v>
      </c>
      <c r="D2961" s="201" t="s">
        <v>119</v>
      </c>
      <c r="E2961" s="201" t="s">
        <v>148</v>
      </c>
      <c r="F2961" s="201" t="s">
        <v>806</v>
      </c>
      <c r="G2961" s="201" t="s">
        <v>81</v>
      </c>
      <c r="I2961" s="187"/>
      <c r="J2961" s="187"/>
      <c r="K2961" s="187"/>
      <c r="L2961" s="188"/>
      <c r="M2961" s="188"/>
      <c r="N2961" s="188"/>
      <c r="O2961" s="188"/>
      <c r="P2961" s="187"/>
      <c r="Q2961" s="187"/>
      <c r="R2961" s="187"/>
      <c r="S2961" s="187"/>
    </row>
    <row r="2962" spans="1:19">
      <c r="A2962" s="293">
        <v>44187</v>
      </c>
      <c r="B2962" s="161"/>
      <c r="C2962" s="162"/>
      <c r="D2962" s="162"/>
      <c r="E2962" s="162"/>
      <c r="F2962" s="162"/>
      <c r="G2962" s="163"/>
      <c r="I2962" s="191"/>
      <c r="J2962" s="190"/>
      <c r="K2962" s="190"/>
      <c r="L2962" s="190"/>
      <c r="M2962" s="190">
        <v>44187</v>
      </c>
      <c r="N2962" s="189" t="s">
        <v>864</v>
      </c>
      <c r="O2962" s="189"/>
      <c r="P2962" s="189"/>
      <c r="Q2962" s="189"/>
      <c r="R2962" s="189"/>
      <c r="S2962" s="189"/>
    </row>
    <row r="2963" spans="1:19">
      <c r="A2963" s="294"/>
      <c r="B2963" s="164"/>
      <c r="C2963" s="165"/>
      <c r="D2963" s="165"/>
      <c r="E2963" s="165"/>
      <c r="F2963" s="165"/>
      <c r="G2963" s="166"/>
      <c r="I2963" s="304"/>
      <c r="J2963" s="304"/>
      <c r="K2963" s="167"/>
      <c r="L2963" s="168"/>
      <c r="M2963" s="168"/>
      <c r="N2963" s="168"/>
      <c r="O2963" s="169"/>
      <c r="P2963" s="169"/>
      <c r="Q2963" s="169"/>
      <c r="R2963" s="161"/>
      <c r="S2963" s="161"/>
    </row>
    <row r="2964" spans="1:19">
      <c r="A2964" s="294"/>
      <c r="B2964" s="161"/>
      <c r="C2964" s="162"/>
      <c r="D2964" s="162"/>
      <c r="E2964" s="162"/>
      <c r="F2964" s="162"/>
      <c r="G2964" s="163"/>
      <c r="I2964" s="295" t="s">
        <v>782</v>
      </c>
      <c r="J2964" s="296"/>
      <c r="K2964" s="170"/>
      <c r="L2964" s="171"/>
      <c r="M2964" s="50"/>
      <c r="N2964" s="171"/>
      <c r="O2964" s="202"/>
      <c r="P2964" s="202"/>
      <c r="Q2964" s="202"/>
      <c r="R2964" s="162"/>
      <c r="S2964" s="162"/>
    </row>
    <row r="2965" spans="1:19">
      <c r="A2965" s="294"/>
      <c r="B2965" s="164"/>
      <c r="C2965" s="165"/>
      <c r="D2965" s="165"/>
      <c r="E2965" s="165"/>
      <c r="F2965" s="165"/>
      <c r="G2965" s="166"/>
      <c r="I2965" s="295" t="s">
        <v>783</v>
      </c>
      <c r="J2965" s="295"/>
      <c r="K2965" s="170"/>
      <c r="L2965" s="171"/>
      <c r="M2965" s="50"/>
      <c r="N2965" s="171"/>
      <c r="O2965" s="202"/>
      <c r="P2965" s="202"/>
      <c r="Q2965" s="202"/>
      <c r="R2965" s="162"/>
      <c r="S2965" s="162"/>
    </row>
    <row r="2966" spans="1:19">
      <c r="A2966" s="294"/>
      <c r="B2966" s="161"/>
      <c r="C2966" s="162"/>
      <c r="D2966" s="162"/>
      <c r="E2966" s="162"/>
      <c r="F2966" s="162"/>
      <c r="G2966" s="163"/>
      <c r="I2966" s="295" t="s">
        <v>784</v>
      </c>
      <c r="J2966" s="295"/>
      <c r="K2966" s="170"/>
      <c r="L2966" s="171"/>
      <c r="M2966" s="50"/>
      <c r="N2966" s="171"/>
      <c r="O2966" s="202"/>
      <c r="P2966" s="202"/>
      <c r="Q2966" s="202"/>
      <c r="R2966" s="162"/>
      <c r="S2966" s="162"/>
    </row>
    <row r="2967" spans="1:19">
      <c r="A2967" s="294"/>
      <c r="B2967" s="164"/>
      <c r="C2967" s="165"/>
      <c r="D2967" s="165"/>
      <c r="E2967" s="165"/>
      <c r="F2967" s="165"/>
      <c r="G2967" s="166"/>
      <c r="I2967" s="295" t="s">
        <v>785</v>
      </c>
      <c r="J2967" s="295"/>
      <c r="K2967" s="170"/>
      <c r="L2967" s="171"/>
      <c r="M2967" s="50"/>
      <c r="N2967" s="171"/>
      <c r="O2967" s="202"/>
      <c r="P2967" s="202"/>
      <c r="Q2967" s="202"/>
      <c r="R2967" s="162"/>
      <c r="S2967" s="162"/>
    </row>
    <row r="2968" spans="1:19">
      <c r="A2968" s="294"/>
      <c r="B2968" s="161"/>
      <c r="C2968" s="162"/>
      <c r="D2968" s="162"/>
      <c r="E2968" s="162"/>
      <c r="F2968" s="162"/>
      <c r="G2968" s="163"/>
      <c r="I2968" s="295" t="s">
        <v>786</v>
      </c>
      <c r="J2968" s="295"/>
      <c r="K2968" s="170"/>
      <c r="L2968" s="171"/>
      <c r="M2968" s="50"/>
      <c r="N2968" s="171"/>
      <c r="O2968" s="202"/>
      <c r="P2968" s="202"/>
      <c r="Q2968" s="202"/>
      <c r="R2968" s="162"/>
      <c r="S2968" s="162"/>
    </row>
    <row r="2969" spans="1:19">
      <c r="A2969" s="294"/>
      <c r="B2969" s="164"/>
      <c r="C2969" s="165"/>
      <c r="D2969" s="165"/>
      <c r="E2969" s="165"/>
      <c r="F2969" s="165"/>
      <c r="G2969" s="166"/>
      <c r="I2969" s="295" t="s">
        <v>787</v>
      </c>
      <c r="J2969" s="295"/>
      <c r="K2969" s="170"/>
      <c r="L2969" s="171"/>
      <c r="M2969" s="50"/>
      <c r="N2969" s="171"/>
      <c r="O2969" s="202"/>
      <c r="P2969" s="202"/>
      <c r="Q2969" s="202"/>
      <c r="R2969" s="162"/>
      <c r="S2969" s="162"/>
    </row>
    <row r="2970" spans="1:19">
      <c r="A2970" s="294"/>
      <c r="B2970" s="161"/>
      <c r="C2970" s="162"/>
      <c r="D2970" s="162"/>
      <c r="E2970" s="162"/>
      <c r="F2970" s="162"/>
      <c r="G2970" s="163"/>
      <c r="I2970" s="295" t="s">
        <v>788</v>
      </c>
      <c r="J2970" s="295"/>
      <c r="K2970" s="170"/>
      <c r="L2970" s="171"/>
      <c r="M2970" s="50"/>
      <c r="N2970" s="171"/>
      <c r="O2970" s="202"/>
      <c r="P2970" s="202"/>
      <c r="Q2970" s="202"/>
      <c r="R2970" s="162"/>
      <c r="S2970" s="162"/>
    </row>
    <row r="2971" spans="1:19">
      <c r="A2971" s="294"/>
      <c r="B2971" s="164"/>
      <c r="C2971" s="165"/>
      <c r="D2971" s="165"/>
      <c r="E2971" s="165"/>
      <c r="F2971" s="165"/>
      <c r="G2971" s="166"/>
      <c r="I2971" s="295" t="s">
        <v>789</v>
      </c>
      <c r="J2971" s="295"/>
      <c r="K2971" s="170"/>
      <c r="L2971" s="171"/>
      <c r="M2971" s="50"/>
      <c r="N2971" s="171"/>
      <c r="O2971" s="202"/>
      <c r="P2971" s="202"/>
      <c r="Q2971" s="202"/>
      <c r="R2971" s="162"/>
      <c r="S2971" s="162"/>
    </row>
    <row r="2972" spans="1:19">
      <c r="A2972" s="63"/>
      <c r="B2972" s="63"/>
      <c r="C2972" s="63"/>
      <c r="D2972" s="63"/>
      <c r="E2972" s="63"/>
      <c r="F2972" s="63"/>
      <c r="G2972" s="63"/>
      <c r="I2972" s="295" t="s">
        <v>790</v>
      </c>
      <c r="J2972" s="295"/>
      <c r="K2972" s="170"/>
      <c r="L2972" s="171"/>
      <c r="M2972" s="50"/>
      <c r="N2972" s="171"/>
      <c r="O2972" s="202"/>
      <c r="P2972" s="202"/>
      <c r="Q2972" s="202"/>
      <c r="R2972" s="162"/>
      <c r="S2972" s="162"/>
    </row>
    <row r="2973" spans="1:19">
      <c r="A2973" s="63"/>
      <c r="B2973" s="63"/>
      <c r="C2973" s="63"/>
      <c r="D2973" s="63"/>
      <c r="E2973" s="63"/>
      <c r="F2973" s="63"/>
      <c r="G2973" s="63"/>
      <c r="I2973" s="295" t="s">
        <v>791</v>
      </c>
      <c r="J2973" s="295"/>
      <c r="K2973" s="170"/>
      <c r="L2973" s="171"/>
      <c r="M2973" s="50"/>
      <c r="N2973" s="171"/>
      <c r="O2973" s="202"/>
      <c r="P2973" s="202"/>
      <c r="Q2973" s="202"/>
      <c r="R2973" s="162"/>
      <c r="S2973" s="162"/>
    </row>
    <row r="2974" spans="1:19">
      <c r="A2974" s="63"/>
      <c r="B2974" s="63"/>
      <c r="C2974" s="63"/>
      <c r="D2974" s="63"/>
      <c r="E2974" s="63"/>
      <c r="F2974" s="63"/>
      <c r="G2974" s="63"/>
      <c r="I2974" s="296" t="s">
        <v>792</v>
      </c>
      <c r="J2974" s="296"/>
      <c r="K2974" s="170"/>
      <c r="L2974" s="171"/>
      <c r="M2974" s="50"/>
      <c r="N2974" s="171"/>
      <c r="O2974" s="202"/>
      <c r="P2974" s="202"/>
      <c r="Q2974" s="202"/>
      <c r="R2974" s="162"/>
      <c r="S2974" s="162"/>
    </row>
    <row r="2975" spans="1:19" ht="17.25" thickBot="1">
      <c r="A2975" s="63"/>
      <c r="B2975" s="63"/>
      <c r="C2975" s="63"/>
      <c r="D2975" s="63"/>
      <c r="E2975" s="63"/>
      <c r="F2975" s="63"/>
      <c r="G2975" s="63"/>
      <c r="I2975" s="297" t="s">
        <v>793</v>
      </c>
      <c r="J2975" s="297"/>
      <c r="K2975" s="172">
        <f t="shared" ref="K2975:S2975" si="1399">SUM(K2964:K2974)</f>
        <v>0</v>
      </c>
      <c r="L2975" s="205">
        <f t="shared" si="1399"/>
        <v>0</v>
      </c>
      <c r="M2975" s="205">
        <f t="shared" si="1399"/>
        <v>0</v>
      </c>
      <c r="N2975" s="205">
        <f t="shared" si="1399"/>
        <v>0</v>
      </c>
      <c r="O2975" s="174">
        <f t="shared" si="1399"/>
        <v>0</v>
      </c>
      <c r="P2975" s="174">
        <f t="shared" si="1399"/>
        <v>0</v>
      </c>
      <c r="Q2975" s="174">
        <f t="shared" si="1399"/>
        <v>0</v>
      </c>
      <c r="R2975" s="175">
        <f t="shared" si="1399"/>
        <v>0</v>
      </c>
      <c r="S2975" s="175">
        <f t="shared" si="1399"/>
        <v>0</v>
      </c>
    </row>
    <row r="2976" spans="1:19" ht="17.25" thickBot="1">
      <c r="A2976" s="63"/>
      <c r="B2976" s="63"/>
      <c r="C2976" s="63"/>
      <c r="D2976" s="63"/>
      <c r="E2976" s="63"/>
      <c r="F2976" s="63"/>
      <c r="G2976" s="63"/>
      <c r="I2976" s="298" t="s">
        <v>794</v>
      </c>
      <c r="J2976" s="299"/>
      <c r="K2976" s="176">
        <f t="shared" ref="K2976" si="1400">S2955-K2975</f>
        <v>0</v>
      </c>
      <c r="L2976" s="177">
        <f t="shared" ref="L2976" si="1401">K2975-L2975</f>
        <v>0</v>
      </c>
      <c r="M2976" s="177">
        <f t="shared" ref="M2976" si="1402">K2975-M2975</f>
        <v>0</v>
      </c>
      <c r="N2976" s="177">
        <f t="shared" ref="N2976" si="1403">K2975-N2975</f>
        <v>0</v>
      </c>
      <c r="O2976" s="178">
        <f t="shared" ref="O2976" si="1404">K2975-O2975</f>
        <v>0</v>
      </c>
      <c r="P2976" s="178">
        <f t="shared" ref="P2976" si="1405">K2975-P2975</f>
        <v>0</v>
      </c>
      <c r="Q2976" s="178">
        <f t="shared" ref="Q2976" si="1406">K2975-Q2975</f>
        <v>0</v>
      </c>
      <c r="R2976" s="179">
        <f t="shared" ref="R2976" si="1407">K2975-R2975</f>
        <v>0</v>
      </c>
      <c r="S2976" s="180">
        <f t="shared" ref="S2976" si="1408">L2975-S2975</f>
        <v>0</v>
      </c>
    </row>
    <row r="2977" spans="1:19">
      <c r="A2977" s="63"/>
      <c r="B2977" s="63"/>
      <c r="C2977" s="63"/>
      <c r="D2977" s="63"/>
      <c r="E2977" s="63"/>
      <c r="F2977" s="63"/>
      <c r="G2977" s="63"/>
      <c r="I2977" s="300" t="s">
        <v>795</v>
      </c>
      <c r="J2977" s="301"/>
      <c r="K2977" s="181"/>
      <c r="L2977" s="182"/>
      <c r="M2977" s="182"/>
      <c r="N2977" s="182"/>
      <c r="O2977" s="183"/>
      <c r="P2977" s="182"/>
      <c r="Q2977" s="182"/>
      <c r="R2977" s="182"/>
      <c r="S2977" s="182"/>
    </row>
    <row r="2978" spans="1:19">
      <c r="A2978" s="63"/>
      <c r="B2978" s="63"/>
      <c r="C2978" s="63"/>
      <c r="D2978" s="63"/>
      <c r="E2978" s="63"/>
      <c r="F2978" s="63"/>
      <c r="G2978" s="63"/>
      <c r="I2978" s="302" t="s">
        <v>796</v>
      </c>
      <c r="J2978" s="302"/>
      <c r="K2978" s="184"/>
      <c r="L2978" s="203"/>
      <c r="M2978" s="203"/>
      <c r="N2978" s="203"/>
      <c r="O2978" s="203"/>
      <c r="P2978" s="203"/>
      <c r="Q2978" s="203"/>
      <c r="R2978" s="203"/>
      <c r="S2978" s="203"/>
    </row>
    <row r="2979" spans="1:19">
      <c r="A2979" s="63"/>
      <c r="B2979" s="63"/>
      <c r="C2979" s="63"/>
      <c r="D2979" s="63"/>
      <c r="E2979" s="63"/>
      <c r="F2979" s="63"/>
      <c r="G2979" s="63"/>
      <c r="I2979" s="302" t="s">
        <v>797</v>
      </c>
      <c r="J2979" s="302"/>
      <c r="K2979" s="184"/>
      <c r="L2979" s="203"/>
      <c r="M2979" s="203"/>
      <c r="N2979" s="203"/>
      <c r="O2979" s="203"/>
      <c r="P2979" s="203"/>
      <c r="Q2979" s="203"/>
      <c r="R2979" s="203"/>
      <c r="S2979" s="203"/>
    </row>
    <row r="2980" spans="1:19">
      <c r="A2980" s="63"/>
      <c r="B2980" s="63"/>
      <c r="C2980" s="63"/>
      <c r="D2980" s="63"/>
      <c r="E2980" s="63"/>
      <c r="F2980" s="63"/>
      <c r="G2980" s="63"/>
      <c r="I2980" s="303" t="s">
        <v>798</v>
      </c>
      <c r="J2980" s="303"/>
      <c r="K2980" s="184"/>
      <c r="L2980" s="185"/>
      <c r="M2980" s="185"/>
      <c r="N2980" s="185"/>
      <c r="O2980" s="185"/>
      <c r="P2980" s="204"/>
      <c r="Q2980" s="204"/>
      <c r="R2980" s="204"/>
      <c r="S2980" s="204"/>
    </row>
    <row r="2981" spans="1:19">
      <c r="A2981" s="3" t="s">
        <v>801</v>
      </c>
      <c r="B2981" s="201" t="s">
        <v>802</v>
      </c>
      <c r="C2981" s="201" t="s">
        <v>803</v>
      </c>
      <c r="D2981" s="201" t="s">
        <v>119</v>
      </c>
      <c r="E2981" s="201" t="s">
        <v>148</v>
      </c>
      <c r="F2981" s="201" t="s">
        <v>806</v>
      </c>
      <c r="G2981" s="201" t="s">
        <v>81</v>
      </c>
      <c r="I2981" s="187"/>
      <c r="J2981" s="187"/>
      <c r="K2981" s="187"/>
      <c r="L2981" s="188"/>
      <c r="M2981" s="188"/>
      <c r="N2981" s="188"/>
      <c r="O2981" s="188"/>
      <c r="P2981" s="187"/>
      <c r="Q2981" s="187"/>
      <c r="R2981" s="187"/>
      <c r="S2981" s="187"/>
    </row>
    <row r="2982" spans="1:19">
      <c r="A2982" s="293">
        <v>44188</v>
      </c>
      <c r="B2982" s="161"/>
      <c r="C2982" s="162"/>
      <c r="D2982" s="162"/>
      <c r="E2982" s="162"/>
      <c r="F2982" s="162"/>
      <c r="G2982" s="163"/>
      <c r="I2982" s="191"/>
      <c r="J2982" s="190"/>
      <c r="K2982" s="190"/>
      <c r="L2982" s="190"/>
      <c r="M2982" s="190">
        <v>44188</v>
      </c>
      <c r="N2982" s="189" t="s">
        <v>864</v>
      </c>
      <c r="O2982" s="189"/>
      <c r="P2982" s="189"/>
      <c r="Q2982" s="189"/>
      <c r="R2982" s="189"/>
      <c r="S2982" s="189"/>
    </row>
    <row r="2983" spans="1:19">
      <c r="A2983" s="294"/>
      <c r="B2983" s="164"/>
      <c r="C2983" s="165"/>
      <c r="D2983" s="165"/>
      <c r="E2983" s="165"/>
      <c r="F2983" s="165"/>
      <c r="G2983" s="166"/>
      <c r="I2983" s="304"/>
      <c r="J2983" s="304"/>
      <c r="K2983" s="167"/>
      <c r="L2983" s="168"/>
      <c r="M2983" s="168"/>
      <c r="N2983" s="168"/>
      <c r="O2983" s="169"/>
      <c r="P2983" s="169"/>
      <c r="Q2983" s="169"/>
      <c r="R2983" s="161"/>
      <c r="S2983" s="161"/>
    </row>
    <row r="2984" spans="1:19">
      <c r="A2984" s="294"/>
      <c r="B2984" s="161"/>
      <c r="C2984" s="162"/>
      <c r="D2984" s="162"/>
      <c r="E2984" s="162"/>
      <c r="F2984" s="162"/>
      <c r="G2984" s="163"/>
      <c r="I2984" s="295" t="s">
        <v>782</v>
      </c>
      <c r="J2984" s="296"/>
      <c r="K2984" s="170"/>
      <c r="L2984" s="171"/>
      <c r="M2984" s="50"/>
      <c r="N2984" s="171"/>
      <c r="O2984" s="202"/>
      <c r="P2984" s="202"/>
      <c r="Q2984" s="202"/>
      <c r="R2984" s="162"/>
      <c r="S2984" s="162"/>
    </row>
    <row r="2985" spans="1:19">
      <c r="A2985" s="294"/>
      <c r="B2985" s="164"/>
      <c r="C2985" s="165"/>
      <c r="D2985" s="165"/>
      <c r="E2985" s="165"/>
      <c r="F2985" s="165"/>
      <c r="G2985" s="166"/>
      <c r="I2985" s="295" t="s">
        <v>783</v>
      </c>
      <c r="J2985" s="295"/>
      <c r="K2985" s="170"/>
      <c r="L2985" s="171"/>
      <c r="M2985" s="50"/>
      <c r="N2985" s="171"/>
      <c r="O2985" s="202"/>
      <c r="P2985" s="202"/>
      <c r="Q2985" s="202"/>
      <c r="R2985" s="162"/>
      <c r="S2985" s="162"/>
    </row>
    <row r="2986" spans="1:19">
      <c r="A2986" s="294"/>
      <c r="B2986" s="161"/>
      <c r="C2986" s="162"/>
      <c r="D2986" s="162"/>
      <c r="E2986" s="162"/>
      <c r="F2986" s="162"/>
      <c r="G2986" s="163"/>
      <c r="I2986" s="295" t="s">
        <v>784</v>
      </c>
      <c r="J2986" s="295"/>
      <c r="K2986" s="170"/>
      <c r="L2986" s="171"/>
      <c r="M2986" s="50"/>
      <c r="N2986" s="171"/>
      <c r="O2986" s="202"/>
      <c r="P2986" s="202"/>
      <c r="Q2986" s="202"/>
      <c r="R2986" s="162"/>
      <c r="S2986" s="162"/>
    </row>
    <row r="2987" spans="1:19">
      <c r="A2987" s="294"/>
      <c r="B2987" s="164"/>
      <c r="C2987" s="165"/>
      <c r="D2987" s="165"/>
      <c r="E2987" s="165"/>
      <c r="F2987" s="165"/>
      <c r="G2987" s="166"/>
      <c r="I2987" s="295" t="s">
        <v>785</v>
      </c>
      <c r="J2987" s="295"/>
      <c r="K2987" s="170"/>
      <c r="L2987" s="171"/>
      <c r="M2987" s="50"/>
      <c r="N2987" s="171"/>
      <c r="O2987" s="202"/>
      <c r="P2987" s="202"/>
      <c r="Q2987" s="202"/>
      <c r="R2987" s="162"/>
      <c r="S2987" s="162"/>
    </row>
    <row r="2988" spans="1:19">
      <c r="A2988" s="294"/>
      <c r="B2988" s="161"/>
      <c r="C2988" s="162"/>
      <c r="D2988" s="162"/>
      <c r="E2988" s="162"/>
      <c r="F2988" s="162"/>
      <c r="G2988" s="163"/>
      <c r="I2988" s="295" t="s">
        <v>786</v>
      </c>
      <c r="J2988" s="295"/>
      <c r="K2988" s="170"/>
      <c r="L2988" s="171"/>
      <c r="M2988" s="50"/>
      <c r="N2988" s="171"/>
      <c r="O2988" s="202"/>
      <c r="P2988" s="202"/>
      <c r="Q2988" s="202"/>
      <c r="R2988" s="162"/>
      <c r="S2988" s="162"/>
    </row>
    <row r="2989" spans="1:19">
      <c r="A2989" s="294"/>
      <c r="B2989" s="164"/>
      <c r="C2989" s="165"/>
      <c r="D2989" s="165"/>
      <c r="E2989" s="165"/>
      <c r="F2989" s="165"/>
      <c r="G2989" s="166"/>
      <c r="I2989" s="295" t="s">
        <v>787</v>
      </c>
      <c r="J2989" s="295"/>
      <c r="K2989" s="170"/>
      <c r="L2989" s="171"/>
      <c r="M2989" s="50"/>
      <c r="N2989" s="171"/>
      <c r="O2989" s="202"/>
      <c r="P2989" s="202"/>
      <c r="Q2989" s="202"/>
      <c r="R2989" s="162"/>
      <c r="S2989" s="162"/>
    </row>
    <row r="2990" spans="1:19">
      <c r="A2990" s="294"/>
      <c r="B2990" s="161"/>
      <c r="C2990" s="162"/>
      <c r="D2990" s="162"/>
      <c r="E2990" s="162"/>
      <c r="F2990" s="162"/>
      <c r="G2990" s="163"/>
      <c r="I2990" s="295" t="s">
        <v>788</v>
      </c>
      <c r="J2990" s="295"/>
      <c r="K2990" s="170"/>
      <c r="L2990" s="171"/>
      <c r="M2990" s="50"/>
      <c r="N2990" s="171"/>
      <c r="O2990" s="202"/>
      <c r="P2990" s="202"/>
      <c r="Q2990" s="202"/>
      <c r="R2990" s="162"/>
      <c r="S2990" s="162"/>
    </row>
    <row r="2991" spans="1:19">
      <c r="A2991" s="294"/>
      <c r="B2991" s="164"/>
      <c r="C2991" s="165"/>
      <c r="D2991" s="165"/>
      <c r="E2991" s="165"/>
      <c r="F2991" s="165"/>
      <c r="G2991" s="166"/>
      <c r="I2991" s="295" t="s">
        <v>789</v>
      </c>
      <c r="J2991" s="295"/>
      <c r="K2991" s="170"/>
      <c r="L2991" s="171"/>
      <c r="M2991" s="50"/>
      <c r="N2991" s="171"/>
      <c r="O2991" s="202"/>
      <c r="P2991" s="202"/>
      <c r="Q2991" s="202"/>
      <c r="R2991" s="162"/>
      <c r="S2991" s="162"/>
    </row>
    <row r="2992" spans="1:19">
      <c r="A2992" s="63"/>
      <c r="B2992" s="63"/>
      <c r="C2992" s="63"/>
      <c r="D2992" s="63"/>
      <c r="E2992" s="63"/>
      <c r="F2992" s="63"/>
      <c r="G2992" s="63"/>
      <c r="I2992" s="295" t="s">
        <v>790</v>
      </c>
      <c r="J2992" s="295"/>
      <c r="K2992" s="170"/>
      <c r="L2992" s="171"/>
      <c r="M2992" s="50"/>
      <c r="N2992" s="171"/>
      <c r="O2992" s="202"/>
      <c r="P2992" s="202"/>
      <c r="Q2992" s="202"/>
      <c r="R2992" s="162"/>
      <c r="S2992" s="162"/>
    </row>
    <row r="2993" spans="1:19">
      <c r="A2993" s="63"/>
      <c r="B2993" s="63"/>
      <c r="C2993" s="63"/>
      <c r="D2993" s="63"/>
      <c r="E2993" s="63"/>
      <c r="F2993" s="63"/>
      <c r="G2993" s="63"/>
      <c r="I2993" s="295" t="s">
        <v>791</v>
      </c>
      <c r="J2993" s="295"/>
      <c r="K2993" s="170"/>
      <c r="L2993" s="171"/>
      <c r="M2993" s="50"/>
      <c r="N2993" s="171"/>
      <c r="O2993" s="202"/>
      <c r="P2993" s="202"/>
      <c r="Q2993" s="202"/>
      <c r="R2993" s="162"/>
      <c r="S2993" s="162"/>
    </row>
    <row r="2994" spans="1:19">
      <c r="A2994" s="63"/>
      <c r="B2994" s="63"/>
      <c r="C2994" s="63"/>
      <c r="D2994" s="63"/>
      <c r="E2994" s="63"/>
      <c r="F2994" s="63"/>
      <c r="G2994" s="63"/>
      <c r="I2994" s="296" t="s">
        <v>792</v>
      </c>
      <c r="J2994" s="296"/>
      <c r="K2994" s="170"/>
      <c r="L2994" s="171"/>
      <c r="M2994" s="50"/>
      <c r="N2994" s="171"/>
      <c r="O2994" s="202"/>
      <c r="P2994" s="202"/>
      <c r="Q2994" s="202"/>
      <c r="R2994" s="162"/>
      <c r="S2994" s="162"/>
    </row>
    <row r="2995" spans="1:19" ht="17.25" thickBot="1">
      <c r="A2995" s="63"/>
      <c r="B2995" s="63"/>
      <c r="C2995" s="63"/>
      <c r="D2995" s="63"/>
      <c r="E2995" s="63"/>
      <c r="F2995" s="63"/>
      <c r="G2995" s="63"/>
      <c r="I2995" s="297" t="s">
        <v>793</v>
      </c>
      <c r="J2995" s="297"/>
      <c r="K2995" s="172">
        <f t="shared" ref="K2995:S2995" si="1409">SUM(K2984:K2994)</f>
        <v>0</v>
      </c>
      <c r="L2995" s="205">
        <f t="shared" si="1409"/>
        <v>0</v>
      </c>
      <c r="M2995" s="205">
        <f t="shared" si="1409"/>
        <v>0</v>
      </c>
      <c r="N2995" s="205">
        <f t="shared" si="1409"/>
        <v>0</v>
      </c>
      <c r="O2995" s="174">
        <f t="shared" si="1409"/>
        <v>0</v>
      </c>
      <c r="P2995" s="174">
        <f t="shared" si="1409"/>
        <v>0</v>
      </c>
      <c r="Q2995" s="174">
        <f t="shared" si="1409"/>
        <v>0</v>
      </c>
      <c r="R2995" s="175">
        <f t="shared" si="1409"/>
        <v>0</v>
      </c>
      <c r="S2995" s="175">
        <f t="shared" si="1409"/>
        <v>0</v>
      </c>
    </row>
    <row r="2996" spans="1:19" ht="17.25" thickBot="1">
      <c r="A2996" s="63"/>
      <c r="B2996" s="63"/>
      <c r="C2996" s="63"/>
      <c r="D2996" s="63"/>
      <c r="E2996" s="63"/>
      <c r="F2996" s="63"/>
      <c r="G2996" s="63"/>
      <c r="I2996" s="298" t="s">
        <v>794</v>
      </c>
      <c r="J2996" s="299"/>
      <c r="K2996" s="176">
        <f t="shared" ref="K2996" si="1410">S2975-K2995</f>
        <v>0</v>
      </c>
      <c r="L2996" s="177">
        <f t="shared" ref="L2996" si="1411">K2995-L2995</f>
        <v>0</v>
      </c>
      <c r="M2996" s="177">
        <f t="shared" ref="M2996" si="1412">K2995-M2995</f>
        <v>0</v>
      </c>
      <c r="N2996" s="177">
        <f t="shared" ref="N2996" si="1413">K2995-N2995</f>
        <v>0</v>
      </c>
      <c r="O2996" s="178">
        <f t="shared" ref="O2996" si="1414">K2995-O2995</f>
        <v>0</v>
      </c>
      <c r="P2996" s="178">
        <f t="shared" ref="P2996" si="1415">K2995-P2995</f>
        <v>0</v>
      </c>
      <c r="Q2996" s="178">
        <f t="shared" ref="Q2996" si="1416">K2995-Q2995</f>
        <v>0</v>
      </c>
      <c r="R2996" s="179">
        <f t="shared" ref="R2996" si="1417">K2995-R2995</f>
        <v>0</v>
      </c>
      <c r="S2996" s="180">
        <f t="shared" ref="S2996" si="1418">L2995-S2995</f>
        <v>0</v>
      </c>
    </row>
    <row r="2997" spans="1:19">
      <c r="A2997" s="63"/>
      <c r="B2997" s="63"/>
      <c r="C2997" s="63"/>
      <c r="D2997" s="63"/>
      <c r="E2997" s="63"/>
      <c r="F2997" s="63"/>
      <c r="G2997" s="63"/>
      <c r="I2997" s="300" t="s">
        <v>795</v>
      </c>
      <c r="J2997" s="301"/>
      <c r="K2997" s="181"/>
      <c r="L2997" s="182"/>
      <c r="M2997" s="182"/>
      <c r="N2997" s="182"/>
      <c r="O2997" s="183"/>
      <c r="P2997" s="182"/>
      <c r="Q2997" s="182"/>
      <c r="R2997" s="182"/>
      <c r="S2997" s="182"/>
    </row>
    <row r="2998" spans="1:19">
      <c r="A2998" s="63"/>
      <c r="B2998" s="63"/>
      <c r="C2998" s="63"/>
      <c r="D2998" s="63"/>
      <c r="E2998" s="63"/>
      <c r="F2998" s="63"/>
      <c r="G2998" s="63"/>
      <c r="I2998" s="302" t="s">
        <v>796</v>
      </c>
      <c r="J2998" s="302"/>
      <c r="K2998" s="184"/>
      <c r="L2998" s="203"/>
      <c r="M2998" s="203"/>
      <c r="N2998" s="203"/>
      <c r="O2998" s="203"/>
      <c r="P2998" s="203"/>
      <c r="Q2998" s="203"/>
      <c r="R2998" s="203"/>
      <c r="S2998" s="203"/>
    </row>
    <row r="2999" spans="1:19">
      <c r="A2999" s="63"/>
      <c r="B2999" s="63"/>
      <c r="C2999" s="63"/>
      <c r="D2999" s="63"/>
      <c r="E2999" s="63"/>
      <c r="F2999" s="63"/>
      <c r="G2999" s="63"/>
      <c r="I2999" s="302" t="s">
        <v>797</v>
      </c>
      <c r="J2999" s="302"/>
      <c r="K2999" s="184"/>
      <c r="L2999" s="203"/>
      <c r="M2999" s="203"/>
      <c r="N2999" s="203"/>
      <c r="O2999" s="203"/>
      <c r="P2999" s="203"/>
      <c r="Q2999" s="203"/>
      <c r="R2999" s="203"/>
      <c r="S2999" s="203"/>
    </row>
    <row r="3000" spans="1:19">
      <c r="A3000" s="63"/>
      <c r="B3000" s="63"/>
      <c r="C3000" s="63"/>
      <c r="D3000" s="63"/>
      <c r="E3000" s="63"/>
      <c r="F3000" s="63"/>
      <c r="G3000" s="63"/>
      <c r="I3000" s="303" t="s">
        <v>798</v>
      </c>
      <c r="J3000" s="303"/>
      <c r="K3000" s="184"/>
      <c r="L3000" s="185"/>
      <c r="M3000" s="185"/>
      <c r="N3000" s="185"/>
      <c r="O3000" s="185"/>
      <c r="P3000" s="204"/>
      <c r="Q3000" s="204"/>
      <c r="R3000" s="204"/>
      <c r="S3000" s="204"/>
    </row>
    <row r="3001" spans="1:19">
      <c r="A3001" s="3" t="s">
        <v>801</v>
      </c>
      <c r="B3001" s="201" t="s">
        <v>802</v>
      </c>
      <c r="C3001" s="201" t="s">
        <v>803</v>
      </c>
      <c r="D3001" s="201" t="s">
        <v>119</v>
      </c>
      <c r="E3001" s="201" t="s">
        <v>148</v>
      </c>
      <c r="F3001" s="201" t="s">
        <v>806</v>
      </c>
      <c r="G3001" s="201" t="s">
        <v>81</v>
      </c>
      <c r="I3001" s="187"/>
      <c r="J3001" s="187"/>
      <c r="K3001" s="187"/>
      <c r="L3001" s="188"/>
      <c r="M3001" s="188"/>
      <c r="N3001" s="188"/>
      <c r="O3001" s="188"/>
      <c r="P3001" s="187"/>
      <c r="Q3001" s="187"/>
      <c r="R3001" s="187"/>
      <c r="S3001" s="187"/>
    </row>
    <row r="3002" spans="1:19">
      <c r="A3002" s="293">
        <v>44189</v>
      </c>
      <c r="B3002" s="161"/>
      <c r="C3002" s="162"/>
      <c r="D3002" s="162"/>
      <c r="E3002" s="162"/>
      <c r="F3002" s="162"/>
      <c r="G3002" s="163"/>
      <c r="I3002" s="191"/>
      <c r="J3002" s="190"/>
      <c r="K3002" s="190"/>
      <c r="L3002" s="190"/>
      <c r="M3002" s="190">
        <v>44189</v>
      </c>
      <c r="N3002" s="189" t="s">
        <v>864</v>
      </c>
      <c r="O3002" s="189"/>
      <c r="P3002" s="189"/>
      <c r="Q3002" s="189"/>
      <c r="R3002" s="189"/>
      <c r="S3002" s="189"/>
    </row>
    <row r="3003" spans="1:19">
      <c r="A3003" s="294"/>
      <c r="B3003" s="164"/>
      <c r="C3003" s="165"/>
      <c r="D3003" s="165"/>
      <c r="E3003" s="165"/>
      <c r="F3003" s="165"/>
      <c r="G3003" s="166"/>
      <c r="I3003" s="304"/>
      <c r="J3003" s="304"/>
      <c r="K3003" s="167"/>
      <c r="L3003" s="168"/>
      <c r="M3003" s="168"/>
      <c r="N3003" s="168"/>
      <c r="O3003" s="169"/>
      <c r="P3003" s="169"/>
      <c r="Q3003" s="169"/>
      <c r="R3003" s="161"/>
      <c r="S3003" s="161"/>
    </row>
    <row r="3004" spans="1:19">
      <c r="A3004" s="294"/>
      <c r="B3004" s="161"/>
      <c r="C3004" s="162"/>
      <c r="D3004" s="162"/>
      <c r="E3004" s="162"/>
      <c r="F3004" s="162"/>
      <c r="G3004" s="163"/>
      <c r="I3004" s="295" t="s">
        <v>782</v>
      </c>
      <c r="J3004" s="296"/>
      <c r="K3004" s="170"/>
      <c r="L3004" s="171"/>
      <c r="M3004" s="50"/>
      <c r="N3004" s="171"/>
      <c r="O3004" s="202"/>
      <c r="P3004" s="202"/>
      <c r="Q3004" s="202"/>
      <c r="R3004" s="162"/>
      <c r="S3004" s="162"/>
    </row>
    <row r="3005" spans="1:19">
      <c r="A3005" s="294"/>
      <c r="B3005" s="164"/>
      <c r="C3005" s="165"/>
      <c r="D3005" s="165"/>
      <c r="E3005" s="165"/>
      <c r="F3005" s="165"/>
      <c r="G3005" s="166"/>
      <c r="I3005" s="295" t="s">
        <v>783</v>
      </c>
      <c r="J3005" s="295"/>
      <c r="K3005" s="170"/>
      <c r="L3005" s="171"/>
      <c r="M3005" s="50"/>
      <c r="N3005" s="171"/>
      <c r="O3005" s="202"/>
      <c r="P3005" s="202"/>
      <c r="Q3005" s="202"/>
      <c r="R3005" s="162"/>
      <c r="S3005" s="162"/>
    </row>
    <row r="3006" spans="1:19">
      <c r="A3006" s="294"/>
      <c r="B3006" s="161"/>
      <c r="C3006" s="162"/>
      <c r="D3006" s="162"/>
      <c r="E3006" s="162"/>
      <c r="F3006" s="162"/>
      <c r="G3006" s="163"/>
      <c r="I3006" s="295" t="s">
        <v>784</v>
      </c>
      <c r="J3006" s="295"/>
      <c r="K3006" s="170"/>
      <c r="L3006" s="171"/>
      <c r="M3006" s="50"/>
      <c r="N3006" s="171"/>
      <c r="O3006" s="202"/>
      <c r="P3006" s="202"/>
      <c r="Q3006" s="202"/>
      <c r="R3006" s="162"/>
      <c r="S3006" s="162"/>
    </row>
    <row r="3007" spans="1:19">
      <c r="A3007" s="294"/>
      <c r="B3007" s="164"/>
      <c r="C3007" s="165"/>
      <c r="D3007" s="165"/>
      <c r="E3007" s="165"/>
      <c r="F3007" s="165"/>
      <c r="G3007" s="166"/>
      <c r="I3007" s="295" t="s">
        <v>785</v>
      </c>
      <c r="J3007" s="295"/>
      <c r="K3007" s="170"/>
      <c r="L3007" s="171"/>
      <c r="M3007" s="50"/>
      <c r="N3007" s="171"/>
      <c r="O3007" s="202"/>
      <c r="P3007" s="202"/>
      <c r="Q3007" s="202"/>
      <c r="R3007" s="162"/>
      <c r="S3007" s="162"/>
    </row>
    <row r="3008" spans="1:19">
      <c r="A3008" s="294"/>
      <c r="B3008" s="161"/>
      <c r="C3008" s="162"/>
      <c r="D3008" s="162"/>
      <c r="E3008" s="162"/>
      <c r="F3008" s="162"/>
      <c r="G3008" s="163"/>
      <c r="I3008" s="295" t="s">
        <v>786</v>
      </c>
      <c r="J3008" s="295"/>
      <c r="K3008" s="170"/>
      <c r="L3008" s="171"/>
      <c r="M3008" s="50"/>
      <c r="N3008" s="171"/>
      <c r="O3008" s="202"/>
      <c r="P3008" s="202"/>
      <c r="Q3008" s="202"/>
      <c r="R3008" s="162"/>
      <c r="S3008" s="162"/>
    </row>
    <row r="3009" spans="1:19">
      <c r="A3009" s="294"/>
      <c r="B3009" s="164"/>
      <c r="C3009" s="165"/>
      <c r="D3009" s="165"/>
      <c r="E3009" s="165"/>
      <c r="F3009" s="165"/>
      <c r="G3009" s="166"/>
      <c r="I3009" s="295" t="s">
        <v>787</v>
      </c>
      <c r="J3009" s="295"/>
      <c r="K3009" s="170"/>
      <c r="L3009" s="171"/>
      <c r="M3009" s="50"/>
      <c r="N3009" s="171"/>
      <c r="O3009" s="202"/>
      <c r="P3009" s="202"/>
      <c r="Q3009" s="202"/>
      <c r="R3009" s="162"/>
      <c r="S3009" s="162"/>
    </row>
    <row r="3010" spans="1:19">
      <c r="A3010" s="294"/>
      <c r="B3010" s="161"/>
      <c r="C3010" s="162"/>
      <c r="D3010" s="162"/>
      <c r="E3010" s="162"/>
      <c r="F3010" s="162"/>
      <c r="G3010" s="163"/>
      <c r="I3010" s="295" t="s">
        <v>788</v>
      </c>
      <c r="J3010" s="295"/>
      <c r="K3010" s="170"/>
      <c r="L3010" s="171"/>
      <c r="M3010" s="50"/>
      <c r="N3010" s="171"/>
      <c r="O3010" s="202"/>
      <c r="P3010" s="202"/>
      <c r="Q3010" s="202"/>
      <c r="R3010" s="162"/>
      <c r="S3010" s="162"/>
    </row>
    <row r="3011" spans="1:19">
      <c r="A3011" s="294"/>
      <c r="B3011" s="164"/>
      <c r="C3011" s="165"/>
      <c r="D3011" s="165"/>
      <c r="E3011" s="165"/>
      <c r="F3011" s="165"/>
      <c r="G3011" s="166"/>
      <c r="I3011" s="295" t="s">
        <v>789</v>
      </c>
      <c r="J3011" s="295"/>
      <c r="K3011" s="170"/>
      <c r="L3011" s="171"/>
      <c r="M3011" s="50"/>
      <c r="N3011" s="171"/>
      <c r="O3011" s="202"/>
      <c r="P3011" s="202"/>
      <c r="Q3011" s="202"/>
      <c r="R3011" s="162"/>
      <c r="S3011" s="162"/>
    </row>
    <row r="3012" spans="1:19">
      <c r="A3012" s="63"/>
      <c r="B3012" s="63"/>
      <c r="C3012" s="63"/>
      <c r="D3012" s="63"/>
      <c r="E3012" s="63"/>
      <c r="F3012" s="63"/>
      <c r="G3012" s="63"/>
      <c r="I3012" s="295" t="s">
        <v>790</v>
      </c>
      <c r="J3012" s="295"/>
      <c r="K3012" s="170"/>
      <c r="L3012" s="171"/>
      <c r="M3012" s="50"/>
      <c r="N3012" s="171"/>
      <c r="O3012" s="202"/>
      <c r="P3012" s="202"/>
      <c r="Q3012" s="202"/>
      <c r="R3012" s="162"/>
      <c r="S3012" s="162"/>
    </row>
    <row r="3013" spans="1:19">
      <c r="A3013" s="63"/>
      <c r="B3013" s="63"/>
      <c r="C3013" s="63"/>
      <c r="D3013" s="63"/>
      <c r="E3013" s="63"/>
      <c r="F3013" s="63"/>
      <c r="G3013" s="63"/>
      <c r="I3013" s="295" t="s">
        <v>791</v>
      </c>
      <c r="J3013" s="295"/>
      <c r="K3013" s="170"/>
      <c r="L3013" s="171"/>
      <c r="M3013" s="50"/>
      <c r="N3013" s="171"/>
      <c r="O3013" s="202"/>
      <c r="P3013" s="202"/>
      <c r="Q3013" s="202"/>
      <c r="R3013" s="162"/>
      <c r="S3013" s="162"/>
    </row>
    <row r="3014" spans="1:19">
      <c r="A3014" s="63"/>
      <c r="B3014" s="63"/>
      <c r="C3014" s="63"/>
      <c r="D3014" s="63"/>
      <c r="E3014" s="63"/>
      <c r="F3014" s="63"/>
      <c r="G3014" s="63"/>
      <c r="I3014" s="296" t="s">
        <v>792</v>
      </c>
      <c r="J3014" s="296"/>
      <c r="K3014" s="170"/>
      <c r="L3014" s="171"/>
      <c r="M3014" s="50"/>
      <c r="N3014" s="171"/>
      <c r="O3014" s="202"/>
      <c r="P3014" s="202"/>
      <c r="Q3014" s="202"/>
      <c r="R3014" s="162"/>
      <c r="S3014" s="162"/>
    </row>
    <row r="3015" spans="1:19" ht="17.25" thickBot="1">
      <c r="A3015" s="63"/>
      <c r="B3015" s="63"/>
      <c r="C3015" s="63"/>
      <c r="D3015" s="63"/>
      <c r="E3015" s="63"/>
      <c r="F3015" s="63"/>
      <c r="G3015" s="63"/>
      <c r="I3015" s="297" t="s">
        <v>793</v>
      </c>
      <c r="J3015" s="297"/>
      <c r="K3015" s="172">
        <f t="shared" ref="K3015:S3015" si="1419">SUM(K3004:K3014)</f>
        <v>0</v>
      </c>
      <c r="L3015" s="205">
        <f t="shared" si="1419"/>
        <v>0</v>
      </c>
      <c r="M3015" s="205">
        <f t="shared" si="1419"/>
        <v>0</v>
      </c>
      <c r="N3015" s="205">
        <f t="shared" si="1419"/>
        <v>0</v>
      </c>
      <c r="O3015" s="174">
        <f t="shared" si="1419"/>
        <v>0</v>
      </c>
      <c r="P3015" s="174">
        <f t="shared" si="1419"/>
        <v>0</v>
      </c>
      <c r="Q3015" s="174">
        <f t="shared" si="1419"/>
        <v>0</v>
      </c>
      <c r="R3015" s="175">
        <f t="shared" si="1419"/>
        <v>0</v>
      </c>
      <c r="S3015" s="175">
        <f t="shared" si="1419"/>
        <v>0</v>
      </c>
    </row>
    <row r="3016" spans="1:19" ht="17.25" thickBot="1">
      <c r="A3016" s="63"/>
      <c r="B3016" s="63"/>
      <c r="C3016" s="63"/>
      <c r="D3016" s="63"/>
      <c r="E3016" s="63"/>
      <c r="F3016" s="63"/>
      <c r="G3016" s="63"/>
      <c r="I3016" s="298" t="s">
        <v>794</v>
      </c>
      <c r="J3016" s="299"/>
      <c r="K3016" s="176">
        <f t="shared" ref="K3016" si="1420">S2995-K3015</f>
        <v>0</v>
      </c>
      <c r="L3016" s="177">
        <f t="shared" ref="L3016" si="1421">K3015-L3015</f>
        <v>0</v>
      </c>
      <c r="M3016" s="177">
        <f t="shared" ref="M3016" si="1422">K3015-M3015</f>
        <v>0</v>
      </c>
      <c r="N3016" s="177">
        <f t="shared" ref="N3016" si="1423">K3015-N3015</f>
        <v>0</v>
      </c>
      <c r="O3016" s="178">
        <f t="shared" ref="O3016" si="1424">K3015-O3015</f>
        <v>0</v>
      </c>
      <c r="P3016" s="178">
        <f t="shared" ref="P3016" si="1425">K3015-P3015</f>
        <v>0</v>
      </c>
      <c r="Q3016" s="178">
        <f t="shared" ref="Q3016" si="1426">K3015-Q3015</f>
        <v>0</v>
      </c>
      <c r="R3016" s="179">
        <f t="shared" ref="R3016" si="1427">K3015-R3015</f>
        <v>0</v>
      </c>
      <c r="S3016" s="180">
        <f t="shared" ref="S3016" si="1428">L3015-S3015</f>
        <v>0</v>
      </c>
    </row>
    <row r="3017" spans="1:19">
      <c r="A3017" s="63"/>
      <c r="B3017" s="63"/>
      <c r="C3017" s="63"/>
      <c r="D3017" s="63"/>
      <c r="E3017" s="63"/>
      <c r="F3017" s="63"/>
      <c r="G3017" s="63"/>
      <c r="I3017" s="300" t="s">
        <v>795</v>
      </c>
      <c r="J3017" s="301"/>
      <c r="K3017" s="181"/>
      <c r="L3017" s="182"/>
      <c r="M3017" s="182"/>
      <c r="N3017" s="182"/>
      <c r="O3017" s="183"/>
      <c r="P3017" s="182"/>
      <c r="Q3017" s="182"/>
      <c r="R3017" s="182"/>
      <c r="S3017" s="182"/>
    </row>
    <row r="3018" spans="1:19">
      <c r="A3018" s="63"/>
      <c r="B3018" s="63"/>
      <c r="C3018" s="63"/>
      <c r="D3018" s="63"/>
      <c r="E3018" s="63"/>
      <c r="F3018" s="63"/>
      <c r="G3018" s="63"/>
      <c r="I3018" s="302" t="s">
        <v>796</v>
      </c>
      <c r="J3018" s="302"/>
      <c r="K3018" s="184"/>
      <c r="L3018" s="203"/>
      <c r="M3018" s="203"/>
      <c r="N3018" s="203"/>
      <c r="O3018" s="203"/>
      <c r="P3018" s="203"/>
      <c r="Q3018" s="203"/>
      <c r="R3018" s="203"/>
      <c r="S3018" s="203"/>
    </row>
    <row r="3019" spans="1:19">
      <c r="A3019" s="63"/>
      <c r="B3019" s="63"/>
      <c r="C3019" s="63"/>
      <c r="D3019" s="63"/>
      <c r="E3019" s="63"/>
      <c r="F3019" s="63"/>
      <c r="G3019" s="63"/>
      <c r="I3019" s="302" t="s">
        <v>797</v>
      </c>
      <c r="J3019" s="302"/>
      <c r="K3019" s="184"/>
      <c r="L3019" s="203"/>
      <c r="M3019" s="203"/>
      <c r="N3019" s="203"/>
      <c r="O3019" s="203"/>
      <c r="P3019" s="203"/>
      <c r="Q3019" s="203"/>
      <c r="R3019" s="203"/>
      <c r="S3019" s="203"/>
    </row>
    <row r="3020" spans="1:19">
      <c r="A3020" s="63"/>
      <c r="B3020" s="63"/>
      <c r="C3020" s="63"/>
      <c r="D3020" s="63"/>
      <c r="E3020" s="63"/>
      <c r="F3020" s="63"/>
      <c r="G3020" s="63"/>
      <c r="I3020" s="303" t="s">
        <v>798</v>
      </c>
      <c r="J3020" s="303"/>
      <c r="K3020" s="184"/>
      <c r="L3020" s="185"/>
      <c r="M3020" s="185"/>
      <c r="N3020" s="185"/>
      <c r="O3020" s="185"/>
      <c r="P3020" s="204"/>
      <c r="Q3020" s="204"/>
      <c r="R3020" s="204"/>
      <c r="S3020" s="204"/>
    </row>
    <row r="3021" spans="1:19">
      <c r="A3021" s="3" t="s">
        <v>801</v>
      </c>
      <c r="B3021" s="201" t="s">
        <v>802</v>
      </c>
      <c r="C3021" s="201" t="s">
        <v>803</v>
      </c>
      <c r="D3021" s="201" t="s">
        <v>119</v>
      </c>
      <c r="E3021" s="201" t="s">
        <v>148</v>
      </c>
      <c r="F3021" s="201" t="s">
        <v>806</v>
      </c>
      <c r="G3021" s="201" t="s">
        <v>81</v>
      </c>
      <c r="I3021" s="187"/>
      <c r="J3021" s="187"/>
      <c r="K3021" s="187"/>
      <c r="L3021" s="188"/>
      <c r="M3021" s="188"/>
      <c r="N3021" s="188"/>
      <c r="O3021" s="188"/>
      <c r="P3021" s="187"/>
      <c r="Q3021" s="187"/>
      <c r="R3021" s="187"/>
      <c r="S3021" s="187"/>
    </row>
    <row r="3022" spans="1:19">
      <c r="A3022" s="293">
        <v>44190</v>
      </c>
      <c r="B3022" s="161"/>
      <c r="C3022" s="162"/>
      <c r="D3022" s="162"/>
      <c r="E3022" s="162"/>
      <c r="F3022" s="162"/>
      <c r="G3022" s="163"/>
      <c r="I3022" s="191"/>
      <c r="J3022" s="190"/>
      <c r="K3022" s="190"/>
      <c r="L3022" s="190"/>
      <c r="M3022" s="190">
        <v>44190</v>
      </c>
      <c r="N3022" s="189" t="s">
        <v>864</v>
      </c>
      <c r="O3022" s="189"/>
      <c r="P3022" s="189"/>
      <c r="Q3022" s="189"/>
      <c r="R3022" s="189"/>
      <c r="S3022" s="189"/>
    </row>
    <row r="3023" spans="1:19">
      <c r="A3023" s="294"/>
      <c r="B3023" s="164"/>
      <c r="C3023" s="165"/>
      <c r="D3023" s="165"/>
      <c r="E3023" s="165"/>
      <c r="F3023" s="165"/>
      <c r="G3023" s="166"/>
      <c r="I3023" s="304"/>
      <c r="J3023" s="304"/>
      <c r="K3023" s="167"/>
      <c r="L3023" s="168"/>
      <c r="M3023" s="168"/>
      <c r="N3023" s="168"/>
      <c r="O3023" s="169"/>
      <c r="P3023" s="169"/>
      <c r="Q3023" s="169"/>
      <c r="R3023" s="161"/>
      <c r="S3023" s="161"/>
    </row>
    <row r="3024" spans="1:19">
      <c r="A3024" s="294"/>
      <c r="B3024" s="161"/>
      <c r="C3024" s="162"/>
      <c r="D3024" s="162"/>
      <c r="E3024" s="162"/>
      <c r="F3024" s="162"/>
      <c r="G3024" s="163"/>
      <c r="I3024" s="295" t="s">
        <v>782</v>
      </c>
      <c r="J3024" s="296"/>
      <c r="K3024" s="170"/>
      <c r="L3024" s="171"/>
      <c r="M3024" s="50"/>
      <c r="N3024" s="171"/>
      <c r="O3024" s="202"/>
      <c r="P3024" s="202"/>
      <c r="Q3024" s="202"/>
      <c r="R3024" s="162"/>
      <c r="S3024" s="162"/>
    </row>
    <row r="3025" spans="1:19">
      <c r="A3025" s="294"/>
      <c r="B3025" s="164"/>
      <c r="C3025" s="165"/>
      <c r="D3025" s="165"/>
      <c r="E3025" s="165"/>
      <c r="F3025" s="165"/>
      <c r="G3025" s="166"/>
      <c r="I3025" s="295" t="s">
        <v>783</v>
      </c>
      <c r="J3025" s="295"/>
      <c r="K3025" s="170"/>
      <c r="L3025" s="171"/>
      <c r="M3025" s="50"/>
      <c r="N3025" s="171"/>
      <c r="O3025" s="202"/>
      <c r="P3025" s="202"/>
      <c r="Q3025" s="202"/>
      <c r="R3025" s="162"/>
      <c r="S3025" s="162"/>
    </row>
    <row r="3026" spans="1:19">
      <c r="A3026" s="294"/>
      <c r="B3026" s="161"/>
      <c r="C3026" s="162"/>
      <c r="D3026" s="162"/>
      <c r="E3026" s="162"/>
      <c r="F3026" s="162"/>
      <c r="G3026" s="163"/>
      <c r="I3026" s="295" t="s">
        <v>784</v>
      </c>
      <c r="J3026" s="295"/>
      <c r="K3026" s="170"/>
      <c r="L3026" s="171"/>
      <c r="M3026" s="50"/>
      <c r="N3026" s="171"/>
      <c r="O3026" s="202"/>
      <c r="P3026" s="202"/>
      <c r="Q3026" s="202"/>
      <c r="R3026" s="162"/>
      <c r="S3026" s="162"/>
    </row>
    <row r="3027" spans="1:19">
      <c r="A3027" s="294"/>
      <c r="B3027" s="164"/>
      <c r="C3027" s="165"/>
      <c r="D3027" s="165"/>
      <c r="E3027" s="165"/>
      <c r="F3027" s="165"/>
      <c r="G3027" s="166"/>
      <c r="I3027" s="295" t="s">
        <v>785</v>
      </c>
      <c r="J3027" s="295"/>
      <c r="K3027" s="170"/>
      <c r="L3027" s="171"/>
      <c r="M3027" s="50"/>
      <c r="N3027" s="171"/>
      <c r="O3027" s="202"/>
      <c r="P3027" s="202"/>
      <c r="Q3027" s="202"/>
      <c r="R3027" s="162"/>
      <c r="S3027" s="162"/>
    </row>
    <row r="3028" spans="1:19">
      <c r="A3028" s="294"/>
      <c r="B3028" s="161"/>
      <c r="C3028" s="162"/>
      <c r="D3028" s="162"/>
      <c r="E3028" s="162"/>
      <c r="F3028" s="162"/>
      <c r="G3028" s="163"/>
      <c r="I3028" s="295" t="s">
        <v>786</v>
      </c>
      <c r="J3028" s="295"/>
      <c r="K3028" s="170"/>
      <c r="L3028" s="171"/>
      <c r="M3028" s="50"/>
      <c r="N3028" s="171"/>
      <c r="O3028" s="202"/>
      <c r="P3028" s="202"/>
      <c r="Q3028" s="202"/>
      <c r="R3028" s="162"/>
      <c r="S3028" s="162"/>
    </row>
    <row r="3029" spans="1:19">
      <c r="A3029" s="294"/>
      <c r="B3029" s="164"/>
      <c r="C3029" s="165"/>
      <c r="D3029" s="165"/>
      <c r="E3029" s="165"/>
      <c r="F3029" s="165"/>
      <c r="G3029" s="166"/>
      <c r="I3029" s="295" t="s">
        <v>787</v>
      </c>
      <c r="J3029" s="295"/>
      <c r="K3029" s="170"/>
      <c r="L3029" s="171"/>
      <c r="M3029" s="50"/>
      <c r="N3029" s="171"/>
      <c r="O3029" s="202"/>
      <c r="P3029" s="202"/>
      <c r="Q3029" s="202"/>
      <c r="R3029" s="162"/>
      <c r="S3029" s="162"/>
    </row>
    <row r="3030" spans="1:19">
      <c r="A3030" s="294"/>
      <c r="B3030" s="161"/>
      <c r="C3030" s="162"/>
      <c r="D3030" s="162"/>
      <c r="E3030" s="162"/>
      <c r="F3030" s="162"/>
      <c r="G3030" s="163"/>
      <c r="I3030" s="295" t="s">
        <v>788</v>
      </c>
      <c r="J3030" s="295"/>
      <c r="K3030" s="170"/>
      <c r="L3030" s="171"/>
      <c r="M3030" s="50"/>
      <c r="N3030" s="171"/>
      <c r="O3030" s="202"/>
      <c r="P3030" s="202"/>
      <c r="Q3030" s="202"/>
      <c r="R3030" s="162"/>
      <c r="S3030" s="162"/>
    </row>
    <row r="3031" spans="1:19">
      <c r="A3031" s="294"/>
      <c r="B3031" s="164"/>
      <c r="C3031" s="165"/>
      <c r="D3031" s="165"/>
      <c r="E3031" s="165"/>
      <c r="F3031" s="165"/>
      <c r="G3031" s="166"/>
      <c r="I3031" s="295" t="s">
        <v>789</v>
      </c>
      <c r="J3031" s="295"/>
      <c r="K3031" s="170"/>
      <c r="L3031" s="171"/>
      <c r="M3031" s="50"/>
      <c r="N3031" s="171"/>
      <c r="O3031" s="202"/>
      <c r="P3031" s="202"/>
      <c r="Q3031" s="202"/>
      <c r="R3031" s="162"/>
      <c r="S3031" s="162"/>
    </row>
    <row r="3032" spans="1:19">
      <c r="A3032" s="63"/>
      <c r="B3032" s="63"/>
      <c r="C3032" s="63"/>
      <c r="D3032" s="63"/>
      <c r="E3032" s="63"/>
      <c r="F3032" s="63"/>
      <c r="G3032" s="63"/>
      <c r="I3032" s="295" t="s">
        <v>790</v>
      </c>
      <c r="J3032" s="295"/>
      <c r="K3032" s="170"/>
      <c r="L3032" s="171"/>
      <c r="M3032" s="50"/>
      <c r="N3032" s="171"/>
      <c r="O3032" s="202"/>
      <c r="P3032" s="202"/>
      <c r="Q3032" s="202"/>
      <c r="R3032" s="162"/>
      <c r="S3032" s="162"/>
    </row>
    <row r="3033" spans="1:19">
      <c r="A3033" s="63"/>
      <c r="B3033" s="63"/>
      <c r="C3033" s="63"/>
      <c r="D3033" s="63"/>
      <c r="E3033" s="63"/>
      <c r="F3033" s="63"/>
      <c r="G3033" s="63"/>
      <c r="I3033" s="295" t="s">
        <v>791</v>
      </c>
      <c r="J3033" s="295"/>
      <c r="K3033" s="170"/>
      <c r="L3033" s="171"/>
      <c r="M3033" s="50"/>
      <c r="N3033" s="171"/>
      <c r="O3033" s="202"/>
      <c r="P3033" s="202"/>
      <c r="Q3033" s="202"/>
      <c r="R3033" s="162"/>
      <c r="S3033" s="162"/>
    </row>
    <row r="3034" spans="1:19">
      <c r="A3034" s="63"/>
      <c r="B3034" s="63"/>
      <c r="C3034" s="63"/>
      <c r="D3034" s="63"/>
      <c r="E3034" s="63"/>
      <c r="F3034" s="63"/>
      <c r="G3034" s="63"/>
      <c r="I3034" s="296" t="s">
        <v>792</v>
      </c>
      <c r="J3034" s="296"/>
      <c r="K3034" s="170"/>
      <c r="L3034" s="171"/>
      <c r="M3034" s="50"/>
      <c r="N3034" s="171"/>
      <c r="O3034" s="202"/>
      <c r="P3034" s="202"/>
      <c r="Q3034" s="202"/>
      <c r="R3034" s="162"/>
      <c r="S3034" s="162"/>
    </row>
    <row r="3035" spans="1:19" ht="17.25" thickBot="1">
      <c r="A3035" s="63"/>
      <c r="B3035" s="63"/>
      <c r="C3035" s="63"/>
      <c r="D3035" s="63"/>
      <c r="E3035" s="63"/>
      <c r="F3035" s="63"/>
      <c r="G3035" s="63"/>
      <c r="I3035" s="297" t="s">
        <v>793</v>
      </c>
      <c r="J3035" s="297"/>
      <c r="K3035" s="172">
        <f t="shared" ref="K3035:S3035" si="1429">SUM(K3024:K3034)</f>
        <v>0</v>
      </c>
      <c r="L3035" s="205">
        <f t="shared" si="1429"/>
        <v>0</v>
      </c>
      <c r="M3035" s="205">
        <f t="shared" si="1429"/>
        <v>0</v>
      </c>
      <c r="N3035" s="205">
        <f t="shared" si="1429"/>
        <v>0</v>
      </c>
      <c r="O3035" s="174">
        <f t="shared" si="1429"/>
        <v>0</v>
      </c>
      <c r="P3035" s="174">
        <f t="shared" si="1429"/>
        <v>0</v>
      </c>
      <c r="Q3035" s="174">
        <f t="shared" si="1429"/>
        <v>0</v>
      </c>
      <c r="R3035" s="175">
        <f t="shared" si="1429"/>
        <v>0</v>
      </c>
      <c r="S3035" s="175">
        <f t="shared" si="1429"/>
        <v>0</v>
      </c>
    </row>
    <row r="3036" spans="1:19" ht="17.25" thickBot="1">
      <c r="A3036" s="63"/>
      <c r="B3036" s="63"/>
      <c r="C3036" s="63"/>
      <c r="D3036" s="63"/>
      <c r="E3036" s="63"/>
      <c r="F3036" s="63"/>
      <c r="G3036" s="63"/>
      <c r="I3036" s="298" t="s">
        <v>794</v>
      </c>
      <c r="J3036" s="299"/>
      <c r="K3036" s="176">
        <f t="shared" ref="K3036" si="1430">S3015-K3035</f>
        <v>0</v>
      </c>
      <c r="L3036" s="177">
        <f t="shared" ref="L3036" si="1431">K3035-L3035</f>
        <v>0</v>
      </c>
      <c r="M3036" s="177">
        <f t="shared" ref="M3036" si="1432">K3035-M3035</f>
        <v>0</v>
      </c>
      <c r="N3036" s="177">
        <f t="shared" ref="N3036" si="1433">K3035-N3035</f>
        <v>0</v>
      </c>
      <c r="O3036" s="178">
        <f t="shared" ref="O3036" si="1434">K3035-O3035</f>
        <v>0</v>
      </c>
      <c r="P3036" s="178">
        <f t="shared" ref="P3036" si="1435">K3035-P3035</f>
        <v>0</v>
      </c>
      <c r="Q3036" s="178">
        <f t="shared" ref="Q3036" si="1436">K3035-Q3035</f>
        <v>0</v>
      </c>
      <c r="R3036" s="179">
        <f t="shared" ref="R3036" si="1437">K3035-R3035</f>
        <v>0</v>
      </c>
      <c r="S3036" s="180">
        <f t="shared" ref="S3036" si="1438">L3035-S3035</f>
        <v>0</v>
      </c>
    </row>
    <row r="3037" spans="1:19">
      <c r="A3037" s="63"/>
      <c r="B3037" s="63"/>
      <c r="C3037" s="63"/>
      <c r="D3037" s="63"/>
      <c r="E3037" s="63"/>
      <c r="F3037" s="63"/>
      <c r="G3037" s="63"/>
      <c r="I3037" s="300" t="s">
        <v>795</v>
      </c>
      <c r="J3037" s="301"/>
      <c r="K3037" s="181"/>
      <c r="L3037" s="182"/>
      <c r="M3037" s="182"/>
      <c r="N3037" s="182"/>
      <c r="O3037" s="183"/>
      <c r="P3037" s="182"/>
      <c r="Q3037" s="182"/>
      <c r="R3037" s="182"/>
      <c r="S3037" s="182"/>
    </row>
    <row r="3038" spans="1:19">
      <c r="A3038" s="63"/>
      <c r="B3038" s="63"/>
      <c r="C3038" s="63"/>
      <c r="D3038" s="63"/>
      <c r="E3038" s="63"/>
      <c r="F3038" s="63"/>
      <c r="G3038" s="63"/>
      <c r="I3038" s="302" t="s">
        <v>796</v>
      </c>
      <c r="J3038" s="302"/>
      <c r="K3038" s="184"/>
      <c r="L3038" s="203"/>
      <c r="M3038" s="203"/>
      <c r="N3038" s="203"/>
      <c r="O3038" s="203"/>
      <c r="P3038" s="203"/>
      <c r="Q3038" s="203"/>
      <c r="R3038" s="203"/>
      <c r="S3038" s="203"/>
    </row>
    <row r="3039" spans="1:19">
      <c r="A3039" s="63"/>
      <c r="B3039" s="63"/>
      <c r="C3039" s="63"/>
      <c r="D3039" s="63"/>
      <c r="E3039" s="63"/>
      <c r="F3039" s="63"/>
      <c r="G3039" s="63"/>
      <c r="I3039" s="302" t="s">
        <v>797</v>
      </c>
      <c r="J3039" s="302"/>
      <c r="K3039" s="184"/>
      <c r="L3039" s="203"/>
      <c r="M3039" s="203"/>
      <c r="N3039" s="203"/>
      <c r="O3039" s="203"/>
      <c r="P3039" s="203"/>
      <c r="Q3039" s="203"/>
      <c r="R3039" s="203"/>
      <c r="S3039" s="203"/>
    </row>
    <row r="3040" spans="1:19">
      <c r="A3040" s="63"/>
      <c r="B3040" s="63"/>
      <c r="C3040" s="63"/>
      <c r="D3040" s="63"/>
      <c r="E3040" s="63"/>
      <c r="F3040" s="63"/>
      <c r="G3040" s="63"/>
      <c r="I3040" s="303" t="s">
        <v>798</v>
      </c>
      <c r="J3040" s="303"/>
      <c r="K3040" s="184"/>
      <c r="L3040" s="185"/>
      <c r="M3040" s="185"/>
      <c r="N3040" s="185"/>
      <c r="O3040" s="185"/>
      <c r="P3040" s="204"/>
      <c r="Q3040" s="204"/>
      <c r="R3040" s="204"/>
      <c r="S3040" s="204"/>
    </row>
    <row r="3041" spans="1:19">
      <c r="A3041" s="3" t="s">
        <v>801</v>
      </c>
      <c r="B3041" s="201" t="s">
        <v>802</v>
      </c>
      <c r="C3041" s="201" t="s">
        <v>803</v>
      </c>
      <c r="D3041" s="201" t="s">
        <v>119</v>
      </c>
      <c r="E3041" s="201" t="s">
        <v>148</v>
      </c>
      <c r="F3041" s="201" t="s">
        <v>806</v>
      </c>
      <c r="G3041" s="201" t="s">
        <v>81</v>
      </c>
      <c r="I3041" s="187"/>
      <c r="J3041" s="187"/>
      <c r="K3041" s="187"/>
      <c r="L3041" s="188"/>
      <c r="M3041" s="188"/>
      <c r="N3041" s="188"/>
      <c r="O3041" s="188"/>
      <c r="P3041" s="187"/>
      <c r="Q3041" s="187"/>
      <c r="R3041" s="187"/>
      <c r="S3041" s="187"/>
    </row>
    <row r="3042" spans="1:19">
      <c r="A3042" s="293">
        <v>44191</v>
      </c>
      <c r="B3042" s="161"/>
      <c r="C3042" s="162"/>
      <c r="D3042" s="162"/>
      <c r="E3042" s="162"/>
      <c r="F3042" s="162"/>
      <c r="G3042" s="163"/>
      <c r="I3042" s="191"/>
      <c r="J3042" s="190"/>
      <c r="K3042" s="190"/>
      <c r="L3042" s="190"/>
      <c r="M3042" s="190">
        <v>44191</v>
      </c>
      <c r="N3042" s="189" t="s">
        <v>864</v>
      </c>
      <c r="O3042" s="189"/>
      <c r="P3042" s="189"/>
      <c r="Q3042" s="189"/>
      <c r="R3042" s="189"/>
      <c r="S3042" s="189"/>
    </row>
    <row r="3043" spans="1:19">
      <c r="A3043" s="294"/>
      <c r="B3043" s="164"/>
      <c r="C3043" s="165"/>
      <c r="D3043" s="165"/>
      <c r="E3043" s="165"/>
      <c r="F3043" s="165"/>
      <c r="G3043" s="166"/>
      <c r="I3043" s="304"/>
      <c r="J3043" s="304"/>
      <c r="K3043" s="167"/>
      <c r="L3043" s="168"/>
      <c r="M3043" s="168"/>
      <c r="N3043" s="168"/>
      <c r="O3043" s="169"/>
      <c r="P3043" s="169"/>
      <c r="Q3043" s="169"/>
      <c r="R3043" s="161"/>
      <c r="S3043" s="161"/>
    </row>
    <row r="3044" spans="1:19">
      <c r="A3044" s="294"/>
      <c r="B3044" s="161"/>
      <c r="C3044" s="162"/>
      <c r="D3044" s="162"/>
      <c r="E3044" s="162"/>
      <c r="F3044" s="162"/>
      <c r="G3044" s="163"/>
      <c r="I3044" s="295" t="s">
        <v>782</v>
      </c>
      <c r="J3044" s="296"/>
      <c r="K3044" s="170"/>
      <c r="L3044" s="171"/>
      <c r="M3044" s="50"/>
      <c r="N3044" s="171"/>
      <c r="O3044" s="202"/>
      <c r="P3044" s="202"/>
      <c r="Q3044" s="202"/>
      <c r="R3044" s="162"/>
      <c r="S3044" s="162"/>
    </row>
    <row r="3045" spans="1:19">
      <c r="A3045" s="294"/>
      <c r="B3045" s="164"/>
      <c r="C3045" s="165"/>
      <c r="D3045" s="165"/>
      <c r="E3045" s="165"/>
      <c r="F3045" s="165"/>
      <c r="G3045" s="166"/>
      <c r="I3045" s="295" t="s">
        <v>783</v>
      </c>
      <c r="J3045" s="295"/>
      <c r="K3045" s="170"/>
      <c r="L3045" s="171"/>
      <c r="M3045" s="50"/>
      <c r="N3045" s="171"/>
      <c r="O3045" s="202"/>
      <c r="P3045" s="202"/>
      <c r="Q3045" s="202"/>
      <c r="R3045" s="162"/>
      <c r="S3045" s="162"/>
    </row>
    <row r="3046" spans="1:19">
      <c r="A3046" s="294"/>
      <c r="B3046" s="161"/>
      <c r="C3046" s="162"/>
      <c r="D3046" s="162"/>
      <c r="E3046" s="162"/>
      <c r="F3046" s="162"/>
      <c r="G3046" s="163"/>
      <c r="I3046" s="295" t="s">
        <v>784</v>
      </c>
      <c r="J3046" s="295"/>
      <c r="K3046" s="170"/>
      <c r="L3046" s="171"/>
      <c r="M3046" s="50"/>
      <c r="N3046" s="171"/>
      <c r="O3046" s="202"/>
      <c r="P3046" s="202"/>
      <c r="Q3046" s="202"/>
      <c r="R3046" s="162"/>
      <c r="S3046" s="162"/>
    </row>
    <row r="3047" spans="1:19">
      <c r="A3047" s="294"/>
      <c r="B3047" s="164"/>
      <c r="C3047" s="165"/>
      <c r="D3047" s="165"/>
      <c r="E3047" s="165"/>
      <c r="F3047" s="165"/>
      <c r="G3047" s="166"/>
      <c r="I3047" s="295" t="s">
        <v>785</v>
      </c>
      <c r="J3047" s="295"/>
      <c r="K3047" s="170"/>
      <c r="L3047" s="171"/>
      <c r="M3047" s="50"/>
      <c r="N3047" s="171"/>
      <c r="O3047" s="202"/>
      <c r="P3047" s="202"/>
      <c r="Q3047" s="202"/>
      <c r="R3047" s="162"/>
      <c r="S3047" s="162"/>
    </row>
    <row r="3048" spans="1:19">
      <c r="A3048" s="294"/>
      <c r="B3048" s="161"/>
      <c r="C3048" s="162"/>
      <c r="D3048" s="162"/>
      <c r="E3048" s="162"/>
      <c r="F3048" s="162"/>
      <c r="G3048" s="163"/>
      <c r="I3048" s="295" t="s">
        <v>786</v>
      </c>
      <c r="J3048" s="295"/>
      <c r="K3048" s="170"/>
      <c r="L3048" s="171"/>
      <c r="M3048" s="50"/>
      <c r="N3048" s="171"/>
      <c r="O3048" s="202"/>
      <c r="P3048" s="202"/>
      <c r="Q3048" s="202"/>
      <c r="R3048" s="162"/>
      <c r="S3048" s="162"/>
    </row>
    <row r="3049" spans="1:19">
      <c r="A3049" s="294"/>
      <c r="B3049" s="164"/>
      <c r="C3049" s="165"/>
      <c r="D3049" s="165"/>
      <c r="E3049" s="165"/>
      <c r="F3049" s="165"/>
      <c r="G3049" s="166"/>
      <c r="I3049" s="295" t="s">
        <v>787</v>
      </c>
      <c r="J3049" s="295"/>
      <c r="K3049" s="170"/>
      <c r="L3049" s="171"/>
      <c r="M3049" s="50"/>
      <c r="N3049" s="171"/>
      <c r="O3049" s="202"/>
      <c r="P3049" s="202"/>
      <c r="Q3049" s="202"/>
      <c r="R3049" s="162"/>
      <c r="S3049" s="162"/>
    </row>
    <row r="3050" spans="1:19">
      <c r="A3050" s="294"/>
      <c r="B3050" s="161"/>
      <c r="C3050" s="162"/>
      <c r="D3050" s="162"/>
      <c r="E3050" s="162"/>
      <c r="F3050" s="162"/>
      <c r="G3050" s="163"/>
      <c r="I3050" s="295" t="s">
        <v>788</v>
      </c>
      <c r="J3050" s="295"/>
      <c r="K3050" s="170"/>
      <c r="L3050" s="171"/>
      <c r="M3050" s="50"/>
      <c r="N3050" s="171"/>
      <c r="O3050" s="202"/>
      <c r="P3050" s="202"/>
      <c r="Q3050" s="202"/>
      <c r="R3050" s="162"/>
      <c r="S3050" s="162"/>
    </row>
    <row r="3051" spans="1:19">
      <c r="A3051" s="294"/>
      <c r="B3051" s="164"/>
      <c r="C3051" s="165"/>
      <c r="D3051" s="165"/>
      <c r="E3051" s="165"/>
      <c r="F3051" s="165"/>
      <c r="G3051" s="166"/>
      <c r="I3051" s="295" t="s">
        <v>789</v>
      </c>
      <c r="J3051" s="295"/>
      <c r="K3051" s="170"/>
      <c r="L3051" s="171"/>
      <c r="M3051" s="50"/>
      <c r="N3051" s="171"/>
      <c r="O3051" s="202"/>
      <c r="P3051" s="202"/>
      <c r="Q3051" s="202"/>
      <c r="R3051" s="162"/>
      <c r="S3051" s="162"/>
    </row>
    <row r="3052" spans="1:19">
      <c r="A3052" s="63"/>
      <c r="B3052" s="63"/>
      <c r="C3052" s="63"/>
      <c r="D3052" s="63"/>
      <c r="E3052" s="63"/>
      <c r="F3052" s="63"/>
      <c r="G3052" s="63"/>
      <c r="I3052" s="295" t="s">
        <v>790</v>
      </c>
      <c r="J3052" s="295"/>
      <c r="K3052" s="170"/>
      <c r="L3052" s="171"/>
      <c r="M3052" s="50"/>
      <c r="N3052" s="171"/>
      <c r="O3052" s="202"/>
      <c r="P3052" s="202"/>
      <c r="Q3052" s="202"/>
      <c r="R3052" s="162"/>
      <c r="S3052" s="162"/>
    </row>
    <row r="3053" spans="1:19">
      <c r="A3053" s="63"/>
      <c r="B3053" s="63"/>
      <c r="C3053" s="63"/>
      <c r="D3053" s="63"/>
      <c r="E3053" s="63"/>
      <c r="F3053" s="63"/>
      <c r="G3053" s="63"/>
      <c r="I3053" s="295" t="s">
        <v>791</v>
      </c>
      <c r="J3053" s="295"/>
      <c r="K3053" s="170"/>
      <c r="L3053" s="171"/>
      <c r="M3053" s="50"/>
      <c r="N3053" s="171"/>
      <c r="O3053" s="202"/>
      <c r="P3053" s="202"/>
      <c r="Q3053" s="202"/>
      <c r="R3053" s="162"/>
      <c r="S3053" s="162"/>
    </row>
    <row r="3054" spans="1:19">
      <c r="A3054" s="63"/>
      <c r="B3054" s="63"/>
      <c r="C3054" s="63"/>
      <c r="D3054" s="63"/>
      <c r="E3054" s="63"/>
      <c r="F3054" s="63"/>
      <c r="G3054" s="63"/>
      <c r="I3054" s="296" t="s">
        <v>792</v>
      </c>
      <c r="J3054" s="296"/>
      <c r="K3054" s="170"/>
      <c r="L3054" s="171"/>
      <c r="M3054" s="50"/>
      <c r="N3054" s="171"/>
      <c r="O3054" s="202"/>
      <c r="P3054" s="202"/>
      <c r="Q3054" s="202"/>
      <c r="R3054" s="162"/>
      <c r="S3054" s="162"/>
    </row>
    <row r="3055" spans="1:19" ht="17.25" thickBot="1">
      <c r="A3055" s="63"/>
      <c r="B3055" s="63"/>
      <c r="C3055" s="63"/>
      <c r="D3055" s="63"/>
      <c r="E3055" s="63"/>
      <c r="F3055" s="63"/>
      <c r="G3055" s="63"/>
      <c r="I3055" s="297" t="s">
        <v>793</v>
      </c>
      <c r="J3055" s="297"/>
      <c r="K3055" s="172">
        <f t="shared" ref="K3055:S3055" si="1439">SUM(K3044:K3054)</f>
        <v>0</v>
      </c>
      <c r="L3055" s="205">
        <f t="shared" si="1439"/>
        <v>0</v>
      </c>
      <c r="M3055" s="205">
        <f t="shared" si="1439"/>
        <v>0</v>
      </c>
      <c r="N3055" s="205">
        <f t="shared" si="1439"/>
        <v>0</v>
      </c>
      <c r="O3055" s="174">
        <f t="shared" si="1439"/>
        <v>0</v>
      </c>
      <c r="P3055" s="174">
        <f t="shared" si="1439"/>
        <v>0</v>
      </c>
      <c r="Q3055" s="174">
        <f t="shared" si="1439"/>
        <v>0</v>
      </c>
      <c r="R3055" s="175">
        <f t="shared" si="1439"/>
        <v>0</v>
      </c>
      <c r="S3055" s="175">
        <f t="shared" si="1439"/>
        <v>0</v>
      </c>
    </row>
    <row r="3056" spans="1:19" ht="17.25" thickBot="1">
      <c r="A3056" s="63"/>
      <c r="B3056" s="63"/>
      <c r="C3056" s="63"/>
      <c r="D3056" s="63"/>
      <c r="E3056" s="63"/>
      <c r="F3056" s="63"/>
      <c r="G3056" s="63"/>
      <c r="I3056" s="298" t="s">
        <v>794</v>
      </c>
      <c r="J3056" s="299"/>
      <c r="K3056" s="176">
        <f t="shared" ref="K3056" si="1440">S3035-K3055</f>
        <v>0</v>
      </c>
      <c r="L3056" s="177">
        <f t="shared" ref="L3056" si="1441">K3055-L3055</f>
        <v>0</v>
      </c>
      <c r="M3056" s="177">
        <f t="shared" ref="M3056" si="1442">K3055-M3055</f>
        <v>0</v>
      </c>
      <c r="N3056" s="177">
        <f t="shared" ref="N3056" si="1443">K3055-N3055</f>
        <v>0</v>
      </c>
      <c r="O3056" s="178">
        <f t="shared" ref="O3056" si="1444">K3055-O3055</f>
        <v>0</v>
      </c>
      <c r="P3056" s="178">
        <f t="shared" ref="P3056" si="1445">K3055-P3055</f>
        <v>0</v>
      </c>
      <c r="Q3056" s="178">
        <f t="shared" ref="Q3056" si="1446">K3055-Q3055</f>
        <v>0</v>
      </c>
      <c r="R3056" s="179">
        <f t="shared" ref="R3056" si="1447">K3055-R3055</f>
        <v>0</v>
      </c>
      <c r="S3056" s="180">
        <f t="shared" ref="S3056" si="1448">L3055-S3055</f>
        <v>0</v>
      </c>
    </row>
    <row r="3057" spans="1:19">
      <c r="A3057" s="63"/>
      <c r="B3057" s="63"/>
      <c r="C3057" s="63"/>
      <c r="D3057" s="63"/>
      <c r="E3057" s="63"/>
      <c r="F3057" s="63"/>
      <c r="G3057" s="63"/>
      <c r="I3057" s="300" t="s">
        <v>795</v>
      </c>
      <c r="J3057" s="301"/>
      <c r="K3057" s="181"/>
      <c r="L3057" s="182"/>
      <c r="M3057" s="182"/>
      <c r="N3057" s="182"/>
      <c r="O3057" s="183"/>
      <c r="P3057" s="182"/>
      <c r="Q3057" s="182"/>
      <c r="R3057" s="182"/>
      <c r="S3057" s="182"/>
    </row>
    <row r="3058" spans="1:19">
      <c r="A3058" s="63"/>
      <c r="B3058" s="63"/>
      <c r="C3058" s="63"/>
      <c r="D3058" s="63"/>
      <c r="E3058" s="63"/>
      <c r="F3058" s="63"/>
      <c r="G3058" s="63"/>
      <c r="I3058" s="302" t="s">
        <v>796</v>
      </c>
      <c r="J3058" s="302"/>
      <c r="K3058" s="184"/>
      <c r="L3058" s="203"/>
      <c r="M3058" s="203"/>
      <c r="N3058" s="203"/>
      <c r="O3058" s="203"/>
      <c r="P3058" s="203"/>
      <c r="Q3058" s="203"/>
      <c r="R3058" s="203"/>
      <c r="S3058" s="203"/>
    </row>
    <row r="3059" spans="1:19">
      <c r="A3059" s="63"/>
      <c r="B3059" s="63"/>
      <c r="C3059" s="63"/>
      <c r="D3059" s="63"/>
      <c r="E3059" s="63"/>
      <c r="F3059" s="63"/>
      <c r="G3059" s="63"/>
      <c r="I3059" s="302" t="s">
        <v>797</v>
      </c>
      <c r="J3059" s="302"/>
      <c r="K3059" s="184"/>
      <c r="L3059" s="203"/>
      <c r="M3059" s="203"/>
      <c r="N3059" s="203"/>
      <c r="O3059" s="203"/>
      <c r="P3059" s="203"/>
      <c r="Q3059" s="203"/>
      <c r="R3059" s="203"/>
      <c r="S3059" s="203"/>
    </row>
    <row r="3060" spans="1:19">
      <c r="A3060" s="63"/>
      <c r="B3060" s="63"/>
      <c r="C3060" s="63"/>
      <c r="D3060" s="63"/>
      <c r="E3060" s="63"/>
      <c r="F3060" s="63"/>
      <c r="G3060" s="63"/>
      <c r="I3060" s="303" t="s">
        <v>798</v>
      </c>
      <c r="J3060" s="303"/>
      <c r="K3060" s="184"/>
      <c r="L3060" s="185"/>
      <c r="M3060" s="185"/>
      <c r="N3060" s="185"/>
      <c r="O3060" s="185"/>
      <c r="P3060" s="204"/>
      <c r="Q3060" s="204"/>
      <c r="R3060" s="204"/>
      <c r="S3060" s="204"/>
    </row>
    <row r="3061" spans="1:19">
      <c r="A3061" s="3" t="s">
        <v>801</v>
      </c>
      <c r="B3061" s="201" t="s">
        <v>802</v>
      </c>
      <c r="C3061" s="201" t="s">
        <v>803</v>
      </c>
      <c r="D3061" s="201" t="s">
        <v>119</v>
      </c>
      <c r="E3061" s="201" t="s">
        <v>148</v>
      </c>
      <c r="F3061" s="201" t="s">
        <v>806</v>
      </c>
      <c r="G3061" s="201" t="s">
        <v>81</v>
      </c>
      <c r="I3061" s="187"/>
      <c r="J3061" s="187"/>
      <c r="K3061" s="187"/>
      <c r="L3061" s="188"/>
      <c r="M3061" s="188"/>
      <c r="N3061" s="188"/>
      <c r="O3061" s="188"/>
      <c r="P3061" s="187"/>
      <c r="Q3061" s="187"/>
      <c r="R3061" s="187"/>
      <c r="S3061" s="187"/>
    </row>
    <row r="3062" spans="1:19">
      <c r="A3062" s="293">
        <v>44192</v>
      </c>
      <c r="B3062" s="161"/>
      <c r="C3062" s="162"/>
      <c r="D3062" s="162"/>
      <c r="E3062" s="162"/>
      <c r="F3062" s="162"/>
      <c r="G3062" s="163"/>
      <c r="I3062" s="191"/>
      <c r="J3062" s="190"/>
      <c r="K3062" s="190"/>
      <c r="L3062" s="190"/>
      <c r="M3062" s="190">
        <v>44192</v>
      </c>
      <c r="N3062" s="189" t="s">
        <v>864</v>
      </c>
      <c r="O3062" s="189"/>
      <c r="P3062" s="189"/>
      <c r="Q3062" s="189"/>
      <c r="R3062" s="189"/>
      <c r="S3062" s="189"/>
    </row>
    <row r="3063" spans="1:19">
      <c r="A3063" s="294"/>
      <c r="B3063" s="164"/>
      <c r="C3063" s="165"/>
      <c r="D3063" s="165"/>
      <c r="E3063" s="165"/>
      <c r="F3063" s="165"/>
      <c r="G3063" s="166"/>
      <c r="I3063" s="304"/>
      <c r="J3063" s="304"/>
      <c r="K3063" s="167"/>
      <c r="L3063" s="168"/>
      <c r="M3063" s="168"/>
      <c r="N3063" s="168"/>
      <c r="O3063" s="169"/>
      <c r="P3063" s="169"/>
      <c r="Q3063" s="169"/>
      <c r="R3063" s="161"/>
      <c r="S3063" s="161"/>
    </row>
    <row r="3064" spans="1:19">
      <c r="A3064" s="294"/>
      <c r="B3064" s="161"/>
      <c r="C3064" s="162"/>
      <c r="D3064" s="162"/>
      <c r="E3064" s="162"/>
      <c r="F3064" s="162"/>
      <c r="G3064" s="163"/>
      <c r="I3064" s="295" t="s">
        <v>782</v>
      </c>
      <c r="J3064" s="296"/>
      <c r="K3064" s="170"/>
      <c r="L3064" s="171"/>
      <c r="M3064" s="50"/>
      <c r="N3064" s="171"/>
      <c r="O3064" s="202"/>
      <c r="P3064" s="202"/>
      <c r="Q3064" s="202"/>
      <c r="R3064" s="162"/>
      <c r="S3064" s="162"/>
    </row>
    <row r="3065" spans="1:19">
      <c r="A3065" s="294"/>
      <c r="B3065" s="164"/>
      <c r="C3065" s="165"/>
      <c r="D3065" s="165"/>
      <c r="E3065" s="165"/>
      <c r="F3065" s="165"/>
      <c r="G3065" s="166"/>
      <c r="I3065" s="295" t="s">
        <v>783</v>
      </c>
      <c r="J3065" s="295"/>
      <c r="K3065" s="170"/>
      <c r="L3065" s="171"/>
      <c r="M3065" s="50"/>
      <c r="N3065" s="171"/>
      <c r="O3065" s="202"/>
      <c r="P3065" s="202"/>
      <c r="Q3065" s="202"/>
      <c r="R3065" s="162"/>
      <c r="S3065" s="162"/>
    </row>
    <row r="3066" spans="1:19">
      <c r="A3066" s="294"/>
      <c r="B3066" s="161"/>
      <c r="C3066" s="162"/>
      <c r="D3066" s="162"/>
      <c r="E3066" s="162"/>
      <c r="F3066" s="162"/>
      <c r="G3066" s="163"/>
      <c r="I3066" s="295" t="s">
        <v>784</v>
      </c>
      <c r="J3066" s="295"/>
      <c r="K3066" s="170"/>
      <c r="L3066" s="171"/>
      <c r="M3066" s="50"/>
      <c r="N3066" s="171"/>
      <c r="O3066" s="202"/>
      <c r="P3066" s="202"/>
      <c r="Q3066" s="202"/>
      <c r="R3066" s="162"/>
      <c r="S3066" s="162"/>
    </row>
    <row r="3067" spans="1:19">
      <c r="A3067" s="294"/>
      <c r="B3067" s="164"/>
      <c r="C3067" s="165"/>
      <c r="D3067" s="165"/>
      <c r="E3067" s="165"/>
      <c r="F3067" s="165"/>
      <c r="G3067" s="166"/>
      <c r="I3067" s="295" t="s">
        <v>785</v>
      </c>
      <c r="J3067" s="295"/>
      <c r="K3067" s="170"/>
      <c r="L3067" s="171"/>
      <c r="M3067" s="50"/>
      <c r="N3067" s="171"/>
      <c r="O3067" s="202"/>
      <c r="P3067" s="202"/>
      <c r="Q3067" s="202"/>
      <c r="R3067" s="162"/>
      <c r="S3067" s="162"/>
    </row>
    <row r="3068" spans="1:19">
      <c r="A3068" s="294"/>
      <c r="B3068" s="161"/>
      <c r="C3068" s="162"/>
      <c r="D3068" s="162"/>
      <c r="E3068" s="162"/>
      <c r="F3068" s="162"/>
      <c r="G3068" s="163"/>
      <c r="I3068" s="295" t="s">
        <v>786</v>
      </c>
      <c r="J3068" s="295"/>
      <c r="K3068" s="170"/>
      <c r="L3068" s="171"/>
      <c r="M3068" s="50"/>
      <c r="N3068" s="171"/>
      <c r="O3068" s="202"/>
      <c r="P3068" s="202"/>
      <c r="Q3068" s="202"/>
      <c r="R3068" s="162"/>
      <c r="S3068" s="162"/>
    </row>
    <row r="3069" spans="1:19">
      <c r="A3069" s="294"/>
      <c r="B3069" s="164"/>
      <c r="C3069" s="165"/>
      <c r="D3069" s="165"/>
      <c r="E3069" s="165"/>
      <c r="F3069" s="165"/>
      <c r="G3069" s="166"/>
      <c r="I3069" s="295" t="s">
        <v>787</v>
      </c>
      <c r="J3069" s="295"/>
      <c r="K3069" s="170"/>
      <c r="L3069" s="171"/>
      <c r="M3069" s="50"/>
      <c r="N3069" s="171"/>
      <c r="O3069" s="202"/>
      <c r="P3069" s="202"/>
      <c r="Q3069" s="202"/>
      <c r="R3069" s="162"/>
      <c r="S3069" s="162"/>
    </row>
    <row r="3070" spans="1:19">
      <c r="A3070" s="294"/>
      <c r="B3070" s="161"/>
      <c r="C3070" s="162"/>
      <c r="D3070" s="162"/>
      <c r="E3070" s="162"/>
      <c r="F3070" s="162"/>
      <c r="G3070" s="163"/>
      <c r="I3070" s="295" t="s">
        <v>788</v>
      </c>
      <c r="J3070" s="295"/>
      <c r="K3070" s="170"/>
      <c r="L3070" s="171"/>
      <c r="M3070" s="50"/>
      <c r="N3070" s="171"/>
      <c r="O3070" s="202"/>
      <c r="P3070" s="202"/>
      <c r="Q3070" s="202"/>
      <c r="R3070" s="162"/>
      <c r="S3070" s="162"/>
    </row>
    <row r="3071" spans="1:19">
      <c r="A3071" s="294"/>
      <c r="B3071" s="164"/>
      <c r="C3071" s="165"/>
      <c r="D3071" s="165"/>
      <c r="E3071" s="165"/>
      <c r="F3071" s="165"/>
      <c r="G3071" s="166"/>
      <c r="I3071" s="295" t="s">
        <v>789</v>
      </c>
      <c r="J3071" s="295"/>
      <c r="K3071" s="170"/>
      <c r="L3071" s="171"/>
      <c r="M3071" s="50"/>
      <c r="N3071" s="171"/>
      <c r="O3071" s="202"/>
      <c r="P3071" s="202"/>
      <c r="Q3071" s="202"/>
      <c r="R3071" s="162"/>
      <c r="S3071" s="162"/>
    </row>
    <row r="3072" spans="1:19">
      <c r="A3072" s="63"/>
      <c r="B3072" s="63"/>
      <c r="C3072" s="63"/>
      <c r="D3072" s="63"/>
      <c r="E3072" s="63"/>
      <c r="F3072" s="63"/>
      <c r="G3072" s="63"/>
      <c r="I3072" s="295" t="s">
        <v>790</v>
      </c>
      <c r="J3072" s="295"/>
      <c r="K3072" s="170"/>
      <c r="L3072" s="171"/>
      <c r="M3072" s="50"/>
      <c r="N3072" s="171"/>
      <c r="O3072" s="202"/>
      <c r="P3072" s="202"/>
      <c r="Q3072" s="202"/>
      <c r="R3072" s="162"/>
      <c r="S3072" s="162"/>
    </row>
    <row r="3073" spans="1:19">
      <c r="A3073" s="63"/>
      <c r="B3073" s="63"/>
      <c r="C3073" s="63"/>
      <c r="D3073" s="63"/>
      <c r="E3073" s="63"/>
      <c r="F3073" s="63"/>
      <c r="G3073" s="63"/>
      <c r="I3073" s="295" t="s">
        <v>791</v>
      </c>
      <c r="J3073" s="295"/>
      <c r="K3073" s="170"/>
      <c r="L3073" s="171"/>
      <c r="M3073" s="50"/>
      <c r="N3073" s="171"/>
      <c r="O3073" s="202"/>
      <c r="P3073" s="202"/>
      <c r="Q3073" s="202"/>
      <c r="R3073" s="162"/>
      <c r="S3073" s="162"/>
    </row>
    <row r="3074" spans="1:19">
      <c r="A3074" s="63"/>
      <c r="B3074" s="63"/>
      <c r="C3074" s="63"/>
      <c r="D3074" s="63"/>
      <c r="E3074" s="63"/>
      <c r="F3074" s="63"/>
      <c r="G3074" s="63"/>
      <c r="I3074" s="296" t="s">
        <v>792</v>
      </c>
      <c r="J3074" s="296"/>
      <c r="K3074" s="170"/>
      <c r="L3074" s="171"/>
      <c r="M3074" s="50"/>
      <c r="N3074" s="171"/>
      <c r="O3074" s="202"/>
      <c r="P3074" s="202"/>
      <c r="Q3074" s="202"/>
      <c r="R3074" s="162"/>
      <c r="S3074" s="162"/>
    </row>
    <row r="3075" spans="1:19" ht="17.25" thickBot="1">
      <c r="A3075" s="63"/>
      <c r="B3075" s="63"/>
      <c r="C3075" s="63"/>
      <c r="D3075" s="63"/>
      <c r="E3075" s="63"/>
      <c r="F3075" s="63"/>
      <c r="G3075" s="63"/>
      <c r="I3075" s="297" t="s">
        <v>793</v>
      </c>
      <c r="J3075" s="297"/>
      <c r="K3075" s="172">
        <f t="shared" ref="K3075:S3075" si="1449">SUM(K3064:K3074)</f>
        <v>0</v>
      </c>
      <c r="L3075" s="205">
        <f t="shared" si="1449"/>
        <v>0</v>
      </c>
      <c r="M3075" s="205">
        <f t="shared" si="1449"/>
        <v>0</v>
      </c>
      <c r="N3075" s="205">
        <f t="shared" si="1449"/>
        <v>0</v>
      </c>
      <c r="O3075" s="174">
        <f t="shared" si="1449"/>
        <v>0</v>
      </c>
      <c r="P3075" s="174">
        <f t="shared" si="1449"/>
        <v>0</v>
      </c>
      <c r="Q3075" s="174">
        <f t="shared" si="1449"/>
        <v>0</v>
      </c>
      <c r="R3075" s="175">
        <f t="shared" si="1449"/>
        <v>0</v>
      </c>
      <c r="S3075" s="175">
        <f t="shared" si="1449"/>
        <v>0</v>
      </c>
    </row>
    <row r="3076" spans="1:19" ht="17.25" thickBot="1">
      <c r="A3076" s="63"/>
      <c r="B3076" s="63"/>
      <c r="C3076" s="63"/>
      <c r="D3076" s="63"/>
      <c r="E3076" s="63"/>
      <c r="F3076" s="63"/>
      <c r="G3076" s="63"/>
      <c r="I3076" s="298" t="s">
        <v>794</v>
      </c>
      <c r="J3076" s="299"/>
      <c r="K3076" s="176">
        <f t="shared" ref="K3076" si="1450">S3055-K3075</f>
        <v>0</v>
      </c>
      <c r="L3076" s="177">
        <f t="shared" ref="L3076" si="1451">K3075-L3075</f>
        <v>0</v>
      </c>
      <c r="M3076" s="177">
        <f t="shared" ref="M3076" si="1452">K3075-M3075</f>
        <v>0</v>
      </c>
      <c r="N3076" s="177">
        <f t="shared" ref="N3076" si="1453">K3075-N3075</f>
        <v>0</v>
      </c>
      <c r="O3076" s="178">
        <f t="shared" ref="O3076" si="1454">K3075-O3075</f>
        <v>0</v>
      </c>
      <c r="P3076" s="178">
        <f t="shared" ref="P3076" si="1455">K3075-P3075</f>
        <v>0</v>
      </c>
      <c r="Q3076" s="178">
        <f t="shared" ref="Q3076" si="1456">K3075-Q3075</f>
        <v>0</v>
      </c>
      <c r="R3076" s="179">
        <f t="shared" ref="R3076" si="1457">K3075-R3075</f>
        <v>0</v>
      </c>
      <c r="S3076" s="180">
        <f t="shared" ref="S3076" si="1458">L3075-S3075</f>
        <v>0</v>
      </c>
    </row>
    <row r="3077" spans="1:19">
      <c r="A3077" s="63"/>
      <c r="B3077" s="63"/>
      <c r="C3077" s="63"/>
      <c r="D3077" s="63"/>
      <c r="E3077" s="63"/>
      <c r="F3077" s="63"/>
      <c r="G3077" s="63"/>
      <c r="I3077" s="300" t="s">
        <v>795</v>
      </c>
      <c r="J3077" s="301"/>
      <c r="K3077" s="181"/>
      <c r="L3077" s="182"/>
      <c r="M3077" s="182"/>
      <c r="N3077" s="182"/>
      <c r="O3077" s="183"/>
      <c r="P3077" s="182"/>
      <c r="Q3077" s="182"/>
      <c r="R3077" s="182"/>
      <c r="S3077" s="182"/>
    </row>
    <row r="3078" spans="1:19">
      <c r="A3078" s="63"/>
      <c r="B3078" s="63"/>
      <c r="C3078" s="63"/>
      <c r="D3078" s="63"/>
      <c r="E3078" s="63"/>
      <c r="F3078" s="63"/>
      <c r="G3078" s="63"/>
      <c r="I3078" s="302" t="s">
        <v>796</v>
      </c>
      <c r="J3078" s="302"/>
      <c r="K3078" s="184"/>
      <c r="L3078" s="203"/>
      <c r="M3078" s="203"/>
      <c r="N3078" s="203"/>
      <c r="O3078" s="203"/>
      <c r="P3078" s="203"/>
      <c r="Q3078" s="203"/>
      <c r="R3078" s="203"/>
      <c r="S3078" s="203"/>
    </row>
    <row r="3079" spans="1:19">
      <c r="A3079" s="63"/>
      <c r="B3079" s="63"/>
      <c r="C3079" s="63"/>
      <c r="D3079" s="63"/>
      <c r="E3079" s="63"/>
      <c r="F3079" s="63"/>
      <c r="G3079" s="63"/>
      <c r="I3079" s="302" t="s">
        <v>797</v>
      </c>
      <c r="J3079" s="302"/>
      <c r="K3079" s="184"/>
      <c r="L3079" s="203"/>
      <c r="M3079" s="203"/>
      <c r="N3079" s="203"/>
      <c r="O3079" s="203"/>
      <c r="P3079" s="203"/>
      <c r="Q3079" s="203"/>
      <c r="R3079" s="203"/>
      <c r="S3079" s="203"/>
    </row>
    <row r="3080" spans="1:19">
      <c r="A3080" s="63"/>
      <c r="B3080" s="63"/>
      <c r="C3080" s="63"/>
      <c r="D3080" s="63"/>
      <c r="E3080" s="63"/>
      <c r="F3080" s="63"/>
      <c r="G3080" s="63"/>
      <c r="I3080" s="303" t="s">
        <v>798</v>
      </c>
      <c r="J3080" s="303"/>
      <c r="K3080" s="184"/>
      <c r="L3080" s="185"/>
      <c r="M3080" s="185"/>
      <c r="N3080" s="185"/>
      <c r="O3080" s="185"/>
      <c r="P3080" s="204"/>
      <c r="Q3080" s="204"/>
      <c r="R3080" s="204"/>
      <c r="S3080" s="204"/>
    </row>
    <row r="3081" spans="1:19">
      <c r="A3081" s="3" t="s">
        <v>801</v>
      </c>
      <c r="B3081" s="201" t="s">
        <v>802</v>
      </c>
      <c r="C3081" s="201" t="s">
        <v>803</v>
      </c>
      <c r="D3081" s="201" t="s">
        <v>119</v>
      </c>
      <c r="E3081" s="201" t="s">
        <v>148</v>
      </c>
      <c r="F3081" s="201" t="s">
        <v>806</v>
      </c>
      <c r="G3081" s="201" t="s">
        <v>81</v>
      </c>
      <c r="I3081" s="187"/>
      <c r="J3081" s="187"/>
      <c r="K3081" s="187"/>
      <c r="L3081" s="188"/>
      <c r="M3081" s="188"/>
      <c r="N3081" s="188"/>
      <c r="O3081" s="188"/>
      <c r="P3081" s="187"/>
      <c r="Q3081" s="187"/>
      <c r="R3081" s="187"/>
      <c r="S3081" s="187"/>
    </row>
    <row r="3082" spans="1:19">
      <c r="A3082" s="293">
        <v>44193</v>
      </c>
      <c r="B3082" s="161"/>
      <c r="C3082" s="162"/>
      <c r="D3082" s="162"/>
      <c r="E3082" s="162"/>
      <c r="F3082" s="162"/>
      <c r="G3082" s="163"/>
      <c r="I3082" s="191"/>
      <c r="J3082" s="190"/>
      <c r="K3082" s="190"/>
      <c r="L3082" s="190"/>
      <c r="M3082" s="190">
        <v>44193</v>
      </c>
      <c r="N3082" s="189" t="s">
        <v>864</v>
      </c>
      <c r="O3082" s="189"/>
      <c r="P3082" s="189"/>
      <c r="Q3082" s="189"/>
      <c r="R3082" s="189"/>
      <c r="S3082" s="189"/>
    </row>
    <row r="3083" spans="1:19">
      <c r="A3083" s="294"/>
      <c r="B3083" s="164"/>
      <c r="C3083" s="165"/>
      <c r="D3083" s="165"/>
      <c r="E3083" s="165"/>
      <c r="F3083" s="165"/>
      <c r="G3083" s="166"/>
      <c r="I3083" s="304"/>
      <c r="J3083" s="304"/>
      <c r="K3083" s="167"/>
      <c r="L3083" s="168"/>
      <c r="M3083" s="168"/>
      <c r="N3083" s="168"/>
      <c r="O3083" s="169"/>
      <c r="P3083" s="169"/>
      <c r="Q3083" s="169"/>
      <c r="R3083" s="161"/>
      <c r="S3083" s="161"/>
    </row>
    <row r="3084" spans="1:19">
      <c r="A3084" s="294"/>
      <c r="B3084" s="161"/>
      <c r="C3084" s="162"/>
      <c r="D3084" s="162"/>
      <c r="E3084" s="162"/>
      <c r="F3084" s="162"/>
      <c r="G3084" s="163"/>
      <c r="I3084" s="295" t="s">
        <v>782</v>
      </c>
      <c r="J3084" s="296"/>
      <c r="K3084" s="170"/>
      <c r="L3084" s="171"/>
      <c r="M3084" s="50"/>
      <c r="N3084" s="171"/>
      <c r="O3084" s="202"/>
      <c r="P3084" s="202"/>
      <c r="Q3084" s="202"/>
      <c r="R3084" s="162"/>
      <c r="S3084" s="162"/>
    </row>
    <row r="3085" spans="1:19">
      <c r="A3085" s="294"/>
      <c r="B3085" s="164"/>
      <c r="C3085" s="165"/>
      <c r="D3085" s="165"/>
      <c r="E3085" s="165"/>
      <c r="F3085" s="165"/>
      <c r="G3085" s="166"/>
      <c r="I3085" s="295" t="s">
        <v>783</v>
      </c>
      <c r="J3085" s="295"/>
      <c r="K3085" s="170"/>
      <c r="L3085" s="171"/>
      <c r="M3085" s="50"/>
      <c r="N3085" s="171"/>
      <c r="O3085" s="202"/>
      <c r="P3085" s="202"/>
      <c r="Q3085" s="202"/>
      <c r="R3085" s="162"/>
      <c r="S3085" s="162"/>
    </row>
    <row r="3086" spans="1:19">
      <c r="A3086" s="294"/>
      <c r="B3086" s="161"/>
      <c r="C3086" s="162"/>
      <c r="D3086" s="162"/>
      <c r="E3086" s="162"/>
      <c r="F3086" s="162"/>
      <c r="G3086" s="163"/>
      <c r="I3086" s="295" t="s">
        <v>784</v>
      </c>
      <c r="J3086" s="295"/>
      <c r="K3086" s="170"/>
      <c r="L3086" s="171"/>
      <c r="M3086" s="50"/>
      <c r="N3086" s="171"/>
      <c r="O3086" s="202"/>
      <c r="P3086" s="202"/>
      <c r="Q3086" s="202"/>
      <c r="R3086" s="162"/>
      <c r="S3086" s="162"/>
    </row>
    <row r="3087" spans="1:19">
      <c r="A3087" s="294"/>
      <c r="B3087" s="164"/>
      <c r="C3087" s="165"/>
      <c r="D3087" s="165"/>
      <c r="E3087" s="165"/>
      <c r="F3087" s="165"/>
      <c r="G3087" s="166"/>
      <c r="I3087" s="295" t="s">
        <v>785</v>
      </c>
      <c r="J3087" s="295"/>
      <c r="K3087" s="170"/>
      <c r="L3087" s="171"/>
      <c r="M3087" s="50"/>
      <c r="N3087" s="171"/>
      <c r="O3087" s="202"/>
      <c r="P3087" s="202"/>
      <c r="Q3087" s="202"/>
      <c r="R3087" s="162"/>
      <c r="S3087" s="162"/>
    </row>
    <row r="3088" spans="1:19">
      <c r="A3088" s="294"/>
      <c r="B3088" s="161"/>
      <c r="C3088" s="162"/>
      <c r="D3088" s="162"/>
      <c r="E3088" s="162"/>
      <c r="F3088" s="162"/>
      <c r="G3088" s="163"/>
      <c r="I3088" s="295" t="s">
        <v>786</v>
      </c>
      <c r="J3088" s="295"/>
      <c r="K3088" s="170"/>
      <c r="L3088" s="171"/>
      <c r="M3088" s="50"/>
      <c r="N3088" s="171"/>
      <c r="O3088" s="202"/>
      <c r="P3088" s="202"/>
      <c r="Q3088" s="202"/>
      <c r="R3088" s="162"/>
      <c r="S3088" s="162"/>
    </row>
    <row r="3089" spans="1:19">
      <c r="A3089" s="294"/>
      <c r="B3089" s="164"/>
      <c r="C3089" s="165"/>
      <c r="D3089" s="165"/>
      <c r="E3089" s="165"/>
      <c r="F3089" s="165"/>
      <c r="G3089" s="166"/>
      <c r="I3089" s="295" t="s">
        <v>787</v>
      </c>
      <c r="J3089" s="295"/>
      <c r="K3089" s="170"/>
      <c r="L3089" s="171"/>
      <c r="M3089" s="50"/>
      <c r="N3089" s="171"/>
      <c r="O3089" s="202"/>
      <c r="P3089" s="202"/>
      <c r="Q3089" s="202"/>
      <c r="R3089" s="162"/>
      <c r="S3089" s="162"/>
    </row>
    <row r="3090" spans="1:19">
      <c r="A3090" s="294"/>
      <c r="B3090" s="161"/>
      <c r="C3090" s="162"/>
      <c r="D3090" s="162"/>
      <c r="E3090" s="162"/>
      <c r="F3090" s="162"/>
      <c r="G3090" s="163"/>
      <c r="I3090" s="295" t="s">
        <v>788</v>
      </c>
      <c r="J3090" s="295"/>
      <c r="K3090" s="170"/>
      <c r="L3090" s="171"/>
      <c r="M3090" s="50"/>
      <c r="N3090" s="171"/>
      <c r="O3090" s="202"/>
      <c r="P3090" s="202"/>
      <c r="Q3090" s="202"/>
      <c r="R3090" s="162"/>
      <c r="S3090" s="162"/>
    </row>
    <row r="3091" spans="1:19">
      <c r="A3091" s="294"/>
      <c r="B3091" s="164"/>
      <c r="C3091" s="165"/>
      <c r="D3091" s="165"/>
      <c r="E3091" s="165"/>
      <c r="F3091" s="165"/>
      <c r="G3091" s="166"/>
      <c r="I3091" s="295" t="s">
        <v>789</v>
      </c>
      <c r="J3091" s="295"/>
      <c r="K3091" s="170"/>
      <c r="L3091" s="171"/>
      <c r="M3091" s="50"/>
      <c r="N3091" s="171"/>
      <c r="O3091" s="202"/>
      <c r="P3091" s="202"/>
      <c r="Q3091" s="202"/>
      <c r="R3091" s="162"/>
      <c r="S3091" s="162"/>
    </row>
    <row r="3092" spans="1:19">
      <c r="A3092" s="63"/>
      <c r="B3092" s="63"/>
      <c r="C3092" s="63"/>
      <c r="D3092" s="63"/>
      <c r="E3092" s="63"/>
      <c r="F3092" s="63"/>
      <c r="G3092" s="63"/>
      <c r="I3092" s="295" t="s">
        <v>790</v>
      </c>
      <c r="J3092" s="295"/>
      <c r="K3092" s="170"/>
      <c r="L3092" s="171"/>
      <c r="M3092" s="50"/>
      <c r="N3092" s="171"/>
      <c r="O3092" s="202"/>
      <c r="P3092" s="202"/>
      <c r="Q3092" s="202"/>
      <c r="R3092" s="162"/>
      <c r="S3092" s="162"/>
    </row>
    <row r="3093" spans="1:19">
      <c r="A3093" s="63"/>
      <c r="B3093" s="63"/>
      <c r="C3093" s="63"/>
      <c r="D3093" s="63"/>
      <c r="E3093" s="63"/>
      <c r="F3093" s="63"/>
      <c r="G3093" s="63"/>
      <c r="I3093" s="295" t="s">
        <v>791</v>
      </c>
      <c r="J3093" s="295"/>
      <c r="K3093" s="170"/>
      <c r="L3093" s="171"/>
      <c r="M3093" s="50"/>
      <c r="N3093" s="171"/>
      <c r="O3093" s="202"/>
      <c r="P3093" s="202"/>
      <c r="Q3093" s="202"/>
      <c r="R3093" s="162"/>
      <c r="S3093" s="162"/>
    </row>
    <row r="3094" spans="1:19">
      <c r="A3094" s="63"/>
      <c r="B3094" s="63"/>
      <c r="C3094" s="63"/>
      <c r="D3094" s="63"/>
      <c r="E3094" s="63"/>
      <c r="F3094" s="63"/>
      <c r="G3094" s="63"/>
      <c r="I3094" s="296" t="s">
        <v>792</v>
      </c>
      <c r="J3094" s="296"/>
      <c r="K3094" s="170"/>
      <c r="L3094" s="171"/>
      <c r="M3094" s="50"/>
      <c r="N3094" s="171"/>
      <c r="O3094" s="202"/>
      <c r="P3094" s="202"/>
      <c r="Q3094" s="202"/>
      <c r="R3094" s="162"/>
      <c r="S3094" s="162"/>
    </row>
    <row r="3095" spans="1:19" ht="17.25" thickBot="1">
      <c r="A3095" s="63"/>
      <c r="B3095" s="63"/>
      <c r="C3095" s="63"/>
      <c r="D3095" s="63"/>
      <c r="E3095" s="63"/>
      <c r="F3095" s="63"/>
      <c r="G3095" s="63"/>
      <c r="I3095" s="297" t="s">
        <v>793</v>
      </c>
      <c r="J3095" s="297"/>
      <c r="K3095" s="172">
        <f t="shared" ref="K3095:S3095" si="1459">SUM(K3084:K3094)</f>
        <v>0</v>
      </c>
      <c r="L3095" s="205">
        <f t="shared" si="1459"/>
        <v>0</v>
      </c>
      <c r="M3095" s="205">
        <f t="shared" si="1459"/>
        <v>0</v>
      </c>
      <c r="N3095" s="205">
        <f t="shared" si="1459"/>
        <v>0</v>
      </c>
      <c r="O3095" s="174">
        <f t="shared" si="1459"/>
        <v>0</v>
      </c>
      <c r="P3095" s="174">
        <f t="shared" si="1459"/>
        <v>0</v>
      </c>
      <c r="Q3095" s="174">
        <f t="shared" si="1459"/>
        <v>0</v>
      </c>
      <c r="R3095" s="175">
        <f t="shared" si="1459"/>
        <v>0</v>
      </c>
      <c r="S3095" s="175">
        <f t="shared" si="1459"/>
        <v>0</v>
      </c>
    </row>
    <row r="3096" spans="1:19" ht="17.25" thickBot="1">
      <c r="A3096" s="63"/>
      <c r="B3096" s="63"/>
      <c r="C3096" s="63"/>
      <c r="D3096" s="63"/>
      <c r="E3096" s="63"/>
      <c r="F3096" s="63"/>
      <c r="G3096" s="63"/>
      <c r="I3096" s="298" t="s">
        <v>794</v>
      </c>
      <c r="J3096" s="299"/>
      <c r="K3096" s="176">
        <f t="shared" ref="K3096" si="1460">S3075-K3095</f>
        <v>0</v>
      </c>
      <c r="L3096" s="177">
        <f t="shared" ref="L3096" si="1461">K3095-L3095</f>
        <v>0</v>
      </c>
      <c r="M3096" s="177">
        <f t="shared" ref="M3096" si="1462">K3095-M3095</f>
        <v>0</v>
      </c>
      <c r="N3096" s="177">
        <f t="shared" ref="N3096" si="1463">K3095-N3095</f>
        <v>0</v>
      </c>
      <c r="O3096" s="178">
        <f t="shared" ref="O3096" si="1464">K3095-O3095</f>
        <v>0</v>
      </c>
      <c r="P3096" s="178">
        <f t="shared" ref="P3096" si="1465">K3095-P3095</f>
        <v>0</v>
      </c>
      <c r="Q3096" s="178">
        <f t="shared" ref="Q3096" si="1466">K3095-Q3095</f>
        <v>0</v>
      </c>
      <c r="R3096" s="179">
        <f t="shared" ref="R3096" si="1467">K3095-R3095</f>
        <v>0</v>
      </c>
      <c r="S3096" s="180">
        <f t="shared" ref="S3096" si="1468">L3095-S3095</f>
        <v>0</v>
      </c>
    </row>
    <row r="3097" spans="1:19">
      <c r="A3097" s="63"/>
      <c r="B3097" s="63"/>
      <c r="C3097" s="63"/>
      <c r="D3097" s="63"/>
      <c r="E3097" s="63"/>
      <c r="F3097" s="63"/>
      <c r="G3097" s="63"/>
      <c r="I3097" s="300" t="s">
        <v>795</v>
      </c>
      <c r="J3097" s="301"/>
      <c r="K3097" s="181"/>
      <c r="L3097" s="182"/>
      <c r="M3097" s="182"/>
      <c r="N3097" s="182"/>
      <c r="O3097" s="183"/>
      <c r="P3097" s="182"/>
      <c r="Q3097" s="182"/>
      <c r="R3097" s="182"/>
      <c r="S3097" s="182"/>
    </row>
    <row r="3098" spans="1:19">
      <c r="A3098" s="63"/>
      <c r="B3098" s="63"/>
      <c r="C3098" s="63"/>
      <c r="D3098" s="63"/>
      <c r="E3098" s="63"/>
      <c r="F3098" s="63"/>
      <c r="G3098" s="63"/>
      <c r="I3098" s="302" t="s">
        <v>796</v>
      </c>
      <c r="J3098" s="302"/>
      <c r="K3098" s="184"/>
      <c r="L3098" s="203"/>
      <c r="M3098" s="203"/>
      <c r="N3098" s="203"/>
      <c r="O3098" s="203"/>
      <c r="P3098" s="203"/>
      <c r="Q3098" s="203"/>
      <c r="R3098" s="203"/>
      <c r="S3098" s="203"/>
    </row>
    <row r="3099" spans="1:19">
      <c r="A3099" s="63"/>
      <c r="B3099" s="63"/>
      <c r="C3099" s="63"/>
      <c r="D3099" s="63"/>
      <c r="E3099" s="63"/>
      <c r="F3099" s="63"/>
      <c r="G3099" s="63"/>
      <c r="I3099" s="302" t="s">
        <v>797</v>
      </c>
      <c r="J3099" s="302"/>
      <c r="K3099" s="184"/>
      <c r="L3099" s="203"/>
      <c r="M3099" s="203"/>
      <c r="N3099" s="203"/>
      <c r="O3099" s="203"/>
      <c r="P3099" s="203"/>
      <c r="Q3099" s="203"/>
      <c r="R3099" s="203"/>
      <c r="S3099" s="203"/>
    </row>
    <row r="3100" spans="1:19">
      <c r="A3100" s="63"/>
      <c r="B3100" s="63"/>
      <c r="C3100" s="63"/>
      <c r="D3100" s="63"/>
      <c r="E3100" s="63"/>
      <c r="F3100" s="63"/>
      <c r="G3100" s="63"/>
      <c r="I3100" s="303" t="s">
        <v>798</v>
      </c>
      <c r="J3100" s="303"/>
      <c r="K3100" s="184"/>
      <c r="L3100" s="185"/>
      <c r="M3100" s="185"/>
      <c r="N3100" s="185"/>
      <c r="O3100" s="185"/>
      <c r="P3100" s="204"/>
      <c r="Q3100" s="204"/>
      <c r="R3100" s="204"/>
      <c r="S3100" s="204"/>
    </row>
    <row r="3101" spans="1:19">
      <c r="A3101" s="3" t="s">
        <v>801</v>
      </c>
      <c r="B3101" s="201" t="s">
        <v>802</v>
      </c>
      <c r="C3101" s="201" t="s">
        <v>803</v>
      </c>
      <c r="D3101" s="201" t="s">
        <v>119</v>
      </c>
      <c r="E3101" s="201" t="s">
        <v>148</v>
      </c>
      <c r="F3101" s="201" t="s">
        <v>806</v>
      </c>
      <c r="G3101" s="201" t="s">
        <v>81</v>
      </c>
      <c r="I3101" s="187"/>
      <c r="J3101" s="187"/>
      <c r="K3101" s="187"/>
      <c r="L3101" s="188"/>
      <c r="M3101" s="188"/>
      <c r="N3101" s="188"/>
      <c r="O3101" s="188"/>
      <c r="P3101" s="187"/>
      <c r="Q3101" s="187"/>
      <c r="R3101" s="187"/>
      <c r="S3101" s="187"/>
    </row>
    <row r="3102" spans="1:19">
      <c r="A3102" s="293">
        <v>44194</v>
      </c>
      <c r="B3102" s="161"/>
      <c r="C3102" s="162"/>
      <c r="D3102" s="162"/>
      <c r="E3102" s="162"/>
      <c r="F3102" s="162"/>
      <c r="G3102" s="163"/>
      <c r="I3102" s="191"/>
      <c r="J3102" s="190"/>
      <c r="K3102" s="190"/>
      <c r="L3102" s="190"/>
      <c r="M3102" s="190">
        <v>44194</v>
      </c>
      <c r="N3102" s="189" t="s">
        <v>864</v>
      </c>
      <c r="O3102" s="189"/>
      <c r="P3102" s="189"/>
      <c r="Q3102" s="189"/>
      <c r="R3102" s="189"/>
      <c r="S3102" s="189"/>
    </row>
    <row r="3103" spans="1:19">
      <c r="A3103" s="294"/>
      <c r="B3103" s="164"/>
      <c r="C3103" s="165"/>
      <c r="D3103" s="165"/>
      <c r="E3103" s="165"/>
      <c r="F3103" s="165"/>
      <c r="G3103" s="166"/>
      <c r="I3103" s="304"/>
      <c r="J3103" s="304"/>
      <c r="K3103" s="167"/>
      <c r="L3103" s="168"/>
      <c r="M3103" s="168"/>
      <c r="N3103" s="168"/>
      <c r="O3103" s="169"/>
      <c r="P3103" s="169"/>
      <c r="Q3103" s="169"/>
      <c r="R3103" s="161"/>
      <c r="S3103" s="161"/>
    </row>
    <row r="3104" spans="1:19">
      <c r="A3104" s="294"/>
      <c r="B3104" s="161"/>
      <c r="C3104" s="162"/>
      <c r="D3104" s="162"/>
      <c r="E3104" s="162"/>
      <c r="F3104" s="162"/>
      <c r="G3104" s="163"/>
      <c r="I3104" s="295" t="s">
        <v>782</v>
      </c>
      <c r="J3104" s="296"/>
      <c r="K3104" s="170"/>
      <c r="L3104" s="171"/>
      <c r="M3104" s="50"/>
      <c r="N3104" s="171"/>
      <c r="O3104" s="202"/>
      <c r="P3104" s="202"/>
      <c r="Q3104" s="202"/>
      <c r="R3104" s="162"/>
      <c r="S3104" s="162"/>
    </row>
    <row r="3105" spans="1:19">
      <c r="A3105" s="294"/>
      <c r="B3105" s="164"/>
      <c r="C3105" s="165"/>
      <c r="D3105" s="165"/>
      <c r="E3105" s="165"/>
      <c r="F3105" s="165"/>
      <c r="G3105" s="166"/>
      <c r="I3105" s="295" t="s">
        <v>783</v>
      </c>
      <c r="J3105" s="295"/>
      <c r="K3105" s="170"/>
      <c r="L3105" s="171"/>
      <c r="M3105" s="50"/>
      <c r="N3105" s="171"/>
      <c r="O3105" s="202"/>
      <c r="P3105" s="202"/>
      <c r="Q3105" s="202"/>
      <c r="R3105" s="162"/>
      <c r="S3105" s="162"/>
    </row>
    <row r="3106" spans="1:19">
      <c r="A3106" s="294"/>
      <c r="B3106" s="161"/>
      <c r="C3106" s="162"/>
      <c r="D3106" s="162"/>
      <c r="E3106" s="162"/>
      <c r="F3106" s="162"/>
      <c r="G3106" s="163"/>
      <c r="I3106" s="295" t="s">
        <v>784</v>
      </c>
      <c r="J3106" s="295"/>
      <c r="K3106" s="170"/>
      <c r="L3106" s="171"/>
      <c r="M3106" s="50"/>
      <c r="N3106" s="171"/>
      <c r="O3106" s="202"/>
      <c r="P3106" s="202"/>
      <c r="Q3106" s="202"/>
      <c r="R3106" s="162"/>
      <c r="S3106" s="162"/>
    </row>
    <row r="3107" spans="1:19">
      <c r="A3107" s="294"/>
      <c r="B3107" s="164"/>
      <c r="C3107" s="165"/>
      <c r="D3107" s="165"/>
      <c r="E3107" s="165"/>
      <c r="F3107" s="165"/>
      <c r="G3107" s="166"/>
      <c r="I3107" s="295" t="s">
        <v>785</v>
      </c>
      <c r="J3107" s="295"/>
      <c r="K3107" s="170"/>
      <c r="L3107" s="171"/>
      <c r="M3107" s="50"/>
      <c r="N3107" s="171"/>
      <c r="O3107" s="202"/>
      <c r="P3107" s="202"/>
      <c r="Q3107" s="202"/>
      <c r="R3107" s="162"/>
      <c r="S3107" s="162"/>
    </row>
    <row r="3108" spans="1:19">
      <c r="A3108" s="294"/>
      <c r="B3108" s="161"/>
      <c r="C3108" s="162"/>
      <c r="D3108" s="162"/>
      <c r="E3108" s="162"/>
      <c r="F3108" s="162"/>
      <c r="G3108" s="163"/>
      <c r="I3108" s="295" t="s">
        <v>786</v>
      </c>
      <c r="J3108" s="295"/>
      <c r="K3108" s="170"/>
      <c r="L3108" s="171"/>
      <c r="M3108" s="50"/>
      <c r="N3108" s="171"/>
      <c r="O3108" s="202"/>
      <c r="P3108" s="202"/>
      <c r="Q3108" s="202"/>
      <c r="R3108" s="162"/>
      <c r="S3108" s="162"/>
    </row>
    <row r="3109" spans="1:19">
      <c r="A3109" s="294"/>
      <c r="B3109" s="164"/>
      <c r="C3109" s="165"/>
      <c r="D3109" s="165"/>
      <c r="E3109" s="165"/>
      <c r="F3109" s="165"/>
      <c r="G3109" s="166"/>
      <c r="I3109" s="295" t="s">
        <v>787</v>
      </c>
      <c r="J3109" s="295"/>
      <c r="K3109" s="170"/>
      <c r="L3109" s="171"/>
      <c r="M3109" s="50"/>
      <c r="N3109" s="171"/>
      <c r="O3109" s="202"/>
      <c r="P3109" s="202"/>
      <c r="Q3109" s="202"/>
      <c r="R3109" s="162"/>
      <c r="S3109" s="162"/>
    </row>
    <row r="3110" spans="1:19">
      <c r="A3110" s="294"/>
      <c r="B3110" s="161"/>
      <c r="C3110" s="162"/>
      <c r="D3110" s="162"/>
      <c r="E3110" s="162"/>
      <c r="F3110" s="162"/>
      <c r="G3110" s="163"/>
      <c r="I3110" s="295" t="s">
        <v>788</v>
      </c>
      <c r="J3110" s="295"/>
      <c r="K3110" s="170"/>
      <c r="L3110" s="171"/>
      <c r="M3110" s="50"/>
      <c r="N3110" s="171"/>
      <c r="O3110" s="202"/>
      <c r="P3110" s="202"/>
      <c r="Q3110" s="202"/>
      <c r="R3110" s="162"/>
      <c r="S3110" s="162"/>
    </row>
    <row r="3111" spans="1:19">
      <c r="A3111" s="294"/>
      <c r="B3111" s="164"/>
      <c r="C3111" s="165"/>
      <c r="D3111" s="165"/>
      <c r="E3111" s="165"/>
      <c r="F3111" s="165"/>
      <c r="G3111" s="166"/>
      <c r="I3111" s="295" t="s">
        <v>789</v>
      </c>
      <c r="J3111" s="295"/>
      <c r="K3111" s="170"/>
      <c r="L3111" s="171"/>
      <c r="M3111" s="50"/>
      <c r="N3111" s="171"/>
      <c r="O3111" s="202"/>
      <c r="P3111" s="202"/>
      <c r="Q3111" s="202"/>
      <c r="R3111" s="162"/>
      <c r="S3111" s="162"/>
    </row>
    <row r="3112" spans="1:19">
      <c r="A3112" s="63"/>
      <c r="B3112" s="63"/>
      <c r="C3112" s="63"/>
      <c r="D3112" s="63"/>
      <c r="E3112" s="63"/>
      <c r="F3112" s="63"/>
      <c r="G3112" s="63"/>
      <c r="I3112" s="295" t="s">
        <v>790</v>
      </c>
      <c r="J3112" s="295"/>
      <c r="K3112" s="170"/>
      <c r="L3112" s="171"/>
      <c r="M3112" s="50"/>
      <c r="N3112" s="171"/>
      <c r="O3112" s="202"/>
      <c r="P3112" s="202"/>
      <c r="Q3112" s="202"/>
      <c r="R3112" s="162"/>
      <c r="S3112" s="162"/>
    </row>
    <row r="3113" spans="1:19">
      <c r="A3113" s="63"/>
      <c r="B3113" s="63"/>
      <c r="C3113" s="63"/>
      <c r="D3113" s="63"/>
      <c r="E3113" s="63"/>
      <c r="F3113" s="63"/>
      <c r="G3113" s="63"/>
      <c r="I3113" s="295" t="s">
        <v>791</v>
      </c>
      <c r="J3113" s="295"/>
      <c r="K3113" s="170"/>
      <c r="L3113" s="171"/>
      <c r="M3113" s="50"/>
      <c r="N3113" s="171"/>
      <c r="O3113" s="202"/>
      <c r="P3113" s="202"/>
      <c r="Q3113" s="202"/>
      <c r="R3113" s="162"/>
      <c r="S3113" s="162"/>
    </row>
    <row r="3114" spans="1:19">
      <c r="A3114" s="63"/>
      <c r="B3114" s="63"/>
      <c r="C3114" s="63"/>
      <c r="D3114" s="63"/>
      <c r="E3114" s="63"/>
      <c r="F3114" s="63"/>
      <c r="G3114" s="63"/>
      <c r="I3114" s="296" t="s">
        <v>792</v>
      </c>
      <c r="J3114" s="296"/>
      <c r="K3114" s="170"/>
      <c r="L3114" s="171"/>
      <c r="M3114" s="50"/>
      <c r="N3114" s="171"/>
      <c r="O3114" s="202"/>
      <c r="P3114" s="202"/>
      <c r="Q3114" s="202"/>
      <c r="R3114" s="162"/>
      <c r="S3114" s="162"/>
    </row>
    <row r="3115" spans="1:19" ht="17.25" thickBot="1">
      <c r="A3115" s="63"/>
      <c r="B3115" s="63"/>
      <c r="C3115" s="63"/>
      <c r="D3115" s="63"/>
      <c r="E3115" s="63"/>
      <c r="F3115" s="63"/>
      <c r="G3115" s="63"/>
      <c r="I3115" s="297" t="s">
        <v>793</v>
      </c>
      <c r="J3115" s="297"/>
      <c r="K3115" s="172">
        <f t="shared" ref="K3115:S3115" si="1469">SUM(K3104:K3114)</f>
        <v>0</v>
      </c>
      <c r="L3115" s="205">
        <f t="shared" si="1469"/>
        <v>0</v>
      </c>
      <c r="M3115" s="205">
        <f t="shared" si="1469"/>
        <v>0</v>
      </c>
      <c r="N3115" s="205">
        <f t="shared" si="1469"/>
        <v>0</v>
      </c>
      <c r="O3115" s="174">
        <f t="shared" si="1469"/>
        <v>0</v>
      </c>
      <c r="P3115" s="174">
        <f t="shared" si="1469"/>
        <v>0</v>
      </c>
      <c r="Q3115" s="174">
        <f t="shared" si="1469"/>
        <v>0</v>
      </c>
      <c r="R3115" s="175">
        <f t="shared" si="1469"/>
        <v>0</v>
      </c>
      <c r="S3115" s="175">
        <f t="shared" si="1469"/>
        <v>0</v>
      </c>
    </row>
    <row r="3116" spans="1:19" ht="17.25" thickBot="1">
      <c r="A3116" s="63"/>
      <c r="B3116" s="63"/>
      <c r="C3116" s="63"/>
      <c r="D3116" s="63"/>
      <c r="E3116" s="63"/>
      <c r="F3116" s="63"/>
      <c r="G3116" s="63"/>
      <c r="I3116" s="298" t="s">
        <v>794</v>
      </c>
      <c r="J3116" s="299"/>
      <c r="K3116" s="176">
        <f t="shared" ref="K3116" si="1470">S3095-K3115</f>
        <v>0</v>
      </c>
      <c r="L3116" s="177">
        <f t="shared" ref="L3116" si="1471">K3115-L3115</f>
        <v>0</v>
      </c>
      <c r="M3116" s="177">
        <f t="shared" ref="M3116" si="1472">K3115-M3115</f>
        <v>0</v>
      </c>
      <c r="N3116" s="177">
        <f t="shared" ref="N3116" si="1473">K3115-N3115</f>
        <v>0</v>
      </c>
      <c r="O3116" s="178">
        <f t="shared" ref="O3116" si="1474">K3115-O3115</f>
        <v>0</v>
      </c>
      <c r="P3116" s="178">
        <f t="shared" ref="P3116" si="1475">K3115-P3115</f>
        <v>0</v>
      </c>
      <c r="Q3116" s="178">
        <f t="shared" ref="Q3116" si="1476">K3115-Q3115</f>
        <v>0</v>
      </c>
      <c r="R3116" s="179">
        <f t="shared" ref="R3116" si="1477">K3115-R3115</f>
        <v>0</v>
      </c>
      <c r="S3116" s="180">
        <f t="shared" ref="S3116" si="1478">L3115-S3115</f>
        <v>0</v>
      </c>
    </row>
    <row r="3117" spans="1:19">
      <c r="A3117" s="63"/>
      <c r="B3117" s="63"/>
      <c r="C3117" s="63"/>
      <c r="D3117" s="63"/>
      <c r="E3117" s="63"/>
      <c r="F3117" s="63"/>
      <c r="G3117" s="63"/>
      <c r="I3117" s="300" t="s">
        <v>795</v>
      </c>
      <c r="J3117" s="301"/>
      <c r="K3117" s="181"/>
      <c r="L3117" s="182"/>
      <c r="M3117" s="182"/>
      <c r="N3117" s="182"/>
      <c r="O3117" s="183"/>
      <c r="P3117" s="182"/>
      <c r="Q3117" s="182"/>
      <c r="R3117" s="182"/>
      <c r="S3117" s="182"/>
    </row>
    <row r="3118" spans="1:19">
      <c r="A3118" s="63"/>
      <c r="B3118" s="63"/>
      <c r="C3118" s="63"/>
      <c r="D3118" s="63"/>
      <c r="E3118" s="63"/>
      <c r="F3118" s="63"/>
      <c r="G3118" s="63"/>
      <c r="I3118" s="302" t="s">
        <v>796</v>
      </c>
      <c r="J3118" s="302"/>
      <c r="K3118" s="184"/>
      <c r="L3118" s="203"/>
      <c r="M3118" s="203"/>
      <c r="N3118" s="203"/>
      <c r="O3118" s="203"/>
      <c r="P3118" s="203"/>
      <c r="Q3118" s="203"/>
      <c r="R3118" s="203"/>
      <c r="S3118" s="203"/>
    </row>
    <row r="3119" spans="1:19">
      <c r="A3119" s="63"/>
      <c r="B3119" s="63"/>
      <c r="C3119" s="63"/>
      <c r="D3119" s="63"/>
      <c r="E3119" s="63"/>
      <c r="F3119" s="63"/>
      <c r="G3119" s="63"/>
      <c r="I3119" s="302" t="s">
        <v>797</v>
      </c>
      <c r="J3119" s="302"/>
      <c r="K3119" s="184"/>
      <c r="L3119" s="203"/>
      <c r="M3119" s="203"/>
      <c r="N3119" s="203"/>
      <c r="O3119" s="203"/>
      <c r="P3119" s="203"/>
      <c r="Q3119" s="203"/>
      <c r="R3119" s="203"/>
      <c r="S3119" s="203"/>
    </row>
    <row r="3120" spans="1:19">
      <c r="A3120" s="63"/>
      <c r="B3120" s="63"/>
      <c r="C3120" s="63"/>
      <c r="D3120" s="63"/>
      <c r="E3120" s="63"/>
      <c r="F3120" s="63"/>
      <c r="G3120" s="63"/>
      <c r="I3120" s="303" t="s">
        <v>798</v>
      </c>
      <c r="J3120" s="303"/>
      <c r="K3120" s="184"/>
      <c r="L3120" s="185"/>
      <c r="M3120" s="185"/>
      <c r="N3120" s="185"/>
      <c r="O3120" s="185"/>
      <c r="P3120" s="204"/>
      <c r="Q3120" s="204"/>
      <c r="R3120" s="204"/>
      <c r="S3120" s="204"/>
    </row>
    <row r="3121" spans="1:19">
      <c r="A3121" s="3" t="s">
        <v>801</v>
      </c>
      <c r="B3121" s="201" t="s">
        <v>802</v>
      </c>
      <c r="C3121" s="201" t="s">
        <v>803</v>
      </c>
      <c r="D3121" s="201" t="s">
        <v>119</v>
      </c>
      <c r="E3121" s="201" t="s">
        <v>148</v>
      </c>
      <c r="F3121" s="201" t="s">
        <v>806</v>
      </c>
      <c r="G3121" s="201" t="s">
        <v>81</v>
      </c>
      <c r="I3121" s="187"/>
      <c r="J3121" s="187"/>
      <c r="K3121" s="187"/>
      <c r="L3121" s="188"/>
      <c r="M3121" s="188"/>
      <c r="N3121" s="188"/>
      <c r="O3121" s="188"/>
      <c r="P3121" s="187"/>
      <c r="Q3121" s="187"/>
      <c r="R3121" s="187"/>
      <c r="S3121" s="187"/>
    </row>
    <row r="3122" spans="1:19">
      <c r="A3122" s="293">
        <v>44195</v>
      </c>
      <c r="B3122" s="161"/>
      <c r="C3122" s="162"/>
      <c r="D3122" s="162"/>
      <c r="E3122" s="162"/>
      <c r="F3122" s="162"/>
      <c r="G3122" s="163"/>
      <c r="I3122" s="191"/>
      <c r="J3122" s="190"/>
      <c r="K3122" s="190"/>
      <c r="L3122" s="190"/>
      <c r="M3122" s="190">
        <v>44195</v>
      </c>
      <c r="N3122" s="189" t="s">
        <v>864</v>
      </c>
      <c r="O3122" s="189"/>
      <c r="P3122" s="189"/>
      <c r="Q3122" s="189"/>
      <c r="R3122" s="189"/>
      <c r="S3122" s="189"/>
    </row>
    <row r="3123" spans="1:19">
      <c r="A3123" s="294"/>
      <c r="B3123" s="164"/>
      <c r="C3123" s="165"/>
      <c r="D3123" s="165"/>
      <c r="E3123" s="165"/>
      <c r="F3123" s="165"/>
      <c r="G3123" s="166"/>
      <c r="I3123" s="304"/>
      <c r="J3123" s="304"/>
      <c r="K3123" s="167"/>
      <c r="L3123" s="168"/>
      <c r="M3123" s="168"/>
      <c r="N3123" s="168"/>
      <c r="O3123" s="169"/>
      <c r="P3123" s="169"/>
      <c r="Q3123" s="169"/>
      <c r="R3123" s="161"/>
      <c r="S3123" s="161"/>
    </row>
    <row r="3124" spans="1:19">
      <c r="A3124" s="294"/>
      <c r="B3124" s="161"/>
      <c r="C3124" s="162"/>
      <c r="D3124" s="162"/>
      <c r="E3124" s="162"/>
      <c r="F3124" s="162"/>
      <c r="G3124" s="163"/>
      <c r="I3124" s="295" t="s">
        <v>782</v>
      </c>
      <c r="J3124" s="296"/>
      <c r="K3124" s="170"/>
      <c r="L3124" s="171"/>
      <c r="M3124" s="50"/>
      <c r="N3124" s="171"/>
      <c r="O3124" s="202"/>
      <c r="P3124" s="202"/>
      <c r="Q3124" s="202"/>
      <c r="R3124" s="162"/>
      <c r="S3124" s="162"/>
    </row>
    <row r="3125" spans="1:19">
      <c r="A3125" s="294"/>
      <c r="B3125" s="164"/>
      <c r="C3125" s="165"/>
      <c r="D3125" s="165"/>
      <c r="E3125" s="165"/>
      <c r="F3125" s="165"/>
      <c r="G3125" s="166"/>
      <c r="I3125" s="295" t="s">
        <v>783</v>
      </c>
      <c r="J3125" s="295"/>
      <c r="K3125" s="170"/>
      <c r="L3125" s="171"/>
      <c r="M3125" s="50"/>
      <c r="N3125" s="171"/>
      <c r="O3125" s="202"/>
      <c r="P3125" s="202"/>
      <c r="Q3125" s="202"/>
      <c r="R3125" s="162"/>
      <c r="S3125" s="162"/>
    </row>
    <row r="3126" spans="1:19">
      <c r="A3126" s="294"/>
      <c r="B3126" s="161"/>
      <c r="C3126" s="162"/>
      <c r="D3126" s="162"/>
      <c r="E3126" s="162"/>
      <c r="F3126" s="162"/>
      <c r="G3126" s="163"/>
      <c r="I3126" s="295" t="s">
        <v>784</v>
      </c>
      <c r="J3126" s="295"/>
      <c r="K3126" s="170"/>
      <c r="L3126" s="171"/>
      <c r="M3126" s="50"/>
      <c r="N3126" s="171"/>
      <c r="O3126" s="202"/>
      <c r="P3126" s="202"/>
      <c r="Q3126" s="202"/>
      <c r="R3126" s="162"/>
      <c r="S3126" s="162"/>
    </row>
    <row r="3127" spans="1:19">
      <c r="A3127" s="294"/>
      <c r="B3127" s="164"/>
      <c r="C3127" s="165"/>
      <c r="D3127" s="165"/>
      <c r="E3127" s="165"/>
      <c r="F3127" s="165"/>
      <c r="G3127" s="166"/>
      <c r="I3127" s="295" t="s">
        <v>785</v>
      </c>
      <c r="J3127" s="295"/>
      <c r="K3127" s="170"/>
      <c r="L3127" s="171"/>
      <c r="M3127" s="50"/>
      <c r="N3127" s="171"/>
      <c r="O3127" s="202"/>
      <c r="P3127" s="202"/>
      <c r="Q3127" s="202"/>
      <c r="R3127" s="162"/>
      <c r="S3127" s="162"/>
    </row>
    <row r="3128" spans="1:19">
      <c r="A3128" s="294"/>
      <c r="B3128" s="161"/>
      <c r="C3128" s="162"/>
      <c r="D3128" s="162"/>
      <c r="E3128" s="162"/>
      <c r="F3128" s="162"/>
      <c r="G3128" s="163"/>
      <c r="I3128" s="295" t="s">
        <v>786</v>
      </c>
      <c r="J3128" s="295"/>
      <c r="K3128" s="170"/>
      <c r="L3128" s="171"/>
      <c r="M3128" s="50"/>
      <c r="N3128" s="171"/>
      <c r="O3128" s="202"/>
      <c r="P3128" s="202"/>
      <c r="Q3128" s="202"/>
      <c r="R3128" s="162"/>
      <c r="S3128" s="162"/>
    </row>
    <row r="3129" spans="1:19">
      <c r="A3129" s="294"/>
      <c r="B3129" s="164"/>
      <c r="C3129" s="165"/>
      <c r="D3129" s="165"/>
      <c r="E3129" s="165"/>
      <c r="F3129" s="165"/>
      <c r="G3129" s="166"/>
      <c r="I3129" s="295" t="s">
        <v>787</v>
      </c>
      <c r="J3129" s="295"/>
      <c r="K3129" s="170"/>
      <c r="L3129" s="171"/>
      <c r="M3129" s="50"/>
      <c r="N3129" s="171"/>
      <c r="O3129" s="202"/>
      <c r="P3129" s="202"/>
      <c r="Q3129" s="202"/>
      <c r="R3129" s="162"/>
      <c r="S3129" s="162"/>
    </row>
    <row r="3130" spans="1:19">
      <c r="A3130" s="294"/>
      <c r="B3130" s="161"/>
      <c r="C3130" s="162"/>
      <c r="D3130" s="162"/>
      <c r="E3130" s="162"/>
      <c r="F3130" s="162"/>
      <c r="G3130" s="163"/>
      <c r="I3130" s="295" t="s">
        <v>788</v>
      </c>
      <c r="J3130" s="295"/>
      <c r="K3130" s="170"/>
      <c r="L3130" s="171"/>
      <c r="M3130" s="50"/>
      <c r="N3130" s="171"/>
      <c r="O3130" s="202"/>
      <c r="P3130" s="202"/>
      <c r="Q3130" s="202"/>
      <c r="R3130" s="162"/>
      <c r="S3130" s="162"/>
    </row>
    <row r="3131" spans="1:19">
      <c r="A3131" s="294"/>
      <c r="B3131" s="164"/>
      <c r="C3131" s="165"/>
      <c r="D3131" s="165"/>
      <c r="E3131" s="165"/>
      <c r="F3131" s="165"/>
      <c r="G3131" s="166"/>
      <c r="I3131" s="295" t="s">
        <v>789</v>
      </c>
      <c r="J3131" s="295"/>
      <c r="K3131" s="170"/>
      <c r="L3131" s="171"/>
      <c r="M3131" s="50"/>
      <c r="N3131" s="171"/>
      <c r="O3131" s="202"/>
      <c r="P3131" s="202"/>
      <c r="Q3131" s="202"/>
      <c r="R3131" s="162"/>
      <c r="S3131" s="162"/>
    </row>
    <row r="3132" spans="1:19">
      <c r="A3132" s="63"/>
      <c r="B3132" s="63"/>
      <c r="C3132" s="63"/>
      <c r="D3132" s="63"/>
      <c r="E3132" s="63"/>
      <c r="F3132" s="63"/>
      <c r="G3132" s="63"/>
      <c r="I3132" s="295" t="s">
        <v>790</v>
      </c>
      <c r="J3132" s="295"/>
      <c r="K3132" s="170"/>
      <c r="L3132" s="171"/>
      <c r="M3132" s="50"/>
      <c r="N3132" s="171"/>
      <c r="O3132" s="202"/>
      <c r="P3132" s="202"/>
      <c r="Q3132" s="202"/>
      <c r="R3132" s="162"/>
      <c r="S3132" s="162"/>
    </row>
    <row r="3133" spans="1:19">
      <c r="A3133" s="63"/>
      <c r="B3133" s="63"/>
      <c r="C3133" s="63"/>
      <c r="D3133" s="63"/>
      <c r="E3133" s="63"/>
      <c r="F3133" s="63"/>
      <c r="G3133" s="63"/>
      <c r="I3133" s="295" t="s">
        <v>791</v>
      </c>
      <c r="J3133" s="295"/>
      <c r="K3133" s="170"/>
      <c r="L3133" s="171"/>
      <c r="M3133" s="50"/>
      <c r="N3133" s="171"/>
      <c r="O3133" s="202"/>
      <c r="P3133" s="202"/>
      <c r="Q3133" s="202"/>
      <c r="R3133" s="162"/>
      <c r="S3133" s="162"/>
    </row>
    <row r="3134" spans="1:19">
      <c r="A3134" s="63"/>
      <c r="B3134" s="63"/>
      <c r="C3134" s="63"/>
      <c r="D3134" s="63"/>
      <c r="E3134" s="63"/>
      <c r="F3134" s="63"/>
      <c r="G3134" s="63"/>
      <c r="I3134" s="296" t="s">
        <v>792</v>
      </c>
      <c r="J3134" s="296"/>
      <c r="K3134" s="170"/>
      <c r="L3134" s="171"/>
      <c r="M3134" s="50"/>
      <c r="N3134" s="171"/>
      <c r="O3134" s="202"/>
      <c r="P3134" s="202"/>
      <c r="Q3134" s="202"/>
      <c r="R3134" s="162"/>
      <c r="S3134" s="162"/>
    </row>
    <row r="3135" spans="1:19" ht="17.25" thickBot="1">
      <c r="A3135" s="63"/>
      <c r="B3135" s="63"/>
      <c r="C3135" s="63"/>
      <c r="D3135" s="63"/>
      <c r="E3135" s="63"/>
      <c r="F3135" s="63"/>
      <c r="G3135" s="63"/>
      <c r="I3135" s="297" t="s">
        <v>793</v>
      </c>
      <c r="J3135" s="297"/>
      <c r="K3135" s="172">
        <f t="shared" ref="K3135:S3135" si="1479">SUM(K3124:K3134)</f>
        <v>0</v>
      </c>
      <c r="L3135" s="205">
        <f t="shared" si="1479"/>
        <v>0</v>
      </c>
      <c r="M3135" s="205">
        <f t="shared" si="1479"/>
        <v>0</v>
      </c>
      <c r="N3135" s="205">
        <f t="shared" si="1479"/>
        <v>0</v>
      </c>
      <c r="O3135" s="174">
        <f t="shared" si="1479"/>
        <v>0</v>
      </c>
      <c r="P3135" s="174">
        <f t="shared" si="1479"/>
        <v>0</v>
      </c>
      <c r="Q3135" s="174">
        <f t="shared" si="1479"/>
        <v>0</v>
      </c>
      <c r="R3135" s="175">
        <f t="shared" si="1479"/>
        <v>0</v>
      </c>
      <c r="S3135" s="175">
        <f t="shared" si="1479"/>
        <v>0</v>
      </c>
    </row>
    <row r="3136" spans="1:19" ht="17.25" thickBot="1">
      <c r="A3136" s="63"/>
      <c r="B3136" s="63"/>
      <c r="C3136" s="63"/>
      <c r="D3136" s="63"/>
      <c r="E3136" s="63"/>
      <c r="F3136" s="63"/>
      <c r="G3136" s="63"/>
      <c r="I3136" s="298" t="s">
        <v>794</v>
      </c>
      <c r="J3136" s="299"/>
      <c r="K3136" s="176">
        <f t="shared" ref="K3136" si="1480">S3115-K3135</f>
        <v>0</v>
      </c>
      <c r="L3136" s="177">
        <f t="shared" ref="L3136" si="1481">K3135-L3135</f>
        <v>0</v>
      </c>
      <c r="M3136" s="177">
        <f t="shared" ref="M3136" si="1482">K3135-M3135</f>
        <v>0</v>
      </c>
      <c r="N3136" s="177">
        <f t="shared" ref="N3136" si="1483">K3135-N3135</f>
        <v>0</v>
      </c>
      <c r="O3136" s="178">
        <f t="shared" ref="O3136" si="1484">K3135-O3135</f>
        <v>0</v>
      </c>
      <c r="P3136" s="178">
        <f t="shared" ref="P3136" si="1485">K3135-P3135</f>
        <v>0</v>
      </c>
      <c r="Q3136" s="178">
        <f t="shared" ref="Q3136" si="1486">K3135-Q3135</f>
        <v>0</v>
      </c>
      <c r="R3136" s="179">
        <f t="shared" ref="R3136" si="1487">K3135-R3135</f>
        <v>0</v>
      </c>
      <c r="S3136" s="180">
        <f t="shared" ref="S3136" si="1488">L3135-S3135</f>
        <v>0</v>
      </c>
    </row>
    <row r="3137" spans="1:19">
      <c r="A3137" s="63"/>
      <c r="B3137" s="63"/>
      <c r="C3137" s="63"/>
      <c r="D3137" s="63"/>
      <c r="E3137" s="63"/>
      <c r="F3137" s="63"/>
      <c r="G3137" s="63"/>
      <c r="I3137" s="300" t="s">
        <v>795</v>
      </c>
      <c r="J3137" s="301"/>
      <c r="K3137" s="181"/>
      <c r="L3137" s="182"/>
      <c r="M3137" s="182"/>
      <c r="N3137" s="182"/>
      <c r="O3137" s="183"/>
      <c r="P3137" s="182"/>
      <c r="Q3137" s="182"/>
      <c r="R3137" s="182"/>
      <c r="S3137" s="182"/>
    </row>
    <row r="3138" spans="1:19">
      <c r="A3138" s="63"/>
      <c r="B3138" s="63"/>
      <c r="C3138" s="63"/>
      <c r="D3138" s="63"/>
      <c r="E3138" s="63"/>
      <c r="F3138" s="63"/>
      <c r="G3138" s="63"/>
      <c r="I3138" s="302" t="s">
        <v>796</v>
      </c>
      <c r="J3138" s="302"/>
      <c r="K3138" s="184"/>
      <c r="L3138" s="203"/>
      <c r="M3138" s="203"/>
      <c r="N3138" s="203"/>
      <c r="O3138" s="203"/>
      <c r="P3138" s="203"/>
      <c r="Q3138" s="203"/>
      <c r="R3138" s="203"/>
      <c r="S3138" s="203"/>
    </row>
    <row r="3139" spans="1:19">
      <c r="A3139" s="63"/>
      <c r="B3139" s="63"/>
      <c r="C3139" s="63"/>
      <c r="D3139" s="63"/>
      <c r="E3139" s="63"/>
      <c r="F3139" s="63"/>
      <c r="G3139" s="63"/>
      <c r="I3139" s="302" t="s">
        <v>797</v>
      </c>
      <c r="J3139" s="302"/>
      <c r="K3139" s="184"/>
      <c r="L3139" s="203"/>
      <c r="M3139" s="203"/>
      <c r="N3139" s="203"/>
      <c r="O3139" s="203"/>
      <c r="P3139" s="203"/>
      <c r="Q3139" s="203"/>
      <c r="R3139" s="203"/>
      <c r="S3139" s="203"/>
    </row>
    <row r="3140" spans="1:19">
      <c r="A3140" s="63"/>
      <c r="B3140" s="63"/>
      <c r="C3140" s="63"/>
      <c r="D3140" s="63"/>
      <c r="E3140" s="63"/>
      <c r="F3140" s="63"/>
      <c r="G3140" s="63"/>
      <c r="I3140" s="303" t="s">
        <v>798</v>
      </c>
      <c r="J3140" s="303"/>
      <c r="K3140" s="184"/>
      <c r="L3140" s="185"/>
      <c r="M3140" s="185"/>
      <c r="N3140" s="185"/>
      <c r="O3140" s="185"/>
      <c r="P3140" s="204"/>
      <c r="Q3140" s="204"/>
      <c r="R3140" s="204"/>
      <c r="S3140" s="204"/>
    </row>
    <row r="3141" spans="1:19">
      <c r="A3141" s="3" t="s">
        <v>801</v>
      </c>
      <c r="B3141" s="201" t="s">
        <v>802</v>
      </c>
      <c r="C3141" s="201" t="s">
        <v>803</v>
      </c>
      <c r="D3141" s="201" t="s">
        <v>119</v>
      </c>
      <c r="E3141" s="201" t="s">
        <v>148</v>
      </c>
      <c r="F3141" s="201" t="s">
        <v>806</v>
      </c>
      <c r="G3141" s="201" t="s">
        <v>81</v>
      </c>
      <c r="I3141" s="187"/>
      <c r="J3141" s="187"/>
      <c r="K3141" s="187"/>
      <c r="L3141" s="188"/>
      <c r="M3141" s="188"/>
      <c r="N3141" s="188"/>
      <c r="O3141" s="188"/>
      <c r="P3141" s="187"/>
      <c r="Q3141" s="187"/>
      <c r="R3141" s="187"/>
      <c r="S3141" s="187"/>
    </row>
    <row r="3142" spans="1:19">
      <c r="A3142" s="293">
        <v>44196</v>
      </c>
      <c r="B3142" s="161"/>
      <c r="C3142" s="162"/>
      <c r="D3142" s="162"/>
      <c r="E3142" s="162"/>
      <c r="F3142" s="162"/>
      <c r="G3142" s="163"/>
      <c r="I3142" s="191"/>
      <c r="J3142" s="190"/>
      <c r="K3142" s="190"/>
      <c r="L3142" s="190"/>
      <c r="M3142" s="190">
        <v>44196</v>
      </c>
      <c r="N3142" s="189" t="s">
        <v>864</v>
      </c>
      <c r="O3142" s="189"/>
      <c r="P3142" s="189"/>
      <c r="Q3142" s="189"/>
      <c r="R3142" s="189"/>
      <c r="S3142" s="189"/>
    </row>
    <row r="3143" spans="1:19">
      <c r="A3143" s="294"/>
      <c r="B3143" s="164"/>
      <c r="C3143" s="165"/>
      <c r="D3143" s="165"/>
      <c r="E3143" s="165"/>
      <c r="F3143" s="165"/>
      <c r="G3143" s="166"/>
      <c r="I3143" s="304"/>
      <c r="J3143" s="304"/>
      <c r="K3143" s="167"/>
      <c r="L3143" s="168"/>
      <c r="M3143" s="168"/>
      <c r="N3143" s="168"/>
      <c r="O3143" s="169"/>
      <c r="P3143" s="169"/>
      <c r="Q3143" s="169"/>
      <c r="R3143" s="161"/>
      <c r="S3143" s="161"/>
    </row>
    <row r="3144" spans="1:19">
      <c r="A3144" s="294"/>
      <c r="B3144" s="161"/>
      <c r="C3144" s="162"/>
      <c r="D3144" s="162"/>
      <c r="E3144" s="162"/>
      <c r="F3144" s="162"/>
      <c r="G3144" s="163"/>
      <c r="I3144" s="295" t="s">
        <v>782</v>
      </c>
      <c r="J3144" s="296"/>
      <c r="K3144" s="170"/>
      <c r="L3144" s="171"/>
      <c r="M3144" s="50"/>
      <c r="N3144" s="171"/>
      <c r="O3144" s="202"/>
      <c r="P3144" s="202"/>
      <c r="Q3144" s="202"/>
      <c r="R3144" s="162"/>
      <c r="S3144" s="162"/>
    </row>
    <row r="3145" spans="1:19">
      <c r="A3145" s="294"/>
      <c r="B3145" s="164"/>
      <c r="C3145" s="165"/>
      <c r="D3145" s="165"/>
      <c r="E3145" s="165"/>
      <c r="F3145" s="165"/>
      <c r="G3145" s="166"/>
      <c r="I3145" s="295" t="s">
        <v>783</v>
      </c>
      <c r="J3145" s="295"/>
      <c r="K3145" s="170"/>
      <c r="L3145" s="171"/>
      <c r="M3145" s="50"/>
      <c r="N3145" s="171"/>
      <c r="O3145" s="202"/>
      <c r="P3145" s="202"/>
      <c r="Q3145" s="202"/>
      <c r="R3145" s="162"/>
      <c r="S3145" s="162"/>
    </row>
    <row r="3146" spans="1:19">
      <c r="A3146" s="294"/>
      <c r="B3146" s="161"/>
      <c r="C3146" s="162"/>
      <c r="D3146" s="162"/>
      <c r="E3146" s="162"/>
      <c r="F3146" s="162"/>
      <c r="G3146" s="163"/>
      <c r="I3146" s="295" t="s">
        <v>784</v>
      </c>
      <c r="J3146" s="295"/>
      <c r="K3146" s="170"/>
      <c r="L3146" s="171"/>
      <c r="M3146" s="50"/>
      <c r="N3146" s="171"/>
      <c r="O3146" s="202"/>
      <c r="P3146" s="202"/>
      <c r="Q3146" s="202"/>
      <c r="R3146" s="162"/>
      <c r="S3146" s="162"/>
    </row>
    <row r="3147" spans="1:19">
      <c r="A3147" s="294"/>
      <c r="B3147" s="164"/>
      <c r="C3147" s="165"/>
      <c r="D3147" s="165"/>
      <c r="E3147" s="165"/>
      <c r="F3147" s="165"/>
      <c r="G3147" s="166"/>
      <c r="I3147" s="295" t="s">
        <v>785</v>
      </c>
      <c r="J3147" s="295"/>
      <c r="K3147" s="170"/>
      <c r="L3147" s="171"/>
      <c r="M3147" s="50"/>
      <c r="N3147" s="171"/>
      <c r="O3147" s="202"/>
      <c r="P3147" s="202"/>
      <c r="Q3147" s="202"/>
      <c r="R3147" s="162"/>
      <c r="S3147" s="162"/>
    </row>
    <row r="3148" spans="1:19">
      <c r="A3148" s="294"/>
      <c r="B3148" s="161"/>
      <c r="C3148" s="162"/>
      <c r="D3148" s="162"/>
      <c r="E3148" s="162"/>
      <c r="F3148" s="162"/>
      <c r="G3148" s="163"/>
      <c r="I3148" s="295" t="s">
        <v>786</v>
      </c>
      <c r="J3148" s="295"/>
      <c r="K3148" s="170"/>
      <c r="L3148" s="171"/>
      <c r="M3148" s="50"/>
      <c r="N3148" s="171"/>
      <c r="O3148" s="202"/>
      <c r="P3148" s="202"/>
      <c r="Q3148" s="202"/>
      <c r="R3148" s="162"/>
      <c r="S3148" s="162"/>
    </row>
    <row r="3149" spans="1:19">
      <c r="A3149" s="294"/>
      <c r="B3149" s="164"/>
      <c r="C3149" s="165"/>
      <c r="D3149" s="165"/>
      <c r="E3149" s="165"/>
      <c r="F3149" s="165"/>
      <c r="G3149" s="166"/>
      <c r="I3149" s="295" t="s">
        <v>787</v>
      </c>
      <c r="J3149" s="295"/>
      <c r="K3149" s="170"/>
      <c r="L3149" s="171"/>
      <c r="M3149" s="50"/>
      <c r="N3149" s="171"/>
      <c r="O3149" s="202"/>
      <c r="P3149" s="202"/>
      <c r="Q3149" s="202"/>
      <c r="R3149" s="162"/>
      <c r="S3149" s="162"/>
    </row>
    <row r="3150" spans="1:19">
      <c r="A3150" s="294"/>
      <c r="B3150" s="161"/>
      <c r="C3150" s="162"/>
      <c r="D3150" s="162"/>
      <c r="E3150" s="162"/>
      <c r="F3150" s="162"/>
      <c r="G3150" s="163"/>
      <c r="I3150" s="295" t="s">
        <v>788</v>
      </c>
      <c r="J3150" s="295"/>
      <c r="K3150" s="170"/>
      <c r="L3150" s="171"/>
      <c r="M3150" s="50"/>
      <c r="N3150" s="171"/>
      <c r="O3150" s="202"/>
      <c r="P3150" s="202"/>
      <c r="Q3150" s="202"/>
      <c r="R3150" s="162"/>
      <c r="S3150" s="162"/>
    </row>
    <row r="3151" spans="1:19">
      <c r="A3151" s="294"/>
      <c r="B3151" s="164"/>
      <c r="C3151" s="165"/>
      <c r="D3151" s="165"/>
      <c r="E3151" s="165"/>
      <c r="F3151" s="165"/>
      <c r="G3151" s="166"/>
      <c r="I3151" s="295" t="s">
        <v>789</v>
      </c>
      <c r="J3151" s="295"/>
      <c r="K3151" s="170"/>
      <c r="L3151" s="171"/>
      <c r="M3151" s="50"/>
      <c r="N3151" s="171"/>
      <c r="O3151" s="202"/>
      <c r="P3151" s="202"/>
      <c r="Q3151" s="202"/>
      <c r="R3151" s="162"/>
      <c r="S3151" s="162"/>
    </row>
    <row r="3152" spans="1:19">
      <c r="A3152" s="63"/>
      <c r="B3152" s="63"/>
      <c r="C3152" s="63"/>
      <c r="D3152" s="63"/>
      <c r="E3152" s="63"/>
      <c r="F3152" s="63"/>
      <c r="G3152" s="63"/>
      <c r="I3152" s="295" t="s">
        <v>790</v>
      </c>
      <c r="J3152" s="295"/>
      <c r="K3152" s="170"/>
      <c r="L3152" s="171"/>
      <c r="M3152" s="50"/>
      <c r="N3152" s="171"/>
      <c r="O3152" s="202"/>
      <c r="P3152" s="202"/>
      <c r="Q3152" s="202"/>
      <c r="R3152" s="162"/>
      <c r="S3152" s="162"/>
    </row>
    <row r="3153" spans="1:19">
      <c r="A3153" s="63"/>
      <c r="B3153" s="63"/>
      <c r="C3153" s="63"/>
      <c r="D3153" s="63"/>
      <c r="E3153" s="63"/>
      <c r="F3153" s="63"/>
      <c r="G3153" s="63"/>
      <c r="I3153" s="295" t="s">
        <v>791</v>
      </c>
      <c r="J3153" s="295"/>
      <c r="K3153" s="170"/>
      <c r="L3153" s="171"/>
      <c r="M3153" s="50"/>
      <c r="N3153" s="171"/>
      <c r="O3153" s="202"/>
      <c r="P3153" s="202"/>
      <c r="Q3153" s="202"/>
      <c r="R3153" s="162"/>
      <c r="S3153" s="162"/>
    </row>
    <row r="3154" spans="1:19">
      <c r="A3154" s="63"/>
      <c r="B3154" s="63"/>
      <c r="C3154" s="63"/>
      <c r="D3154" s="63"/>
      <c r="E3154" s="63"/>
      <c r="F3154" s="63"/>
      <c r="G3154" s="63"/>
      <c r="I3154" s="296" t="s">
        <v>792</v>
      </c>
      <c r="J3154" s="296"/>
      <c r="K3154" s="170"/>
      <c r="L3154" s="171"/>
      <c r="M3154" s="50"/>
      <c r="N3154" s="171"/>
      <c r="O3154" s="202"/>
      <c r="P3154" s="202"/>
      <c r="Q3154" s="202"/>
      <c r="R3154" s="162"/>
      <c r="S3154" s="162"/>
    </row>
    <row r="3155" spans="1:19" ht="17.25" thickBot="1">
      <c r="A3155" s="63"/>
      <c r="B3155" s="63"/>
      <c r="C3155" s="63"/>
      <c r="D3155" s="63"/>
      <c r="E3155" s="63"/>
      <c r="F3155" s="63"/>
      <c r="G3155" s="63"/>
      <c r="I3155" s="297" t="s">
        <v>793</v>
      </c>
      <c r="J3155" s="297"/>
      <c r="K3155" s="172">
        <f t="shared" ref="K3155:S3155" si="1489">SUM(K3144:K3154)</f>
        <v>0</v>
      </c>
      <c r="L3155" s="205">
        <f t="shared" si="1489"/>
        <v>0</v>
      </c>
      <c r="M3155" s="205">
        <f t="shared" si="1489"/>
        <v>0</v>
      </c>
      <c r="N3155" s="205">
        <f t="shared" si="1489"/>
        <v>0</v>
      </c>
      <c r="O3155" s="174">
        <f t="shared" si="1489"/>
        <v>0</v>
      </c>
      <c r="P3155" s="174">
        <f t="shared" si="1489"/>
        <v>0</v>
      </c>
      <c r="Q3155" s="174">
        <f t="shared" si="1489"/>
        <v>0</v>
      </c>
      <c r="R3155" s="175">
        <f t="shared" si="1489"/>
        <v>0</v>
      </c>
      <c r="S3155" s="175">
        <f t="shared" si="1489"/>
        <v>0</v>
      </c>
    </row>
    <row r="3156" spans="1:19" ht="17.25" thickBot="1">
      <c r="A3156" s="63"/>
      <c r="B3156" s="63"/>
      <c r="C3156" s="63"/>
      <c r="D3156" s="63"/>
      <c r="E3156" s="63"/>
      <c r="F3156" s="63"/>
      <c r="G3156" s="63"/>
      <c r="I3156" s="298" t="s">
        <v>794</v>
      </c>
      <c r="J3156" s="299"/>
      <c r="K3156" s="176">
        <f t="shared" ref="K3156" si="1490">S3135-K3155</f>
        <v>0</v>
      </c>
      <c r="L3156" s="177">
        <f t="shared" ref="L3156" si="1491">K3155-L3155</f>
        <v>0</v>
      </c>
      <c r="M3156" s="177">
        <f t="shared" ref="M3156" si="1492">K3155-M3155</f>
        <v>0</v>
      </c>
      <c r="N3156" s="177">
        <f t="shared" ref="N3156" si="1493">K3155-N3155</f>
        <v>0</v>
      </c>
      <c r="O3156" s="178">
        <f t="shared" ref="O3156" si="1494">K3155-O3155</f>
        <v>0</v>
      </c>
      <c r="P3156" s="178">
        <f t="shared" ref="P3156" si="1495">K3155-P3155</f>
        <v>0</v>
      </c>
      <c r="Q3156" s="178">
        <f t="shared" ref="Q3156" si="1496">K3155-Q3155</f>
        <v>0</v>
      </c>
      <c r="R3156" s="179">
        <f t="shared" ref="R3156" si="1497">K3155-R3155</f>
        <v>0</v>
      </c>
      <c r="S3156" s="180">
        <f t="shared" ref="S3156" si="1498">L3155-S3155</f>
        <v>0</v>
      </c>
    </row>
    <row r="3157" spans="1:19">
      <c r="A3157" s="63"/>
      <c r="B3157" s="63"/>
      <c r="C3157" s="63"/>
      <c r="D3157" s="63"/>
      <c r="E3157" s="63"/>
      <c r="F3157" s="63"/>
      <c r="G3157" s="63"/>
      <c r="I3157" s="300" t="s">
        <v>795</v>
      </c>
      <c r="J3157" s="301"/>
      <c r="K3157" s="181"/>
      <c r="L3157" s="182"/>
      <c r="M3157" s="182"/>
      <c r="N3157" s="182"/>
      <c r="O3157" s="183"/>
      <c r="P3157" s="182"/>
      <c r="Q3157" s="182"/>
      <c r="R3157" s="182"/>
      <c r="S3157" s="182"/>
    </row>
    <row r="3158" spans="1:19">
      <c r="A3158" s="63"/>
      <c r="B3158" s="63"/>
      <c r="C3158" s="63"/>
      <c r="D3158" s="63"/>
      <c r="E3158" s="63"/>
      <c r="F3158" s="63"/>
      <c r="G3158" s="63"/>
      <c r="I3158" s="302" t="s">
        <v>796</v>
      </c>
      <c r="J3158" s="302"/>
      <c r="K3158" s="184"/>
      <c r="L3158" s="203"/>
      <c r="M3158" s="203"/>
      <c r="N3158" s="203"/>
      <c r="O3158" s="203"/>
      <c r="P3158" s="203"/>
      <c r="Q3158" s="203"/>
      <c r="R3158" s="203"/>
      <c r="S3158" s="203"/>
    </row>
    <row r="3159" spans="1:19">
      <c r="A3159" s="63"/>
      <c r="B3159" s="63"/>
      <c r="C3159" s="63"/>
      <c r="D3159" s="63"/>
      <c r="E3159" s="63"/>
      <c r="F3159" s="63"/>
      <c r="G3159" s="63"/>
      <c r="I3159" s="302" t="s">
        <v>797</v>
      </c>
      <c r="J3159" s="302"/>
      <c r="K3159" s="184"/>
      <c r="L3159" s="203"/>
      <c r="M3159" s="203"/>
      <c r="N3159" s="203"/>
      <c r="O3159" s="203"/>
      <c r="P3159" s="203"/>
      <c r="Q3159" s="203"/>
      <c r="R3159" s="203"/>
      <c r="S3159" s="203"/>
    </row>
    <row r="3160" spans="1:19">
      <c r="A3160" s="63"/>
      <c r="B3160" s="63"/>
      <c r="C3160" s="63"/>
      <c r="D3160" s="63"/>
      <c r="E3160" s="63"/>
      <c r="F3160" s="63"/>
      <c r="G3160" s="63"/>
      <c r="I3160" s="303" t="s">
        <v>798</v>
      </c>
      <c r="J3160" s="303"/>
      <c r="K3160" s="184"/>
      <c r="L3160" s="185"/>
      <c r="M3160" s="185"/>
      <c r="N3160" s="185"/>
      <c r="O3160" s="185"/>
      <c r="P3160" s="204"/>
      <c r="Q3160" s="204"/>
      <c r="R3160" s="204"/>
      <c r="S3160" s="204"/>
    </row>
    <row r="3161" spans="1:19">
      <c r="A3161" s="3" t="s">
        <v>801</v>
      </c>
      <c r="B3161" s="201" t="s">
        <v>802</v>
      </c>
      <c r="C3161" s="201" t="s">
        <v>803</v>
      </c>
      <c r="D3161" s="201" t="s">
        <v>119</v>
      </c>
      <c r="E3161" s="201" t="s">
        <v>148</v>
      </c>
      <c r="F3161" s="201" t="s">
        <v>806</v>
      </c>
      <c r="G3161" s="201" t="s">
        <v>81</v>
      </c>
      <c r="I3161" s="187"/>
      <c r="J3161" s="187"/>
      <c r="K3161" s="187"/>
      <c r="L3161" s="188"/>
      <c r="M3161" s="188"/>
      <c r="N3161" s="188"/>
      <c r="O3161" s="188"/>
      <c r="P3161" s="187"/>
      <c r="Q3161" s="187"/>
      <c r="R3161" s="187"/>
      <c r="S3161" s="187"/>
    </row>
    <row r="3162" spans="1:19">
      <c r="A3162" s="293">
        <v>44197</v>
      </c>
      <c r="B3162" s="161"/>
      <c r="C3162" s="162"/>
      <c r="D3162" s="162"/>
      <c r="E3162" s="162"/>
      <c r="F3162" s="162"/>
      <c r="G3162" s="163"/>
      <c r="I3162" s="191"/>
      <c r="J3162" s="190"/>
      <c r="K3162" s="190"/>
      <c r="L3162" s="190"/>
      <c r="M3162" s="190">
        <v>44197</v>
      </c>
      <c r="N3162" s="189" t="s">
        <v>864</v>
      </c>
      <c r="O3162" s="189"/>
      <c r="P3162" s="189"/>
      <c r="Q3162" s="189"/>
      <c r="R3162" s="189"/>
      <c r="S3162" s="189"/>
    </row>
    <row r="3163" spans="1:19">
      <c r="A3163" s="294"/>
      <c r="B3163" s="164"/>
      <c r="C3163" s="165"/>
      <c r="D3163" s="165"/>
      <c r="E3163" s="165"/>
      <c r="F3163" s="165"/>
      <c r="G3163" s="166"/>
      <c r="I3163" s="304"/>
      <c r="J3163" s="304"/>
      <c r="K3163" s="167"/>
      <c r="L3163" s="168"/>
      <c r="M3163" s="168"/>
      <c r="N3163" s="168"/>
      <c r="O3163" s="169"/>
      <c r="P3163" s="169"/>
      <c r="Q3163" s="169"/>
      <c r="R3163" s="161"/>
      <c r="S3163" s="161"/>
    </row>
    <row r="3164" spans="1:19">
      <c r="A3164" s="294"/>
      <c r="B3164" s="161"/>
      <c r="C3164" s="162"/>
      <c r="D3164" s="162"/>
      <c r="E3164" s="162"/>
      <c r="F3164" s="162"/>
      <c r="G3164" s="163"/>
      <c r="I3164" s="295" t="s">
        <v>782</v>
      </c>
      <c r="J3164" s="296"/>
      <c r="K3164" s="170"/>
      <c r="L3164" s="171"/>
      <c r="M3164" s="50"/>
      <c r="N3164" s="171"/>
      <c r="O3164" s="202"/>
      <c r="P3164" s="202"/>
      <c r="Q3164" s="202"/>
      <c r="R3164" s="162"/>
      <c r="S3164" s="162"/>
    </row>
    <row r="3165" spans="1:19">
      <c r="A3165" s="294"/>
      <c r="B3165" s="164"/>
      <c r="C3165" s="165"/>
      <c r="D3165" s="165"/>
      <c r="E3165" s="165"/>
      <c r="F3165" s="165"/>
      <c r="G3165" s="166"/>
      <c r="I3165" s="295" t="s">
        <v>783</v>
      </c>
      <c r="J3165" s="295"/>
      <c r="K3165" s="170"/>
      <c r="L3165" s="171"/>
      <c r="M3165" s="50"/>
      <c r="N3165" s="171"/>
      <c r="O3165" s="202"/>
      <c r="P3165" s="202"/>
      <c r="Q3165" s="202"/>
      <c r="R3165" s="162"/>
      <c r="S3165" s="162"/>
    </row>
    <row r="3166" spans="1:19">
      <c r="A3166" s="294"/>
      <c r="B3166" s="161"/>
      <c r="C3166" s="162"/>
      <c r="D3166" s="162"/>
      <c r="E3166" s="162"/>
      <c r="F3166" s="162"/>
      <c r="G3166" s="163"/>
      <c r="I3166" s="295" t="s">
        <v>784</v>
      </c>
      <c r="J3166" s="295"/>
      <c r="K3166" s="170"/>
      <c r="L3166" s="171"/>
      <c r="M3166" s="50"/>
      <c r="N3166" s="171"/>
      <c r="O3166" s="202"/>
      <c r="P3166" s="202"/>
      <c r="Q3166" s="202"/>
      <c r="R3166" s="162"/>
      <c r="S3166" s="162"/>
    </row>
    <row r="3167" spans="1:19">
      <c r="A3167" s="294"/>
      <c r="B3167" s="164"/>
      <c r="C3167" s="165"/>
      <c r="D3167" s="165"/>
      <c r="E3167" s="165"/>
      <c r="F3167" s="165"/>
      <c r="G3167" s="166"/>
      <c r="I3167" s="295" t="s">
        <v>785</v>
      </c>
      <c r="J3167" s="295"/>
      <c r="K3167" s="170"/>
      <c r="L3167" s="171"/>
      <c r="M3167" s="50"/>
      <c r="N3167" s="171"/>
      <c r="O3167" s="202"/>
      <c r="P3167" s="202"/>
      <c r="Q3167" s="202"/>
      <c r="R3167" s="162"/>
      <c r="S3167" s="162"/>
    </row>
    <row r="3168" spans="1:19">
      <c r="A3168" s="294"/>
      <c r="B3168" s="161"/>
      <c r="C3168" s="162"/>
      <c r="D3168" s="162"/>
      <c r="E3168" s="162"/>
      <c r="F3168" s="162"/>
      <c r="G3168" s="163"/>
      <c r="I3168" s="295" t="s">
        <v>786</v>
      </c>
      <c r="J3168" s="295"/>
      <c r="K3168" s="170"/>
      <c r="L3168" s="171"/>
      <c r="M3168" s="50"/>
      <c r="N3168" s="171"/>
      <c r="O3168" s="202"/>
      <c r="P3168" s="202"/>
      <c r="Q3168" s="202"/>
      <c r="R3168" s="162"/>
      <c r="S3168" s="162"/>
    </row>
    <row r="3169" spans="1:19">
      <c r="A3169" s="294"/>
      <c r="B3169" s="164"/>
      <c r="C3169" s="165"/>
      <c r="D3169" s="165"/>
      <c r="E3169" s="165"/>
      <c r="F3169" s="165"/>
      <c r="G3169" s="166"/>
      <c r="I3169" s="295" t="s">
        <v>787</v>
      </c>
      <c r="J3169" s="295"/>
      <c r="K3169" s="170"/>
      <c r="L3169" s="171"/>
      <c r="M3169" s="50"/>
      <c r="N3169" s="171"/>
      <c r="O3169" s="202"/>
      <c r="P3169" s="202"/>
      <c r="Q3169" s="202"/>
      <c r="R3169" s="162"/>
      <c r="S3169" s="162"/>
    </row>
    <row r="3170" spans="1:19">
      <c r="A3170" s="294"/>
      <c r="B3170" s="161"/>
      <c r="C3170" s="162"/>
      <c r="D3170" s="162"/>
      <c r="E3170" s="162"/>
      <c r="F3170" s="162"/>
      <c r="G3170" s="163"/>
      <c r="I3170" s="295" t="s">
        <v>788</v>
      </c>
      <c r="J3170" s="295"/>
      <c r="K3170" s="170"/>
      <c r="L3170" s="171"/>
      <c r="M3170" s="50"/>
      <c r="N3170" s="171"/>
      <c r="O3170" s="202"/>
      <c r="P3170" s="202"/>
      <c r="Q3170" s="202"/>
      <c r="R3170" s="162"/>
      <c r="S3170" s="162"/>
    </row>
    <row r="3171" spans="1:19">
      <c r="A3171" s="294"/>
      <c r="B3171" s="164"/>
      <c r="C3171" s="165"/>
      <c r="D3171" s="165"/>
      <c r="E3171" s="165"/>
      <c r="F3171" s="165"/>
      <c r="G3171" s="166"/>
      <c r="I3171" s="295" t="s">
        <v>789</v>
      </c>
      <c r="J3171" s="295"/>
      <c r="K3171" s="170"/>
      <c r="L3171" s="171"/>
      <c r="M3171" s="50"/>
      <c r="N3171" s="171"/>
      <c r="O3171" s="202"/>
      <c r="P3171" s="202"/>
      <c r="Q3171" s="202"/>
      <c r="R3171" s="162"/>
      <c r="S3171" s="162"/>
    </row>
    <row r="3172" spans="1:19">
      <c r="A3172" s="63"/>
      <c r="B3172" s="63"/>
      <c r="C3172" s="63"/>
      <c r="D3172" s="63"/>
      <c r="E3172" s="63"/>
      <c r="F3172" s="63"/>
      <c r="G3172" s="63"/>
      <c r="I3172" s="295" t="s">
        <v>790</v>
      </c>
      <c r="J3172" s="295"/>
      <c r="K3172" s="170"/>
      <c r="L3172" s="171"/>
      <c r="M3172" s="50"/>
      <c r="N3172" s="171"/>
      <c r="O3172" s="202"/>
      <c r="P3172" s="202"/>
      <c r="Q3172" s="202"/>
      <c r="R3172" s="162"/>
      <c r="S3172" s="162"/>
    </row>
    <row r="3173" spans="1:19">
      <c r="A3173" s="63"/>
      <c r="B3173" s="63"/>
      <c r="C3173" s="63"/>
      <c r="D3173" s="63"/>
      <c r="E3173" s="63"/>
      <c r="F3173" s="63"/>
      <c r="G3173" s="63"/>
      <c r="I3173" s="295" t="s">
        <v>791</v>
      </c>
      <c r="J3173" s="295"/>
      <c r="K3173" s="170"/>
      <c r="L3173" s="171"/>
      <c r="M3173" s="50"/>
      <c r="N3173" s="171"/>
      <c r="O3173" s="202"/>
      <c r="P3173" s="202"/>
      <c r="Q3173" s="202"/>
      <c r="R3173" s="162"/>
      <c r="S3173" s="162"/>
    </row>
    <row r="3174" spans="1:19">
      <c r="A3174" s="63"/>
      <c r="B3174" s="63"/>
      <c r="C3174" s="63"/>
      <c r="D3174" s="63"/>
      <c r="E3174" s="63"/>
      <c r="F3174" s="63"/>
      <c r="G3174" s="63"/>
      <c r="I3174" s="296" t="s">
        <v>792</v>
      </c>
      <c r="J3174" s="296"/>
      <c r="K3174" s="170"/>
      <c r="L3174" s="171"/>
      <c r="M3174" s="50"/>
      <c r="N3174" s="171"/>
      <c r="O3174" s="202"/>
      <c r="P3174" s="202"/>
      <c r="Q3174" s="202"/>
      <c r="R3174" s="162"/>
      <c r="S3174" s="162"/>
    </row>
    <row r="3175" spans="1:19" ht="17.25" thickBot="1">
      <c r="A3175" s="63"/>
      <c r="B3175" s="63"/>
      <c r="C3175" s="63"/>
      <c r="D3175" s="63"/>
      <c r="E3175" s="63"/>
      <c r="F3175" s="63"/>
      <c r="G3175" s="63"/>
      <c r="I3175" s="297" t="s">
        <v>793</v>
      </c>
      <c r="J3175" s="297"/>
      <c r="K3175" s="172">
        <f t="shared" ref="K3175:S3175" si="1499">SUM(K3164:K3174)</f>
        <v>0</v>
      </c>
      <c r="L3175" s="205">
        <f t="shared" si="1499"/>
        <v>0</v>
      </c>
      <c r="M3175" s="205">
        <f t="shared" si="1499"/>
        <v>0</v>
      </c>
      <c r="N3175" s="205">
        <f t="shared" si="1499"/>
        <v>0</v>
      </c>
      <c r="O3175" s="174">
        <f t="shared" si="1499"/>
        <v>0</v>
      </c>
      <c r="P3175" s="174">
        <f t="shared" si="1499"/>
        <v>0</v>
      </c>
      <c r="Q3175" s="174">
        <f t="shared" si="1499"/>
        <v>0</v>
      </c>
      <c r="R3175" s="175">
        <f t="shared" si="1499"/>
        <v>0</v>
      </c>
      <c r="S3175" s="175">
        <f t="shared" si="1499"/>
        <v>0</v>
      </c>
    </row>
    <row r="3176" spans="1:19" ht="17.25" thickBot="1">
      <c r="A3176" s="63"/>
      <c r="B3176" s="63"/>
      <c r="C3176" s="63"/>
      <c r="D3176" s="63"/>
      <c r="E3176" s="63"/>
      <c r="F3176" s="63"/>
      <c r="G3176" s="63"/>
      <c r="I3176" s="298" t="s">
        <v>794</v>
      </c>
      <c r="J3176" s="299"/>
      <c r="K3176" s="176">
        <f t="shared" ref="K3176" si="1500">S3155-K3175</f>
        <v>0</v>
      </c>
      <c r="L3176" s="177">
        <f t="shared" ref="L3176" si="1501">K3175-L3175</f>
        <v>0</v>
      </c>
      <c r="M3176" s="177">
        <f t="shared" ref="M3176" si="1502">K3175-M3175</f>
        <v>0</v>
      </c>
      <c r="N3176" s="177">
        <f t="shared" ref="N3176" si="1503">K3175-N3175</f>
        <v>0</v>
      </c>
      <c r="O3176" s="178">
        <f t="shared" ref="O3176" si="1504">K3175-O3175</f>
        <v>0</v>
      </c>
      <c r="P3176" s="178">
        <f t="shared" ref="P3176" si="1505">K3175-P3175</f>
        <v>0</v>
      </c>
      <c r="Q3176" s="178">
        <f t="shared" ref="Q3176" si="1506">K3175-Q3175</f>
        <v>0</v>
      </c>
      <c r="R3176" s="179">
        <f t="shared" ref="R3176" si="1507">K3175-R3175</f>
        <v>0</v>
      </c>
      <c r="S3176" s="180">
        <f t="shared" ref="S3176" si="1508">L3175-S3175</f>
        <v>0</v>
      </c>
    </row>
    <row r="3177" spans="1:19">
      <c r="A3177" s="63"/>
      <c r="B3177" s="63"/>
      <c r="C3177" s="63"/>
      <c r="D3177" s="63"/>
      <c r="E3177" s="63"/>
      <c r="F3177" s="63"/>
      <c r="G3177" s="63"/>
      <c r="I3177" s="300" t="s">
        <v>795</v>
      </c>
      <c r="J3177" s="301"/>
      <c r="K3177" s="181"/>
      <c r="L3177" s="182"/>
      <c r="M3177" s="182"/>
      <c r="N3177" s="182"/>
      <c r="O3177" s="183"/>
      <c r="P3177" s="182"/>
      <c r="Q3177" s="182"/>
      <c r="R3177" s="182"/>
      <c r="S3177" s="182"/>
    </row>
    <row r="3178" spans="1:19">
      <c r="A3178" s="63"/>
      <c r="B3178" s="63"/>
      <c r="C3178" s="63"/>
      <c r="D3178" s="63"/>
      <c r="E3178" s="63"/>
      <c r="F3178" s="63"/>
      <c r="G3178" s="63"/>
      <c r="I3178" s="302" t="s">
        <v>796</v>
      </c>
      <c r="J3178" s="302"/>
      <c r="K3178" s="184"/>
      <c r="L3178" s="203"/>
      <c r="M3178" s="203"/>
      <c r="N3178" s="203"/>
      <c r="O3178" s="203"/>
      <c r="P3178" s="203"/>
      <c r="Q3178" s="203"/>
      <c r="R3178" s="203"/>
      <c r="S3178" s="203"/>
    </row>
    <row r="3179" spans="1:19">
      <c r="A3179" s="63"/>
      <c r="B3179" s="63"/>
      <c r="C3179" s="63"/>
      <c r="D3179" s="63"/>
      <c r="E3179" s="63"/>
      <c r="F3179" s="63"/>
      <c r="G3179" s="63"/>
      <c r="I3179" s="302" t="s">
        <v>797</v>
      </c>
      <c r="J3179" s="302"/>
      <c r="K3179" s="184"/>
      <c r="L3179" s="203"/>
      <c r="M3179" s="203"/>
      <c r="N3179" s="203"/>
      <c r="O3179" s="203"/>
      <c r="P3179" s="203"/>
      <c r="Q3179" s="203"/>
      <c r="R3179" s="203"/>
      <c r="S3179" s="203"/>
    </row>
    <row r="3180" spans="1:19">
      <c r="A3180" s="63"/>
      <c r="B3180" s="63"/>
      <c r="C3180" s="63"/>
      <c r="D3180" s="63"/>
      <c r="E3180" s="63"/>
      <c r="F3180" s="63"/>
      <c r="G3180" s="63"/>
      <c r="I3180" s="303" t="s">
        <v>798</v>
      </c>
      <c r="J3180" s="303"/>
      <c r="K3180" s="184"/>
      <c r="L3180" s="185"/>
      <c r="M3180" s="185"/>
      <c r="N3180" s="185"/>
      <c r="O3180" s="185"/>
      <c r="P3180" s="204"/>
      <c r="Q3180" s="204"/>
      <c r="R3180" s="204"/>
      <c r="S3180" s="204"/>
    </row>
    <row r="3181" spans="1:19">
      <c r="A3181" s="3" t="s">
        <v>801</v>
      </c>
      <c r="B3181" s="201" t="s">
        <v>802</v>
      </c>
      <c r="C3181" s="201" t="s">
        <v>803</v>
      </c>
      <c r="D3181" s="201" t="s">
        <v>119</v>
      </c>
      <c r="E3181" s="201" t="s">
        <v>148</v>
      </c>
      <c r="F3181" s="201" t="s">
        <v>806</v>
      </c>
      <c r="G3181" s="201" t="s">
        <v>81</v>
      </c>
      <c r="I3181" s="187"/>
      <c r="J3181" s="187"/>
      <c r="K3181" s="187"/>
      <c r="L3181" s="188"/>
      <c r="M3181" s="188"/>
      <c r="N3181" s="188"/>
      <c r="O3181" s="188"/>
      <c r="P3181" s="187"/>
      <c r="Q3181" s="187"/>
      <c r="R3181" s="187"/>
      <c r="S3181" s="187"/>
    </row>
    <row r="3182" spans="1:19">
      <c r="A3182" s="293">
        <v>44198</v>
      </c>
      <c r="B3182" s="161"/>
      <c r="C3182" s="162"/>
      <c r="D3182" s="162"/>
      <c r="E3182" s="162"/>
      <c r="F3182" s="162"/>
      <c r="G3182" s="163"/>
      <c r="I3182" s="191"/>
      <c r="J3182" s="190"/>
      <c r="K3182" s="190"/>
      <c r="L3182" s="190"/>
      <c r="M3182" s="190">
        <v>44198</v>
      </c>
      <c r="N3182" s="189" t="s">
        <v>864</v>
      </c>
      <c r="O3182" s="189"/>
      <c r="P3182" s="189"/>
      <c r="Q3182" s="189"/>
      <c r="R3182" s="189"/>
      <c r="S3182" s="189"/>
    </row>
    <row r="3183" spans="1:19">
      <c r="A3183" s="294"/>
      <c r="B3183" s="164"/>
      <c r="C3183" s="165"/>
      <c r="D3183" s="165"/>
      <c r="E3183" s="165"/>
      <c r="F3183" s="165"/>
      <c r="G3183" s="166"/>
      <c r="I3183" s="304"/>
      <c r="J3183" s="304"/>
      <c r="K3183" s="167"/>
      <c r="L3183" s="168"/>
      <c r="M3183" s="168"/>
      <c r="N3183" s="168"/>
      <c r="O3183" s="169"/>
      <c r="P3183" s="169"/>
      <c r="Q3183" s="169"/>
      <c r="R3183" s="161"/>
      <c r="S3183" s="161"/>
    </row>
    <row r="3184" spans="1:19">
      <c r="A3184" s="294"/>
      <c r="B3184" s="161"/>
      <c r="C3184" s="162"/>
      <c r="D3184" s="162"/>
      <c r="E3184" s="162"/>
      <c r="F3184" s="162"/>
      <c r="G3184" s="163"/>
      <c r="I3184" s="295" t="s">
        <v>782</v>
      </c>
      <c r="J3184" s="296"/>
      <c r="K3184" s="170"/>
      <c r="L3184" s="171"/>
      <c r="M3184" s="50"/>
      <c r="N3184" s="171"/>
      <c r="O3184" s="202"/>
      <c r="P3184" s="202"/>
      <c r="Q3184" s="202"/>
      <c r="R3184" s="162"/>
      <c r="S3184" s="162"/>
    </row>
    <row r="3185" spans="1:19">
      <c r="A3185" s="294"/>
      <c r="B3185" s="164"/>
      <c r="C3185" s="165"/>
      <c r="D3185" s="165"/>
      <c r="E3185" s="165"/>
      <c r="F3185" s="165"/>
      <c r="G3185" s="166"/>
      <c r="I3185" s="295" t="s">
        <v>783</v>
      </c>
      <c r="J3185" s="295"/>
      <c r="K3185" s="170"/>
      <c r="L3185" s="171"/>
      <c r="M3185" s="50"/>
      <c r="N3185" s="171"/>
      <c r="O3185" s="202"/>
      <c r="P3185" s="202"/>
      <c r="Q3185" s="202"/>
      <c r="R3185" s="162"/>
      <c r="S3185" s="162"/>
    </row>
    <row r="3186" spans="1:19">
      <c r="A3186" s="294"/>
      <c r="B3186" s="161"/>
      <c r="C3186" s="162"/>
      <c r="D3186" s="162"/>
      <c r="E3186" s="162"/>
      <c r="F3186" s="162"/>
      <c r="G3186" s="163"/>
      <c r="I3186" s="295" t="s">
        <v>784</v>
      </c>
      <c r="J3186" s="295"/>
      <c r="K3186" s="170"/>
      <c r="L3186" s="171"/>
      <c r="M3186" s="50"/>
      <c r="N3186" s="171"/>
      <c r="O3186" s="202"/>
      <c r="P3186" s="202"/>
      <c r="Q3186" s="202"/>
      <c r="R3186" s="162"/>
      <c r="S3186" s="162"/>
    </row>
    <row r="3187" spans="1:19">
      <c r="A3187" s="294"/>
      <c r="B3187" s="164"/>
      <c r="C3187" s="165"/>
      <c r="D3187" s="165"/>
      <c r="E3187" s="165"/>
      <c r="F3187" s="165"/>
      <c r="G3187" s="166"/>
      <c r="I3187" s="295" t="s">
        <v>785</v>
      </c>
      <c r="J3187" s="295"/>
      <c r="K3187" s="170"/>
      <c r="L3187" s="171"/>
      <c r="M3187" s="50"/>
      <c r="N3187" s="171"/>
      <c r="O3187" s="202"/>
      <c r="P3187" s="202"/>
      <c r="Q3187" s="202"/>
      <c r="R3187" s="162"/>
      <c r="S3187" s="162"/>
    </row>
    <row r="3188" spans="1:19">
      <c r="A3188" s="294"/>
      <c r="B3188" s="161"/>
      <c r="C3188" s="162"/>
      <c r="D3188" s="162"/>
      <c r="E3188" s="162"/>
      <c r="F3188" s="162"/>
      <c r="G3188" s="163"/>
      <c r="I3188" s="295" t="s">
        <v>786</v>
      </c>
      <c r="J3188" s="295"/>
      <c r="K3188" s="170"/>
      <c r="L3188" s="171"/>
      <c r="M3188" s="50"/>
      <c r="N3188" s="171"/>
      <c r="O3188" s="202"/>
      <c r="P3188" s="202"/>
      <c r="Q3188" s="202"/>
      <c r="R3188" s="162"/>
      <c r="S3188" s="162"/>
    </row>
    <row r="3189" spans="1:19">
      <c r="A3189" s="294"/>
      <c r="B3189" s="164"/>
      <c r="C3189" s="165"/>
      <c r="D3189" s="165"/>
      <c r="E3189" s="165"/>
      <c r="F3189" s="165"/>
      <c r="G3189" s="166"/>
      <c r="I3189" s="295" t="s">
        <v>787</v>
      </c>
      <c r="J3189" s="295"/>
      <c r="K3189" s="170"/>
      <c r="L3189" s="171"/>
      <c r="M3189" s="50"/>
      <c r="N3189" s="171"/>
      <c r="O3189" s="202"/>
      <c r="P3189" s="202"/>
      <c r="Q3189" s="202"/>
      <c r="R3189" s="162"/>
      <c r="S3189" s="162"/>
    </row>
    <row r="3190" spans="1:19">
      <c r="A3190" s="294"/>
      <c r="B3190" s="161"/>
      <c r="C3190" s="162"/>
      <c r="D3190" s="162"/>
      <c r="E3190" s="162"/>
      <c r="F3190" s="162"/>
      <c r="G3190" s="163"/>
      <c r="I3190" s="295" t="s">
        <v>788</v>
      </c>
      <c r="J3190" s="295"/>
      <c r="K3190" s="170"/>
      <c r="L3190" s="171"/>
      <c r="M3190" s="50"/>
      <c r="N3190" s="171"/>
      <c r="O3190" s="202"/>
      <c r="P3190" s="202"/>
      <c r="Q3190" s="202"/>
      <c r="R3190" s="162"/>
      <c r="S3190" s="162"/>
    </row>
    <row r="3191" spans="1:19">
      <c r="A3191" s="294"/>
      <c r="B3191" s="164"/>
      <c r="C3191" s="165"/>
      <c r="D3191" s="165"/>
      <c r="E3191" s="165"/>
      <c r="F3191" s="165"/>
      <c r="G3191" s="166"/>
      <c r="I3191" s="295" t="s">
        <v>789</v>
      </c>
      <c r="J3191" s="295"/>
      <c r="K3191" s="170"/>
      <c r="L3191" s="171"/>
      <c r="M3191" s="50"/>
      <c r="N3191" s="171"/>
      <c r="O3191" s="202"/>
      <c r="P3191" s="202"/>
      <c r="Q3191" s="202"/>
      <c r="R3191" s="162"/>
      <c r="S3191" s="162"/>
    </row>
    <row r="3192" spans="1:19">
      <c r="A3192" s="63"/>
      <c r="B3192" s="63"/>
      <c r="C3192" s="63"/>
      <c r="D3192" s="63"/>
      <c r="E3192" s="63"/>
      <c r="F3192" s="63"/>
      <c r="G3192" s="63"/>
      <c r="I3192" s="295" t="s">
        <v>790</v>
      </c>
      <c r="J3192" s="295"/>
      <c r="K3192" s="170"/>
      <c r="L3192" s="171"/>
      <c r="M3192" s="50"/>
      <c r="N3192" s="171"/>
      <c r="O3192" s="202"/>
      <c r="P3192" s="202"/>
      <c r="Q3192" s="202"/>
      <c r="R3192" s="162"/>
      <c r="S3192" s="162"/>
    </row>
    <row r="3193" spans="1:19">
      <c r="A3193" s="63"/>
      <c r="B3193" s="63"/>
      <c r="C3193" s="63"/>
      <c r="D3193" s="63"/>
      <c r="E3193" s="63"/>
      <c r="F3193" s="63"/>
      <c r="G3193" s="63"/>
      <c r="I3193" s="295" t="s">
        <v>791</v>
      </c>
      <c r="J3193" s="295"/>
      <c r="K3193" s="170"/>
      <c r="L3193" s="171"/>
      <c r="M3193" s="50"/>
      <c r="N3193" s="171"/>
      <c r="O3193" s="202"/>
      <c r="P3193" s="202"/>
      <c r="Q3193" s="202"/>
      <c r="R3193" s="162"/>
      <c r="S3193" s="162"/>
    </row>
    <row r="3194" spans="1:19">
      <c r="A3194" s="63"/>
      <c r="B3194" s="63"/>
      <c r="C3194" s="63"/>
      <c r="D3194" s="63"/>
      <c r="E3194" s="63"/>
      <c r="F3194" s="63"/>
      <c r="G3194" s="63"/>
      <c r="I3194" s="296" t="s">
        <v>792</v>
      </c>
      <c r="J3194" s="296"/>
      <c r="K3194" s="170"/>
      <c r="L3194" s="171"/>
      <c r="M3194" s="50"/>
      <c r="N3194" s="171"/>
      <c r="O3194" s="202"/>
      <c r="P3194" s="202"/>
      <c r="Q3194" s="202"/>
      <c r="R3194" s="162"/>
      <c r="S3194" s="162"/>
    </row>
    <row r="3195" spans="1:19" ht="17.25" thickBot="1">
      <c r="A3195" s="63"/>
      <c r="B3195" s="63"/>
      <c r="C3195" s="63"/>
      <c r="D3195" s="63"/>
      <c r="E3195" s="63"/>
      <c r="F3195" s="63"/>
      <c r="G3195" s="63"/>
      <c r="I3195" s="297" t="s">
        <v>793</v>
      </c>
      <c r="J3195" s="297"/>
      <c r="K3195" s="172">
        <f t="shared" ref="K3195:S3195" si="1509">SUM(K3184:K3194)</f>
        <v>0</v>
      </c>
      <c r="L3195" s="205">
        <f t="shared" si="1509"/>
        <v>0</v>
      </c>
      <c r="M3195" s="205">
        <f t="shared" si="1509"/>
        <v>0</v>
      </c>
      <c r="N3195" s="205">
        <f t="shared" si="1509"/>
        <v>0</v>
      </c>
      <c r="O3195" s="174">
        <f t="shared" si="1509"/>
        <v>0</v>
      </c>
      <c r="P3195" s="174">
        <f t="shared" si="1509"/>
        <v>0</v>
      </c>
      <c r="Q3195" s="174">
        <f t="shared" si="1509"/>
        <v>0</v>
      </c>
      <c r="R3195" s="175">
        <f t="shared" si="1509"/>
        <v>0</v>
      </c>
      <c r="S3195" s="175">
        <f t="shared" si="1509"/>
        <v>0</v>
      </c>
    </row>
    <row r="3196" spans="1:19" ht="17.25" thickBot="1">
      <c r="A3196" s="63"/>
      <c r="B3196" s="63"/>
      <c r="C3196" s="63"/>
      <c r="D3196" s="63"/>
      <c r="E3196" s="63"/>
      <c r="F3196" s="63"/>
      <c r="G3196" s="63"/>
      <c r="I3196" s="298" t="s">
        <v>794</v>
      </c>
      <c r="J3196" s="299"/>
      <c r="K3196" s="176">
        <f t="shared" ref="K3196" si="1510">S3175-K3195</f>
        <v>0</v>
      </c>
      <c r="L3196" s="177">
        <f t="shared" ref="L3196" si="1511">K3195-L3195</f>
        <v>0</v>
      </c>
      <c r="M3196" s="177">
        <f t="shared" ref="M3196" si="1512">K3195-M3195</f>
        <v>0</v>
      </c>
      <c r="N3196" s="177">
        <f t="shared" ref="N3196" si="1513">K3195-N3195</f>
        <v>0</v>
      </c>
      <c r="O3196" s="178">
        <f t="shared" ref="O3196" si="1514">K3195-O3195</f>
        <v>0</v>
      </c>
      <c r="P3196" s="178">
        <f t="shared" ref="P3196" si="1515">K3195-P3195</f>
        <v>0</v>
      </c>
      <c r="Q3196" s="178">
        <f t="shared" ref="Q3196" si="1516">K3195-Q3195</f>
        <v>0</v>
      </c>
      <c r="R3196" s="179">
        <f t="shared" ref="R3196" si="1517">K3195-R3195</f>
        <v>0</v>
      </c>
      <c r="S3196" s="180">
        <f t="shared" ref="S3196" si="1518">L3195-S3195</f>
        <v>0</v>
      </c>
    </row>
    <row r="3197" spans="1:19">
      <c r="A3197" s="63"/>
      <c r="B3197" s="63"/>
      <c r="C3197" s="63"/>
      <c r="D3197" s="63"/>
      <c r="E3197" s="63"/>
      <c r="F3197" s="63"/>
      <c r="G3197" s="63"/>
      <c r="I3197" s="300" t="s">
        <v>795</v>
      </c>
      <c r="J3197" s="301"/>
      <c r="K3197" s="181"/>
      <c r="L3197" s="182"/>
      <c r="M3197" s="182"/>
      <c r="N3197" s="182"/>
      <c r="O3197" s="183"/>
      <c r="P3197" s="182"/>
      <c r="Q3197" s="182"/>
      <c r="R3197" s="182"/>
      <c r="S3197" s="182"/>
    </row>
    <row r="3198" spans="1:19">
      <c r="A3198" s="63"/>
      <c r="B3198" s="63"/>
      <c r="C3198" s="63"/>
      <c r="D3198" s="63"/>
      <c r="E3198" s="63"/>
      <c r="F3198" s="63"/>
      <c r="G3198" s="63"/>
      <c r="I3198" s="302" t="s">
        <v>796</v>
      </c>
      <c r="J3198" s="302"/>
      <c r="K3198" s="184"/>
      <c r="L3198" s="203"/>
      <c r="M3198" s="203"/>
      <c r="N3198" s="203"/>
      <c r="O3198" s="203"/>
      <c r="P3198" s="203"/>
      <c r="Q3198" s="203"/>
      <c r="R3198" s="203"/>
      <c r="S3198" s="203"/>
    </row>
    <row r="3199" spans="1:19">
      <c r="A3199" s="63"/>
      <c r="B3199" s="63"/>
      <c r="C3199" s="63"/>
      <c r="D3199" s="63"/>
      <c r="E3199" s="63"/>
      <c r="F3199" s="63"/>
      <c r="G3199" s="63"/>
      <c r="I3199" s="302" t="s">
        <v>797</v>
      </c>
      <c r="J3199" s="302"/>
      <c r="K3199" s="184"/>
      <c r="L3199" s="203"/>
      <c r="M3199" s="203"/>
      <c r="N3199" s="203"/>
      <c r="O3199" s="203"/>
      <c r="P3199" s="203"/>
      <c r="Q3199" s="203"/>
      <c r="R3199" s="203"/>
      <c r="S3199" s="203"/>
    </row>
    <row r="3200" spans="1:19">
      <c r="A3200" s="63"/>
      <c r="B3200" s="63"/>
      <c r="C3200" s="63"/>
      <c r="D3200" s="63"/>
      <c r="E3200" s="63"/>
      <c r="F3200" s="63"/>
      <c r="G3200" s="63"/>
      <c r="I3200" s="303" t="s">
        <v>798</v>
      </c>
      <c r="J3200" s="303"/>
      <c r="K3200" s="184"/>
      <c r="L3200" s="185"/>
      <c r="M3200" s="185"/>
      <c r="N3200" s="185"/>
      <c r="O3200" s="185"/>
      <c r="P3200" s="204"/>
      <c r="Q3200" s="204"/>
      <c r="R3200" s="204"/>
      <c r="S3200" s="204"/>
    </row>
    <row r="3201" spans="1:19">
      <c r="A3201" s="3" t="s">
        <v>801</v>
      </c>
      <c r="B3201" s="201" t="s">
        <v>802</v>
      </c>
      <c r="C3201" s="201" t="s">
        <v>803</v>
      </c>
      <c r="D3201" s="201" t="s">
        <v>119</v>
      </c>
      <c r="E3201" s="201" t="s">
        <v>148</v>
      </c>
      <c r="F3201" s="201" t="s">
        <v>806</v>
      </c>
      <c r="G3201" s="201" t="s">
        <v>81</v>
      </c>
      <c r="I3201" s="187"/>
      <c r="J3201" s="187"/>
      <c r="K3201" s="187"/>
      <c r="L3201" s="188"/>
      <c r="M3201" s="188"/>
      <c r="N3201" s="188"/>
      <c r="O3201" s="188"/>
      <c r="P3201" s="187"/>
      <c r="Q3201" s="187"/>
      <c r="R3201" s="187"/>
      <c r="S3201" s="187"/>
    </row>
    <row r="3202" spans="1:19">
      <c r="A3202" s="293">
        <v>44199</v>
      </c>
      <c r="B3202" s="161"/>
      <c r="C3202" s="162"/>
      <c r="D3202" s="162"/>
      <c r="E3202" s="162"/>
      <c r="F3202" s="162"/>
      <c r="G3202" s="163"/>
      <c r="I3202" s="191"/>
      <c r="J3202" s="190"/>
      <c r="K3202" s="190"/>
      <c r="L3202" s="190"/>
      <c r="M3202" s="190">
        <v>44199</v>
      </c>
      <c r="N3202" s="189" t="s">
        <v>864</v>
      </c>
      <c r="O3202" s="189"/>
      <c r="P3202" s="189"/>
      <c r="Q3202" s="189"/>
      <c r="R3202" s="189"/>
      <c r="S3202" s="189"/>
    </row>
    <row r="3203" spans="1:19">
      <c r="A3203" s="294"/>
      <c r="B3203" s="164"/>
      <c r="C3203" s="165"/>
      <c r="D3203" s="165"/>
      <c r="E3203" s="165"/>
      <c r="F3203" s="165"/>
      <c r="G3203" s="166"/>
      <c r="I3203" s="304"/>
      <c r="J3203" s="304"/>
      <c r="K3203" s="167"/>
      <c r="L3203" s="168"/>
      <c r="M3203" s="168"/>
      <c r="N3203" s="168"/>
      <c r="O3203" s="169"/>
      <c r="P3203" s="169"/>
      <c r="Q3203" s="169"/>
      <c r="R3203" s="161"/>
      <c r="S3203" s="161"/>
    </row>
    <row r="3204" spans="1:19">
      <c r="A3204" s="294"/>
      <c r="B3204" s="161"/>
      <c r="C3204" s="162"/>
      <c r="D3204" s="162"/>
      <c r="E3204" s="162"/>
      <c r="F3204" s="162"/>
      <c r="G3204" s="163"/>
      <c r="I3204" s="295" t="s">
        <v>782</v>
      </c>
      <c r="J3204" s="296"/>
      <c r="K3204" s="170"/>
      <c r="L3204" s="171"/>
      <c r="M3204" s="50"/>
      <c r="N3204" s="171"/>
      <c r="O3204" s="202"/>
      <c r="P3204" s="202"/>
      <c r="Q3204" s="202"/>
      <c r="R3204" s="162"/>
      <c r="S3204" s="162"/>
    </row>
    <row r="3205" spans="1:19">
      <c r="A3205" s="294"/>
      <c r="B3205" s="164"/>
      <c r="C3205" s="165"/>
      <c r="D3205" s="165"/>
      <c r="E3205" s="165"/>
      <c r="F3205" s="165"/>
      <c r="G3205" s="166"/>
      <c r="I3205" s="295" t="s">
        <v>783</v>
      </c>
      <c r="J3205" s="295"/>
      <c r="K3205" s="170"/>
      <c r="L3205" s="171"/>
      <c r="M3205" s="50"/>
      <c r="N3205" s="171"/>
      <c r="O3205" s="202"/>
      <c r="P3205" s="202"/>
      <c r="Q3205" s="202"/>
      <c r="R3205" s="162"/>
      <c r="S3205" s="162"/>
    </row>
    <row r="3206" spans="1:19">
      <c r="A3206" s="294"/>
      <c r="B3206" s="161"/>
      <c r="C3206" s="162"/>
      <c r="D3206" s="162"/>
      <c r="E3206" s="162"/>
      <c r="F3206" s="162"/>
      <c r="G3206" s="163"/>
      <c r="I3206" s="295" t="s">
        <v>784</v>
      </c>
      <c r="J3206" s="295"/>
      <c r="K3206" s="170"/>
      <c r="L3206" s="171"/>
      <c r="M3206" s="50"/>
      <c r="N3206" s="171"/>
      <c r="O3206" s="202"/>
      <c r="P3206" s="202"/>
      <c r="Q3206" s="202"/>
      <c r="R3206" s="162"/>
      <c r="S3206" s="162"/>
    </row>
    <row r="3207" spans="1:19">
      <c r="A3207" s="294"/>
      <c r="B3207" s="164"/>
      <c r="C3207" s="165"/>
      <c r="D3207" s="165"/>
      <c r="E3207" s="165"/>
      <c r="F3207" s="165"/>
      <c r="G3207" s="166"/>
      <c r="I3207" s="295" t="s">
        <v>785</v>
      </c>
      <c r="J3207" s="295"/>
      <c r="K3207" s="170"/>
      <c r="L3207" s="171"/>
      <c r="M3207" s="50"/>
      <c r="N3207" s="171"/>
      <c r="O3207" s="202"/>
      <c r="P3207" s="202"/>
      <c r="Q3207" s="202"/>
      <c r="R3207" s="162"/>
      <c r="S3207" s="162"/>
    </row>
    <row r="3208" spans="1:19">
      <c r="A3208" s="294"/>
      <c r="B3208" s="161"/>
      <c r="C3208" s="162"/>
      <c r="D3208" s="162"/>
      <c r="E3208" s="162"/>
      <c r="F3208" s="162"/>
      <c r="G3208" s="163"/>
      <c r="I3208" s="295" t="s">
        <v>786</v>
      </c>
      <c r="J3208" s="295"/>
      <c r="K3208" s="170"/>
      <c r="L3208" s="171"/>
      <c r="M3208" s="50"/>
      <c r="N3208" s="171"/>
      <c r="O3208" s="202"/>
      <c r="P3208" s="202"/>
      <c r="Q3208" s="202"/>
      <c r="R3208" s="162"/>
      <c r="S3208" s="162"/>
    </row>
    <row r="3209" spans="1:19">
      <c r="A3209" s="294"/>
      <c r="B3209" s="164"/>
      <c r="C3209" s="165"/>
      <c r="D3209" s="165"/>
      <c r="E3209" s="165"/>
      <c r="F3209" s="165"/>
      <c r="G3209" s="166"/>
      <c r="I3209" s="295" t="s">
        <v>787</v>
      </c>
      <c r="J3209" s="295"/>
      <c r="K3209" s="170"/>
      <c r="L3209" s="171"/>
      <c r="M3209" s="50"/>
      <c r="N3209" s="171"/>
      <c r="O3209" s="202"/>
      <c r="P3209" s="202"/>
      <c r="Q3209" s="202"/>
      <c r="R3209" s="162"/>
      <c r="S3209" s="162"/>
    </row>
    <row r="3210" spans="1:19">
      <c r="A3210" s="294"/>
      <c r="B3210" s="161"/>
      <c r="C3210" s="162"/>
      <c r="D3210" s="162"/>
      <c r="E3210" s="162"/>
      <c r="F3210" s="162"/>
      <c r="G3210" s="163"/>
      <c r="I3210" s="295" t="s">
        <v>788</v>
      </c>
      <c r="J3210" s="295"/>
      <c r="K3210" s="170"/>
      <c r="L3210" s="171"/>
      <c r="M3210" s="50"/>
      <c r="N3210" s="171"/>
      <c r="O3210" s="202"/>
      <c r="P3210" s="202"/>
      <c r="Q3210" s="202"/>
      <c r="R3210" s="162"/>
      <c r="S3210" s="162"/>
    </row>
    <row r="3211" spans="1:19">
      <c r="A3211" s="294"/>
      <c r="B3211" s="164"/>
      <c r="C3211" s="165"/>
      <c r="D3211" s="165"/>
      <c r="E3211" s="165"/>
      <c r="F3211" s="165"/>
      <c r="G3211" s="166"/>
      <c r="I3211" s="295" t="s">
        <v>789</v>
      </c>
      <c r="J3211" s="295"/>
      <c r="K3211" s="170"/>
      <c r="L3211" s="171"/>
      <c r="M3211" s="50"/>
      <c r="N3211" s="171"/>
      <c r="O3211" s="202"/>
      <c r="P3211" s="202"/>
      <c r="Q3211" s="202"/>
      <c r="R3211" s="162"/>
      <c r="S3211" s="162"/>
    </row>
    <row r="3212" spans="1:19">
      <c r="A3212" s="63"/>
      <c r="B3212" s="63"/>
      <c r="C3212" s="63"/>
      <c r="D3212" s="63"/>
      <c r="E3212" s="63"/>
      <c r="F3212" s="63"/>
      <c r="G3212" s="63"/>
      <c r="I3212" s="295" t="s">
        <v>790</v>
      </c>
      <c r="J3212" s="295"/>
      <c r="K3212" s="170"/>
      <c r="L3212" s="171"/>
      <c r="M3212" s="50"/>
      <c r="N3212" s="171"/>
      <c r="O3212" s="202"/>
      <c r="P3212" s="202"/>
      <c r="Q3212" s="202"/>
      <c r="R3212" s="162"/>
      <c r="S3212" s="162"/>
    </row>
    <row r="3213" spans="1:19">
      <c r="A3213" s="63"/>
      <c r="B3213" s="63"/>
      <c r="C3213" s="63"/>
      <c r="D3213" s="63"/>
      <c r="E3213" s="63"/>
      <c r="F3213" s="63"/>
      <c r="G3213" s="63"/>
      <c r="I3213" s="295" t="s">
        <v>791</v>
      </c>
      <c r="J3213" s="295"/>
      <c r="K3213" s="170"/>
      <c r="L3213" s="171"/>
      <c r="M3213" s="50"/>
      <c r="N3213" s="171"/>
      <c r="O3213" s="202"/>
      <c r="P3213" s="202"/>
      <c r="Q3213" s="202"/>
      <c r="R3213" s="162"/>
      <c r="S3213" s="162"/>
    </row>
    <row r="3214" spans="1:19">
      <c r="A3214" s="63"/>
      <c r="B3214" s="63"/>
      <c r="C3214" s="63"/>
      <c r="D3214" s="63"/>
      <c r="E3214" s="63"/>
      <c r="F3214" s="63"/>
      <c r="G3214" s="63"/>
      <c r="I3214" s="296" t="s">
        <v>792</v>
      </c>
      <c r="J3214" s="296"/>
      <c r="K3214" s="170"/>
      <c r="L3214" s="171"/>
      <c r="M3214" s="50"/>
      <c r="N3214" s="171"/>
      <c r="O3214" s="202"/>
      <c r="P3214" s="202"/>
      <c r="Q3214" s="202"/>
      <c r="R3214" s="162"/>
      <c r="S3214" s="162"/>
    </row>
    <row r="3215" spans="1:19" ht="17.25" thickBot="1">
      <c r="A3215" s="63"/>
      <c r="B3215" s="63"/>
      <c r="C3215" s="63"/>
      <c r="D3215" s="63"/>
      <c r="E3215" s="63"/>
      <c r="F3215" s="63"/>
      <c r="G3215" s="63"/>
      <c r="I3215" s="297" t="s">
        <v>793</v>
      </c>
      <c r="J3215" s="297"/>
      <c r="K3215" s="172">
        <f t="shared" ref="K3215:S3215" si="1519">SUM(K3204:K3214)</f>
        <v>0</v>
      </c>
      <c r="L3215" s="205">
        <f t="shared" si="1519"/>
        <v>0</v>
      </c>
      <c r="M3215" s="205">
        <f t="shared" si="1519"/>
        <v>0</v>
      </c>
      <c r="N3215" s="205">
        <f t="shared" si="1519"/>
        <v>0</v>
      </c>
      <c r="O3215" s="174">
        <f t="shared" si="1519"/>
        <v>0</v>
      </c>
      <c r="P3215" s="174">
        <f t="shared" si="1519"/>
        <v>0</v>
      </c>
      <c r="Q3215" s="174">
        <f t="shared" si="1519"/>
        <v>0</v>
      </c>
      <c r="R3215" s="175">
        <f t="shared" si="1519"/>
        <v>0</v>
      </c>
      <c r="S3215" s="175">
        <f t="shared" si="1519"/>
        <v>0</v>
      </c>
    </row>
    <row r="3216" spans="1:19" ht="17.25" thickBot="1">
      <c r="A3216" s="63"/>
      <c r="B3216" s="63"/>
      <c r="C3216" s="63"/>
      <c r="D3216" s="63"/>
      <c r="E3216" s="63"/>
      <c r="F3216" s="63"/>
      <c r="G3216" s="63"/>
      <c r="I3216" s="298" t="s">
        <v>794</v>
      </c>
      <c r="J3216" s="299"/>
      <c r="K3216" s="176">
        <f t="shared" ref="K3216" si="1520">S3195-K3215</f>
        <v>0</v>
      </c>
      <c r="L3216" s="177">
        <f t="shared" ref="L3216" si="1521">K3215-L3215</f>
        <v>0</v>
      </c>
      <c r="M3216" s="177">
        <f t="shared" ref="M3216" si="1522">K3215-M3215</f>
        <v>0</v>
      </c>
      <c r="N3216" s="177">
        <f t="shared" ref="N3216" si="1523">K3215-N3215</f>
        <v>0</v>
      </c>
      <c r="O3216" s="178">
        <f t="shared" ref="O3216" si="1524">K3215-O3215</f>
        <v>0</v>
      </c>
      <c r="P3216" s="178">
        <f t="shared" ref="P3216" si="1525">K3215-P3215</f>
        <v>0</v>
      </c>
      <c r="Q3216" s="178">
        <f t="shared" ref="Q3216" si="1526">K3215-Q3215</f>
        <v>0</v>
      </c>
      <c r="R3216" s="179">
        <f t="shared" ref="R3216" si="1527">K3215-R3215</f>
        <v>0</v>
      </c>
      <c r="S3216" s="180">
        <f t="shared" ref="S3216" si="1528">L3215-S3215</f>
        <v>0</v>
      </c>
    </row>
    <row r="3217" spans="1:19">
      <c r="A3217" s="63"/>
      <c r="B3217" s="63"/>
      <c r="C3217" s="63"/>
      <c r="D3217" s="63"/>
      <c r="E3217" s="63"/>
      <c r="F3217" s="63"/>
      <c r="G3217" s="63"/>
      <c r="I3217" s="300" t="s">
        <v>795</v>
      </c>
      <c r="J3217" s="301"/>
      <c r="K3217" s="181"/>
      <c r="L3217" s="182"/>
      <c r="M3217" s="182"/>
      <c r="N3217" s="182"/>
      <c r="O3217" s="183"/>
      <c r="P3217" s="182"/>
      <c r="Q3217" s="182"/>
      <c r="R3217" s="182"/>
      <c r="S3217" s="182"/>
    </row>
    <row r="3218" spans="1:19">
      <c r="A3218" s="63"/>
      <c r="B3218" s="63"/>
      <c r="C3218" s="63"/>
      <c r="D3218" s="63"/>
      <c r="E3218" s="63"/>
      <c r="F3218" s="63"/>
      <c r="G3218" s="63"/>
      <c r="I3218" s="302" t="s">
        <v>796</v>
      </c>
      <c r="J3218" s="302"/>
      <c r="K3218" s="184"/>
      <c r="L3218" s="203"/>
      <c r="M3218" s="203"/>
      <c r="N3218" s="203"/>
      <c r="O3218" s="203"/>
      <c r="P3218" s="203"/>
      <c r="Q3218" s="203"/>
      <c r="R3218" s="203"/>
      <c r="S3218" s="203"/>
    </row>
    <row r="3219" spans="1:19">
      <c r="A3219" s="63"/>
      <c r="B3219" s="63"/>
      <c r="C3219" s="63"/>
      <c r="D3219" s="63"/>
      <c r="E3219" s="63"/>
      <c r="F3219" s="63"/>
      <c r="G3219" s="63"/>
      <c r="I3219" s="302" t="s">
        <v>797</v>
      </c>
      <c r="J3219" s="302"/>
      <c r="K3219" s="184"/>
      <c r="L3219" s="203"/>
      <c r="M3219" s="203"/>
      <c r="N3219" s="203"/>
      <c r="O3219" s="203"/>
      <c r="P3219" s="203"/>
      <c r="Q3219" s="203"/>
      <c r="R3219" s="203"/>
      <c r="S3219" s="203"/>
    </row>
    <row r="3220" spans="1:19">
      <c r="A3220" s="63"/>
      <c r="B3220" s="63"/>
      <c r="C3220" s="63"/>
      <c r="D3220" s="63"/>
      <c r="E3220" s="63"/>
      <c r="F3220" s="63"/>
      <c r="G3220" s="63"/>
      <c r="I3220" s="303" t="s">
        <v>798</v>
      </c>
      <c r="J3220" s="303"/>
      <c r="K3220" s="184"/>
      <c r="L3220" s="185"/>
      <c r="M3220" s="185"/>
      <c r="N3220" s="185"/>
      <c r="O3220" s="185"/>
      <c r="P3220" s="204"/>
      <c r="Q3220" s="204"/>
      <c r="R3220" s="204"/>
      <c r="S3220" s="204"/>
    </row>
    <row r="3221" spans="1:19">
      <c r="A3221" s="3" t="s">
        <v>801</v>
      </c>
      <c r="B3221" s="201" t="s">
        <v>802</v>
      </c>
      <c r="C3221" s="201" t="s">
        <v>803</v>
      </c>
      <c r="D3221" s="201" t="s">
        <v>119</v>
      </c>
      <c r="E3221" s="201" t="s">
        <v>148</v>
      </c>
      <c r="F3221" s="201" t="s">
        <v>806</v>
      </c>
      <c r="G3221" s="201" t="s">
        <v>81</v>
      </c>
      <c r="I3221" s="187"/>
      <c r="J3221" s="187"/>
      <c r="K3221" s="187"/>
      <c r="L3221" s="188"/>
      <c r="M3221" s="188"/>
      <c r="N3221" s="188"/>
      <c r="O3221" s="188"/>
      <c r="P3221" s="187"/>
      <c r="Q3221" s="187"/>
      <c r="R3221" s="187"/>
      <c r="S3221" s="187"/>
    </row>
    <row r="3222" spans="1:19">
      <c r="A3222" s="293">
        <v>44200</v>
      </c>
      <c r="B3222" s="161"/>
      <c r="C3222" s="162"/>
      <c r="D3222" s="162"/>
      <c r="E3222" s="162"/>
      <c r="F3222" s="162"/>
      <c r="G3222" s="163"/>
      <c r="I3222" s="191"/>
      <c r="J3222" s="190"/>
      <c r="K3222" s="190"/>
      <c r="L3222" s="190"/>
      <c r="M3222" s="190">
        <v>44200</v>
      </c>
      <c r="N3222" s="189" t="s">
        <v>864</v>
      </c>
      <c r="O3222" s="189"/>
      <c r="P3222" s="189"/>
      <c r="Q3222" s="189"/>
      <c r="R3222" s="189"/>
      <c r="S3222" s="189"/>
    </row>
    <row r="3223" spans="1:19">
      <c r="A3223" s="294"/>
      <c r="B3223" s="164"/>
      <c r="C3223" s="165"/>
      <c r="D3223" s="165"/>
      <c r="E3223" s="165"/>
      <c r="F3223" s="165"/>
      <c r="G3223" s="166"/>
      <c r="I3223" s="304"/>
      <c r="J3223" s="304"/>
      <c r="K3223" s="167"/>
      <c r="L3223" s="168"/>
      <c r="M3223" s="168"/>
      <c r="N3223" s="168"/>
      <c r="O3223" s="169"/>
      <c r="P3223" s="169"/>
      <c r="Q3223" s="169"/>
      <c r="R3223" s="161"/>
      <c r="S3223" s="161"/>
    </row>
    <row r="3224" spans="1:19">
      <c r="A3224" s="294"/>
      <c r="B3224" s="161"/>
      <c r="C3224" s="162"/>
      <c r="D3224" s="162"/>
      <c r="E3224" s="162"/>
      <c r="F3224" s="162"/>
      <c r="G3224" s="163"/>
      <c r="I3224" s="295" t="s">
        <v>782</v>
      </c>
      <c r="J3224" s="296"/>
      <c r="K3224" s="170"/>
      <c r="L3224" s="171"/>
      <c r="M3224" s="50"/>
      <c r="N3224" s="171"/>
      <c r="O3224" s="202"/>
      <c r="P3224" s="202"/>
      <c r="Q3224" s="202"/>
      <c r="R3224" s="162"/>
      <c r="S3224" s="162"/>
    </row>
    <row r="3225" spans="1:19">
      <c r="A3225" s="294"/>
      <c r="B3225" s="164"/>
      <c r="C3225" s="165"/>
      <c r="D3225" s="165"/>
      <c r="E3225" s="165"/>
      <c r="F3225" s="165"/>
      <c r="G3225" s="166"/>
      <c r="I3225" s="295" t="s">
        <v>783</v>
      </c>
      <c r="J3225" s="295"/>
      <c r="K3225" s="170"/>
      <c r="L3225" s="171"/>
      <c r="M3225" s="50"/>
      <c r="N3225" s="171"/>
      <c r="O3225" s="202"/>
      <c r="P3225" s="202"/>
      <c r="Q3225" s="202"/>
      <c r="R3225" s="162"/>
      <c r="S3225" s="162"/>
    </row>
    <row r="3226" spans="1:19">
      <c r="A3226" s="294"/>
      <c r="B3226" s="161"/>
      <c r="C3226" s="162"/>
      <c r="D3226" s="162"/>
      <c r="E3226" s="162"/>
      <c r="F3226" s="162"/>
      <c r="G3226" s="163"/>
      <c r="I3226" s="295" t="s">
        <v>784</v>
      </c>
      <c r="J3226" s="295"/>
      <c r="K3226" s="170"/>
      <c r="L3226" s="171"/>
      <c r="M3226" s="50"/>
      <c r="N3226" s="171"/>
      <c r="O3226" s="202"/>
      <c r="P3226" s="202"/>
      <c r="Q3226" s="202"/>
      <c r="R3226" s="162"/>
      <c r="S3226" s="162"/>
    </row>
    <row r="3227" spans="1:19">
      <c r="A3227" s="294"/>
      <c r="B3227" s="164"/>
      <c r="C3227" s="165"/>
      <c r="D3227" s="165"/>
      <c r="E3227" s="165"/>
      <c r="F3227" s="165"/>
      <c r="G3227" s="166"/>
      <c r="I3227" s="295" t="s">
        <v>785</v>
      </c>
      <c r="J3227" s="295"/>
      <c r="K3227" s="170"/>
      <c r="L3227" s="171"/>
      <c r="M3227" s="50"/>
      <c r="N3227" s="171"/>
      <c r="O3227" s="202"/>
      <c r="P3227" s="202"/>
      <c r="Q3227" s="202"/>
      <c r="R3227" s="162"/>
      <c r="S3227" s="162"/>
    </row>
    <row r="3228" spans="1:19">
      <c r="A3228" s="294"/>
      <c r="B3228" s="161"/>
      <c r="C3228" s="162"/>
      <c r="D3228" s="162"/>
      <c r="E3228" s="162"/>
      <c r="F3228" s="162"/>
      <c r="G3228" s="163"/>
      <c r="I3228" s="295" t="s">
        <v>786</v>
      </c>
      <c r="J3228" s="295"/>
      <c r="K3228" s="170"/>
      <c r="L3228" s="171"/>
      <c r="M3228" s="50"/>
      <c r="N3228" s="171"/>
      <c r="O3228" s="202"/>
      <c r="P3228" s="202"/>
      <c r="Q3228" s="202"/>
      <c r="R3228" s="162"/>
      <c r="S3228" s="162"/>
    </row>
    <row r="3229" spans="1:19">
      <c r="A3229" s="294"/>
      <c r="B3229" s="164"/>
      <c r="C3229" s="165"/>
      <c r="D3229" s="165"/>
      <c r="E3229" s="165"/>
      <c r="F3229" s="165"/>
      <c r="G3229" s="166"/>
      <c r="I3229" s="295" t="s">
        <v>787</v>
      </c>
      <c r="J3229" s="295"/>
      <c r="K3229" s="170"/>
      <c r="L3229" s="171"/>
      <c r="M3229" s="50"/>
      <c r="N3229" s="171"/>
      <c r="O3229" s="202"/>
      <c r="P3229" s="202"/>
      <c r="Q3229" s="202"/>
      <c r="R3229" s="162"/>
      <c r="S3229" s="162"/>
    </row>
    <row r="3230" spans="1:19">
      <c r="A3230" s="294"/>
      <c r="B3230" s="161"/>
      <c r="C3230" s="162"/>
      <c r="D3230" s="162"/>
      <c r="E3230" s="162"/>
      <c r="F3230" s="162"/>
      <c r="G3230" s="163"/>
      <c r="I3230" s="295" t="s">
        <v>788</v>
      </c>
      <c r="J3230" s="295"/>
      <c r="K3230" s="170"/>
      <c r="L3230" s="171"/>
      <c r="M3230" s="50"/>
      <c r="N3230" s="171"/>
      <c r="O3230" s="202"/>
      <c r="P3230" s="202"/>
      <c r="Q3230" s="202"/>
      <c r="R3230" s="162"/>
      <c r="S3230" s="162"/>
    </row>
    <row r="3231" spans="1:19">
      <c r="A3231" s="294"/>
      <c r="B3231" s="164"/>
      <c r="C3231" s="165"/>
      <c r="D3231" s="165"/>
      <c r="E3231" s="165"/>
      <c r="F3231" s="165"/>
      <c r="G3231" s="166"/>
      <c r="I3231" s="295" t="s">
        <v>789</v>
      </c>
      <c r="J3231" s="295"/>
      <c r="K3231" s="170"/>
      <c r="L3231" s="171"/>
      <c r="M3231" s="50"/>
      <c r="N3231" s="171"/>
      <c r="O3231" s="202"/>
      <c r="P3231" s="202"/>
      <c r="Q3231" s="202"/>
      <c r="R3231" s="162"/>
      <c r="S3231" s="162"/>
    </row>
    <row r="3232" spans="1:19">
      <c r="A3232" s="63"/>
      <c r="B3232" s="63"/>
      <c r="C3232" s="63"/>
      <c r="D3232" s="63"/>
      <c r="E3232" s="63"/>
      <c r="F3232" s="63"/>
      <c r="G3232" s="63"/>
      <c r="I3232" s="295" t="s">
        <v>790</v>
      </c>
      <c r="J3232" s="295"/>
      <c r="K3232" s="170"/>
      <c r="L3232" s="171"/>
      <c r="M3232" s="50"/>
      <c r="N3232" s="171"/>
      <c r="O3232" s="202"/>
      <c r="P3232" s="202"/>
      <c r="Q3232" s="202"/>
      <c r="R3232" s="162"/>
      <c r="S3232" s="162"/>
    </row>
    <row r="3233" spans="1:19">
      <c r="A3233" s="63"/>
      <c r="B3233" s="63"/>
      <c r="C3233" s="63"/>
      <c r="D3233" s="63"/>
      <c r="E3233" s="63"/>
      <c r="F3233" s="63"/>
      <c r="G3233" s="63"/>
      <c r="I3233" s="295" t="s">
        <v>791</v>
      </c>
      <c r="J3233" s="295"/>
      <c r="K3233" s="170"/>
      <c r="L3233" s="171"/>
      <c r="M3233" s="50"/>
      <c r="N3233" s="171"/>
      <c r="O3233" s="202"/>
      <c r="P3233" s="202"/>
      <c r="Q3233" s="202"/>
      <c r="R3233" s="162"/>
      <c r="S3233" s="162"/>
    </row>
    <row r="3234" spans="1:19">
      <c r="A3234" s="63"/>
      <c r="B3234" s="63"/>
      <c r="C3234" s="63"/>
      <c r="D3234" s="63"/>
      <c r="E3234" s="63"/>
      <c r="F3234" s="63"/>
      <c r="G3234" s="63"/>
      <c r="I3234" s="296" t="s">
        <v>792</v>
      </c>
      <c r="J3234" s="296"/>
      <c r="K3234" s="170"/>
      <c r="L3234" s="171"/>
      <c r="M3234" s="50"/>
      <c r="N3234" s="171"/>
      <c r="O3234" s="202"/>
      <c r="P3234" s="202"/>
      <c r="Q3234" s="202"/>
      <c r="R3234" s="162"/>
      <c r="S3234" s="162"/>
    </row>
    <row r="3235" spans="1:19" ht="17.25" thickBot="1">
      <c r="A3235" s="63"/>
      <c r="B3235" s="63"/>
      <c r="C3235" s="63"/>
      <c r="D3235" s="63"/>
      <c r="E3235" s="63"/>
      <c r="F3235" s="63"/>
      <c r="G3235" s="63"/>
      <c r="I3235" s="297" t="s">
        <v>793</v>
      </c>
      <c r="J3235" s="297"/>
      <c r="K3235" s="172">
        <f t="shared" ref="K3235:S3235" si="1529">SUM(K3224:K3234)</f>
        <v>0</v>
      </c>
      <c r="L3235" s="205">
        <f t="shared" si="1529"/>
        <v>0</v>
      </c>
      <c r="M3235" s="205">
        <f t="shared" si="1529"/>
        <v>0</v>
      </c>
      <c r="N3235" s="205">
        <f t="shared" si="1529"/>
        <v>0</v>
      </c>
      <c r="O3235" s="174">
        <f t="shared" si="1529"/>
        <v>0</v>
      </c>
      <c r="P3235" s="174">
        <f t="shared" si="1529"/>
        <v>0</v>
      </c>
      <c r="Q3235" s="174">
        <f t="shared" si="1529"/>
        <v>0</v>
      </c>
      <c r="R3235" s="175">
        <f t="shared" si="1529"/>
        <v>0</v>
      </c>
      <c r="S3235" s="175">
        <f t="shared" si="1529"/>
        <v>0</v>
      </c>
    </row>
    <row r="3236" spans="1:19" ht="17.25" thickBot="1">
      <c r="A3236" s="63"/>
      <c r="B3236" s="63"/>
      <c r="C3236" s="63"/>
      <c r="D3236" s="63"/>
      <c r="E3236" s="63"/>
      <c r="F3236" s="63"/>
      <c r="G3236" s="63"/>
      <c r="I3236" s="298" t="s">
        <v>794</v>
      </c>
      <c r="J3236" s="299"/>
      <c r="K3236" s="176">
        <f t="shared" ref="K3236" si="1530">S3215-K3235</f>
        <v>0</v>
      </c>
      <c r="L3236" s="177">
        <f t="shared" ref="L3236" si="1531">K3235-L3235</f>
        <v>0</v>
      </c>
      <c r="M3236" s="177">
        <f t="shared" ref="M3236" si="1532">K3235-M3235</f>
        <v>0</v>
      </c>
      <c r="N3236" s="177">
        <f t="shared" ref="N3236" si="1533">K3235-N3235</f>
        <v>0</v>
      </c>
      <c r="O3236" s="178">
        <f t="shared" ref="O3236" si="1534">K3235-O3235</f>
        <v>0</v>
      </c>
      <c r="P3236" s="178">
        <f t="shared" ref="P3236" si="1535">K3235-P3235</f>
        <v>0</v>
      </c>
      <c r="Q3236" s="178">
        <f t="shared" ref="Q3236" si="1536">K3235-Q3235</f>
        <v>0</v>
      </c>
      <c r="R3236" s="179">
        <f t="shared" ref="R3236" si="1537">K3235-R3235</f>
        <v>0</v>
      </c>
      <c r="S3236" s="180">
        <f t="shared" ref="S3236" si="1538">L3235-S3235</f>
        <v>0</v>
      </c>
    </row>
    <row r="3237" spans="1:19">
      <c r="A3237" s="63"/>
      <c r="B3237" s="63"/>
      <c r="C3237" s="63"/>
      <c r="D3237" s="63"/>
      <c r="E3237" s="63"/>
      <c r="F3237" s="63"/>
      <c r="G3237" s="63"/>
      <c r="I3237" s="300" t="s">
        <v>795</v>
      </c>
      <c r="J3237" s="301"/>
      <c r="K3237" s="181"/>
      <c r="L3237" s="182"/>
      <c r="M3237" s="182"/>
      <c r="N3237" s="182"/>
      <c r="O3237" s="183"/>
      <c r="P3237" s="182"/>
      <c r="Q3237" s="182"/>
      <c r="R3237" s="182"/>
      <c r="S3237" s="182"/>
    </row>
    <row r="3238" spans="1:19">
      <c r="A3238" s="63"/>
      <c r="B3238" s="63"/>
      <c r="C3238" s="63"/>
      <c r="D3238" s="63"/>
      <c r="E3238" s="63"/>
      <c r="F3238" s="63"/>
      <c r="G3238" s="63"/>
      <c r="I3238" s="302" t="s">
        <v>796</v>
      </c>
      <c r="J3238" s="302"/>
      <c r="K3238" s="184"/>
      <c r="L3238" s="203"/>
      <c r="M3238" s="203"/>
      <c r="N3238" s="203"/>
      <c r="O3238" s="203"/>
      <c r="P3238" s="203"/>
      <c r="Q3238" s="203"/>
      <c r="R3238" s="203"/>
      <c r="S3238" s="203"/>
    </row>
    <row r="3239" spans="1:19">
      <c r="A3239" s="63"/>
      <c r="B3239" s="63"/>
      <c r="C3239" s="63"/>
      <c r="D3239" s="63"/>
      <c r="E3239" s="63"/>
      <c r="F3239" s="63"/>
      <c r="G3239" s="63"/>
      <c r="I3239" s="302" t="s">
        <v>797</v>
      </c>
      <c r="J3239" s="302"/>
      <c r="K3239" s="184"/>
      <c r="L3239" s="203"/>
      <c r="M3239" s="203"/>
      <c r="N3239" s="203"/>
      <c r="O3239" s="203"/>
      <c r="P3239" s="203"/>
      <c r="Q3239" s="203"/>
      <c r="R3239" s="203"/>
      <c r="S3239" s="203"/>
    </row>
    <row r="3240" spans="1:19">
      <c r="A3240" s="63"/>
      <c r="B3240" s="63"/>
      <c r="C3240" s="63"/>
      <c r="D3240" s="63"/>
      <c r="E3240" s="63"/>
      <c r="F3240" s="63"/>
      <c r="G3240" s="63"/>
      <c r="I3240" s="303" t="s">
        <v>798</v>
      </c>
      <c r="J3240" s="303"/>
      <c r="K3240" s="184"/>
      <c r="L3240" s="185"/>
      <c r="M3240" s="185"/>
      <c r="N3240" s="185"/>
      <c r="O3240" s="185"/>
      <c r="P3240" s="204"/>
      <c r="Q3240" s="204"/>
      <c r="R3240" s="204"/>
      <c r="S3240" s="204"/>
    </row>
  </sheetData>
  <mergeCells count="3078">
    <mergeCell ref="I178:J178"/>
    <mergeCell ref="I179:J179"/>
    <mergeCell ref="I180:J180"/>
    <mergeCell ref="I168:J168"/>
    <mergeCell ref="I169:J169"/>
    <mergeCell ref="I170:J170"/>
    <mergeCell ref="I171:J171"/>
    <mergeCell ref="I172:J172"/>
    <mergeCell ref="I173:J173"/>
    <mergeCell ref="I174:J174"/>
    <mergeCell ref="I175:J175"/>
    <mergeCell ref="I176:J176"/>
    <mergeCell ref="A22:A29"/>
    <mergeCell ref="I177:J177"/>
    <mergeCell ref="I157:J157"/>
    <mergeCell ref="I158:J158"/>
    <mergeCell ref="I159:J159"/>
    <mergeCell ref="I160:J160"/>
    <mergeCell ref="I163:J163"/>
    <mergeCell ref="I164:J164"/>
    <mergeCell ref="I165:J165"/>
    <mergeCell ref="I166:J166"/>
    <mergeCell ref="I167:J167"/>
    <mergeCell ref="I148:J148"/>
    <mergeCell ref="I149:J149"/>
    <mergeCell ref="I150:J150"/>
    <mergeCell ref="I151:J151"/>
    <mergeCell ref="I152:J152"/>
    <mergeCell ref="I153:J153"/>
    <mergeCell ref="I127:J127"/>
    <mergeCell ref="I128:J128"/>
    <mergeCell ref="I129:J129"/>
    <mergeCell ref="I130:J130"/>
    <mergeCell ref="I131:J131"/>
    <mergeCell ref="I132:J132"/>
    <mergeCell ref="I133:J133"/>
    <mergeCell ref="I134:J134"/>
    <mergeCell ref="I135:J135"/>
    <mergeCell ref="I136:J136"/>
    <mergeCell ref="I154:J154"/>
    <mergeCell ref="I155:J155"/>
    <mergeCell ref="I156:J156"/>
    <mergeCell ref="I137:J137"/>
    <mergeCell ref="I138:J138"/>
    <mergeCell ref="I139:J139"/>
    <mergeCell ref="I140:J140"/>
    <mergeCell ref="I143:J143"/>
    <mergeCell ref="I144:J144"/>
    <mergeCell ref="I145:J145"/>
    <mergeCell ref="I146:J146"/>
    <mergeCell ref="I147:J147"/>
    <mergeCell ref="I108:J108"/>
    <mergeCell ref="I109:J109"/>
    <mergeCell ref="I110:J110"/>
    <mergeCell ref="I111:J111"/>
    <mergeCell ref="I112:J112"/>
    <mergeCell ref="I113:J113"/>
    <mergeCell ref="I114:J114"/>
    <mergeCell ref="I115:J115"/>
    <mergeCell ref="I116:J116"/>
    <mergeCell ref="I117:J117"/>
    <mergeCell ref="I118:J118"/>
    <mergeCell ref="I119:J119"/>
    <mergeCell ref="I120:J120"/>
    <mergeCell ref="I123:J123"/>
    <mergeCell ref="I124:J124"/>
    <mergeCell ref="I125:J125"/>
    <mergeCell ref="I126:J126"/>
    <mergeCell ref="I106:J106"/>
    <mergeCell ref="I107:J107"/>
    <mergeCell ref="I25:J25"/>
    <mergeCell ref="I26:J26"/>
    <mergeCell ref="I27:J27"/>
    <mergeCell ref="I28:J28"/>
    <mergeCell ref="I29:J29"/>
    <mergeCell ref="I30:J30"/>
    <mergeCell ref="I44:J44"/>
    <mergeCell ref="I51:J51"/>
    <mergeCell ref="I52:J52"/>
    <mergeCell ref="I53:J53"/>
    <mergeCell ref="I54:J54"/>
    <mergeCell ref="I55:J55"/>
    <mergeCell ref="I56:J56"/>
    <mergeCell ref="I45:J45"/>
    <mergeCell ref="I43:J43"/>
    <mergeCell ref="I40:J40"/>
    <mergeCell ref="I46:J46"/>
    <mergeCell ref="I47:J47"/>
    <mergeCell ref="I48:J48"/>
    <mergeCell ref="I100:J100"/>
    <mergeCell ref="I91:J91"/>
    <mergeCell ref="I92:J92"/>
    <mergeCell ref="I103:J103"/>
    <mergeCell ref="I104:J104"/>
    <mergeCell ref="I105:J105"/>
    <mergeCell ref="I49:J49"/>
    <mergeCell ref="I50:J50"/>
    <mergeCell ref="I67:J67"/>
    <mergeCell ref="I68:J68"/>
    <mergeCell ref="I69:J69"/>
    <mergeCell ref="I70:J70"/>
    <mergeCell ref="I57:J57"/>
    <mergeCell ref="I58:J58"/>
    <mergeCell ref="I59:J59"/>
    <mergeCell ref="I63:J63"/>
    <mergeCell ref="I64:J64"/>
    <mergeCell ref="I60:J60"/>
    <mergeCell ref="I65:J65"/>
    <mergeCell ref="I66:J66"/>
    <mergeCell ref="I99:J99"/>
    <mergeCell ref="A2:A9"/>
    <mergeCell ref="I17:J17"/>
    <mergeCell ref="I18:J18"/>
    <mergeCell ref="I19:J19"/>
    <mergeCell ref="I23:J23"/>
    <mergeCell ref="I24:J24"/>
    <mergeCell ref="I37:J37"/>
    <mergeCell ref="I38:J38"/>
    <mergeCell ref="I39:J39"/>
    <mergeCell ref="I31:J31"/>
    <mergeCell ref="I32:J32"/>
    <mergeCell ref="I33:J33"/>
    <mergeCell ref="I34:J34"/>
    <mergeCell ref="I35:J35"/>
    <mergeCell ref="I36:J36"/>
    <mergeCell ref="I20:J20"/>
    <mergeCell ref="I3:J3"/>
    <mergeCell ref="I4:J4"/>
    <mergeCell ref="I11:J11"/>
    <mergeCell ref="I12:J12"/>
    <mergeCell ref="I13:J13"/>
    <mergeCell ref="I14:J14"/>
    <mergeCell ref="I15:J15"/>
    <mergeCell ref="I16:J16"/>
    <mergeCell ref="I5:J5"/>
    <mergeCell ref="I6:J6"/>
    <mergeCell ref="I7:J7"/>
    <mergeCell ref="I8:J8"/>
    <mergeCell ref="I9:J9"/>
    <mergeCell ref="I10:J10"/>
    <mergeCell ref="I97:J97"/>
    <mergeCell ref="I98:J98"/>
    <mergeCell ref="I77:J77"/>
    <mergeCell ref="I78:J78"/>
    <mergeCell ref="I79:J79"/>
    <mergeCell ref="I83:J83"/>
    <mergeCell ref="I84:J84"/>
    <mergeCell ref="I80:J80"/>
    <mergeCell ref="I71:J71"/>
    <mergeCell ref="I72:J72"/>
    <mergeCell ref="I73:J73"/>
    <mergeCell ref="I74:J74"/>
    <mergeCell ref="I75:J75"/>
    <mergeCell ref="I76:J76"/>
    <mergeCell ref="I93:J93"/>
    <mergeCell ref="I94:J94"/>
    <mergeCell ref="I95:J95"/>
    <mergeCell ref="I96:J96"/>
    <mergeCell ref="I85:J85"/>
    <mergeCell ref="I86:J86"/>
    <mergeCell ref="I87:J87"/>
    <mergeCell ref="I88:J88"/>
    <mergeCell ref="I89:J89"/>
    <mergeCell ref="I90:J90"/>
    <mergeCell ref="A222:A231"/>
    <mergeCell ref="A242:A251"/>
    <mergeCell ref="A262:A271"/>
    <mergeCell ref="A282:A291"/>
    <mergeCell ref="A302:A311"/>
    <mergeCell ref="A322:A331"/>
    <mergeCell ref="A342:A351"/>
    <mergeCell ref="A362:A371"/>
    <mergeCell ref="A382:A391"/>
    <mergeCell ref="A42:A51"/>
    <mergeCell ref="A62:A71"/>
    <mergeCell ref="A82:A91"/>
    <mergeCell ref="A102:A111"/>
    <mergeCell ref="A122:A131"/>
    <mergeCell ref="A142:A151"/>
    <mergeCell ref="A162:A171"/>
    <mergeCell ref="A182:A191"/>
    <mergeCell ref="A202:A211"/>
    <mergeCell ref="A582:A591"/>
    <mergeCell ref="A602:A611"/>
    <mergeCell ref="A622:A631"/>
    <mergeCell ref="A642:A651"/>
    <mergeCell ref="A662:A671"/>
    <mergeCell ref="A682:A691"/>
    <mergeCell ref="A702:A711"/>
    <mergeCell ref="A722:A731"/>
    <mergeCell ref="A742:A751"/>
    <mergeCell ref="A402:A411"/>
    <mergeCell ref="A422:A431"/>
    <mergeCell ref="A442:A451"/>
    <mergeCell ref="A462:A471"/>
    <mergeCell ref="A482:A491"/>
    <mergeCell ref="A502:A511"/>
    <mergeCell ref="A522:A531"/>
    <mergeCell ref="A542:A551"/>
    <mergeCell ref="A562:A571"/>
    <mergeCell ref="A942:A951"/>
    <mergeCell ref="A962:A971"/>
    <mergeCell ref="A982:A991"/>
    <mergeCell ref="A1002:A1011"/>
    <mergeCell ref="A1022:A1031"/>
    <mergeCell ref="A1042:A1051"/>
    <mergeCell ref="A1062:A1071"/>
    <mergeCell ref="A1082:A1091"/>
    <mergeCell ref="A1102:A1111"/>
    <mergeCell ref="A762:A771"/>
    <mergeCell ref="A782:A791"/>
    <mergeCell ref="A802:A811"/>
    <mergeCell ref="A822:A831"/>
    <mergeCell ref="A842:A851"/>
    <mergeCell ref="A862:A871"/>
    <mergeCell ref="A882:A891"/>
    <mergeCell ref="A902:A911"/>
    <mergeCell ref="A922:A931"/>
    <mergeCell ref="A1302:A1311"/>
    <mergeCell ref="A1322:A1331"/>
    <mergeCell ref="A1342:A1351"/>
    <mergeCell ref="A1362:A1371"/>
    <mergeCell ref="A1382:A1391"/>
    <mergeCell ref="A1402:A1411"/>
    <mergeCell ref="A1422:A1431"/>
    <mergeCell ref="A1442:A1451"/>
    <mergeCell ref="A1462:A1471"/>
    <mergeCell ref="A1122:A1131"/>
    <mergeCell ref="A1142:A1151"/>
    <mergeCell ref="A1162:A1171"/>
    <mergeCell ref="A1182:A1191"/>
    <mergeCell ref="A1202:A1211"/>
    <mergeCell ref="A1222:A1231"/>
    <mergeCell ref="A1242:A1251"/>
    <mergeCell ref="A1262:A1271"/>
    <mergeCell ref="A1282:A1291"/>
    <mergeCell ref="A1662:A1671"/>
    <mergeCell ref="A1682:A1691"/>
    <mergeCell ref="A1702:A1711"/>
    <mergeCell ref="A1722:A1731"/>
    <mergeCell ref="A1742:A1751"/>
    <mergeCell ref="A1762:A1771"/>
    <mergeCell ref="A1782:A1791"/>
    <mergeCell ref="A1802:A1811"/>
    <mergeCell ref="A1822:A1831"/>
    <mergeCell ref="A1482:A1491"/>
    <mergeCell ref="A1502:A1511"/>
    <mergeCell ref="A1522:A1531"/>
    <mergeCell ref="A1542:A1551"/>
    <mergeCell ref="A1562:A1571"/>
    <mergeCell ref="A1582:A1591"/>
    <mergeCell ref="A1602:A1611"/>
    <mergeCell ref="A1622:A1631"/>
    <mergeCell ref="A1642:A1651"/>
    <mergeCell ref="A2022:A2031"/>
    <mergeCell ref="A2042:A2051"/>
    <mergeCell ref="A2062:A2071"/>
    <mergeCell ref="A2082:A2091"/>
    <mergeCell ref="A2102:A2111"/>
    <mergeCell ref="A2122:A2131"/>
    <mergeCell ref="A2142:A2151"/>
    <mergeCell ref="A2162:A2171"/>
    <mergeCell ref="A2182:A2191"/>
    <mergeCell ref="A1842:A1851"/>
    <mergeCell ref="A1862:A1871"/>
    <mergeCell ref="A1882:A1891"/>
    <mergeCell ref="A1902:A1911"/>
    <mergeCell ref="A1922:A1931"/>
    <mergeCell ref="A1942:A1951"/>
    <mergeCell ref="A1962:A1971"/>
    <mergeCell ref="A1982:A1991"/>
    <mergeCell ref="A2002:A2011"/>
    <mergeCell ref="A2382:A2391"/>
    <mergeCell ref="A2402:A2411"/>
    <mergeCell ref="A2422:A2431"/>
    <mergeCell ref="A2442:A2451"/>
    <mergeCell ref="A2462:A2471"/>
    <mergeCell ref="A2482:A2491"/>
    <mergeCell ref="A2502:A2511"/>
    <mergeCell ref="A2522:A2531"/>
    <mergeCell ref="A2542:A2551"/>
    <mergeCell ref="A2202:A2211"/>
    <mergeCell ref="A2222:A2231"/>
    <mergeCell ref="A2242:A2251"/>
    <mergeCell ref="A2262:A2271"/>
    <mergeCell ref="A2282:A2291"/>
    <mergeCell ref="A2302:A2311"/>
    <mergeCell ref="A2322:A2331"/>
    <mergeCell ref="A2342:A2351"/>
    <mergeCell ref="A2362:A2371"/>
    <mergeCell ref="A3082:A3091"/>
    <mergeCell ref="A2742:A2751"/>
    <mergeCell ref="A2762:A2771"/>
    <mergeCell ref="A2782:A2791"/>
    <mergeCell ref="A2802:A2811"/>
    <mergeCell ref="A2822:A2831"/>
    <mergeCell ref="A2842:A2851"/>
    <mergeCell ref="A2862:A2871"/>
    <mergeCell ref="A2882:A2891"/>
    <mergeCell ref="A2902:A2911"/>
    <mergeCell ref="A2562:A2571"/>
    <mergeCell ref="A2582:A2591"/>
    <mergeCell ref="A2602:A2611"/>
    <mergeCell ref="A2622:A2631"/>
    <mergeCell ref="A2642:A2651"/>
    <mergeCell ref="A2662:A2671"/>
    <mergeCell ref="A2682:A2691"/>
    <mergeCell ref="A2702:A2711"/>
    <mergeCell ref="A2722:A2731"/>
    <mergeCell ref="A3102:A3111"/>
    <mergeCell ref="A3122:A3131"/>
    <mergeCell ref="A3142:A3151"/>
    <mergeCell ref="A3162:A3171"/>
    <mergeCell ref="A3182:A3191"/>
    <mergeCell ref="A3202:A3211"/>
    <mergeCell ref="I183:J183"/>
    <mergeCell ref="I184:J184"/>
    <mergeCell ref="I185:J185"/>
    <mergeCell ref="I186:J186"/>
    <mergeCell ref="I187:J187"/>
    <mergeCell ref="I188:J188"/>
    <mergeCell ref="I189:J189"/>
    <mergeCell ref="I190:J190"/>
    <mergeCell ref="I191:J191"/>
    <mergeCell ref="I192:J192"/>
    <mergeCell ref="I193:J193"/>
    <mergeCell ref="I194:J194"/>
    <mergeCell ref="I195:J195"/>
    <mergeCell ref="I196:J196"/>
    <mergeCell ref="I197:J197"/>
    <mergeCell ref="I198:J198"/>
    <mergeCell ref="I199:J199"/>
    <mergeCell ref="I200:J200"/>
    <mergeCell ref="A2922:A2931"/>
    <mergeCell ref="A2942:A2951"/>
    <mergeCell ref="A2962:A2971"/>
    <mergeCell ref="A2982:A2991"/>
    <mergeCell ref="A3002:A3011"/>
    <mergeCell ref="A3022:A3031"/>
    <mergeCell ref="A3042:A3051"/>
    <mergeCell ref="A3062:A3071"/>
    <mergeCell ref="I212:J212"/>
    <mergeCell ref="I213:J213"/>
    <mergeCell ref="I214:J214"/>
    <mergeCell ref="I215:J215"/>
    <mergeCell ref="I216:J216"/>
    <mergeCell ref="I217:J217"/>
    <mergeCell ref="I218:J218"/>
    <mergeCell ref="I219:J219"/>
    <mergeCell ref="I220:J220"/>
    <mergeCell ref="I203:J203"/>
    <mergeCell ref="I204:J204"/>
    <mergeCell ref="I205:J205"/>
    <mergeCell ref="I206:J206"/>
    <mergeCell ref="I207:J207"/>
    <mergeCell ref="I208:J208"/>
    <mergeCell ref="I209:J209"/>
    <mergeCell ref="I210:J210"/>
    <mergeCell ref="I211:J211"/>
    <mergeCell ref="I232:J232"/>
    <mergeCell ref="I233:J233"/>
    <mergeCell ref="I234:J234"/>
    <mergeCell ref="I235:J235"/>
    <mergeCell ref="I236:J236"/>
    <mergeCell ref="I237:J237"/>
    <mergeCell ref="I238:J238"/>
    <mergeCell ref="I239:J239"/>
    <mergeCell ref="I240:J240"/>
    <mergeCell ref="I223:J223"/>
    <mergeCell ref="I224:J224"/>
    <mergeCell ref="I225:J225"/>
    <mergeCell ref="I226:J226"/>
    <mergeCell ref="I227:J227"/>
    <mergeCell ref="I228:J228"/>
    <mergeCell ref="I229:J229"/>
    <mergeCell ref="I230:J230"/>
    <mergeCell ref="I231:J231"/>
    <mergeCell ref="I252:J252"/>
    <mergeCell ref="I253:J253"/>
    <mergeCell ref="I254:J254"/>
    <mergeCell ref="I255:J255"/>
    <mergeCell ref="I256:J256"/>
    <mergeCell ref="I257:J257"/>
    <mergeCell ref="I258:J258"/>
    <mergeCell ref="I259:J259"/>
    <mergeCell ref="I260:J260"/>
    <mergeCell ref="I243:J243"/>
    <mergeCell ref="I244:J244"/>
    <mergeCell ref="I245:J245"/>
    <mergeCell ref="I246:J246"/>
    <mergeCell ref="I247:J247"/>
    <mergeCell ref="I248:J248"/>
    <mergeCell ref="I249:J249"/>
    <mergeCell ref="I250:J250"/>
    <mergeCell ref="I251:J251"/>
    <mergeCell ref="I272:J272"/>
    <mergeCell ref="I273:J273"/>
    <mergeCell ref="I274:J274"/>
    <mergeCell ref="I275:J275"/>
    <mergeCell ref="I276:J276"/>
    <mergeCell ref="I277:J277"/>
    <mergeCell ref="I278:J278"/>
    <mergeCell ref="I279:J279"/>
    <mergeCell ref="I280:J280"/>
    <mergeCell ref="I263:J263"/>
    <mergeCell ref="I264:J264"/>
    <mergeCell ref="I265:J265"/>
    <mergeCell ref="I266:J266"/>
    <mergeCell ref="I267:J267"/>
    <mergeCell ref="I268:J268"/>
    <mergeCell ref="I269:J269"/>
    <mergeCell ref="I270:J270"/>
    <mergeCell ref="I271:J271"/>
    <mergeCell ref="I292:J292"/>
    <mergeCell ref="I293:J293"/>
    <mergeCell ref="I294:J294"/>
    <mergeCell ref="I295:J295"/>
    <mergeCell ref="I296:J296"/>
    <mergeCell ref="I297:J297"/>
    <mergeCell ref="I298:J298"/>
    <mergeCell ref="I299:J299"/>
    <mergeCell ref="I300:J300"/>
    <mergeCell ref="I283:J283"/>
    <mergeCell ref="I284:J284"/>
    <mergeCell ref="I285:J285"/>
    <mergeCell ref="I286:J286"/>
    <mergeCell ref="I287:J287"/>
    <mergeCell ref="I288:J288"/>
    <mergeCell ref="I289:J289"/>
    <mergeCell ref="I290:J290"/>
    <mergeCell ref="I291:J291"/>
    <mergeCell ref="I312:J312"/>
    <mergeCell ref="I313:J313"/>
    <mergeCell ref="I314:J314"/>
    <mergeCell ref="I315:J315"/>
    <mergeCell ref="I316:J316"/>
    <mergeCell ref="I317:J317"/>
    <mergeCell ref="I318:J318"/>
    <mergeCell ref="I319:J319"/>
    <mergeCell ref="I320:J320"/>
    <mergeCell ref="I303:J303"/>
    <mergeCell ref="I304:J304"/>
    <mergeCell ref="I305:J305"/>
    <mergeCell ref="I306:J306"/>
    <mergeCell ref="I307:J307"/>
    <mergeCell ref="I308:J308"/>
    <mergeCell ref="I309:J309"/>
    <mergeCell ref="I310:J310"/>
    <mergeCell ref="I311:J311"/>
    <mergeCell ref="I332:J332"/>
    <mergeCell ref="I333:J333"/>
    <mergeCell ref="I334:J334"/>
    <mergeCell ref="I335:J335"/>
    <mergeCell ref="I336:J336"/>
    <mergeCell ref="I337:J337"/>
    <mergeCell ref="I338:J338"/>
    <mergeCell ref="I339:J339"/>
    <mergeCell ref="I340:J340"/>
    <mergeCell ref="I323:J323"/>
    <mergeCell ref="I324:J324"/>
    <mergeCell ref="I325:J325"/>
    <mergeCell ref="I326:J326"/>
    <mergeCell ref="I327:J327"/>
    <mergeCell ref="I328:J328"/>
    <mergeCell ref="I329:J329"/>
    <mergeCell ref="I330:J330"/>
    <mergeCell ref="I331:J331"/>
    <mergeCell ref="I352:J352"/>
    <mergeCell ref="I353:J353"/>
    <mergeCell ref="I354:J354"/>
    <mergeCell ref="I355:J355"/>
    <mergeCell ref="I356:J356"/>
    <mergeCell ref="I357:J357"/>
    <mergeCell ref="I358:J358"/>
    <mergeCell ref="I359:J359"/>
    <mergeCell ref="I360:J360"/>
    <mergeCell ref="I343:J343"/>
    <mergeCell ref="I344:J344"/>
    <mergeCell ref="I345:J345"/>
    <mergeCell ref="I346:J346"/>
    <mergeCell ref="I347:J347"/>
    <mergeCell ref="I348:J348"/>
    <mergeCell ref="I349:J349"/>
    <mergeCell ref="I350:J350"/>
    <mergeCell ref="I351:J351"/>
    <mergeCell ref="I372:J372"/>
    <mergeCell ref="I373:J373"/>
    <mergeCell ref="I374:J374"/>
    <mergeCell ref="I375:J375"/>
    <mergeCell ref="I376:J376"/>
    <mergeCell ref="I377:J377"/>
    <mergeCell ref="I378:J378"/>
    <mergeCell ref="I379:J379"/>
    <mergeCell ref="I380:J380"/>
    <mergeCell ref="I363:J363"/>
    <mergeCell ref="I364:J364"/>
    <mergeCell ref="I365:J365"/>
    <mergeCell ref="I366:J366"/>
    <mergeCell ref="I367:J367"/>
    <mergeCell ref="I368:J368"/>
    <mergeCell ref="I369:J369"/>
    <mergeCell ref="I370:J370"/>
    <mergeCell ref="I371:J371"/>
    <mergeCell ref="I392:J392"/>
    <mergeCell ref="I393:J393"/>
    <mergeCell ref="I394:J394"/>
    <mergeCell ref="I395:J395"/>
    <mergeCell ref="I396:J396"/>
    <mergeCell ref="I397:J397"/>
    <mergeCell ref="I398:J398"/>
    <mergeCell ref="I399:J399"/>
    <mergeCell ref="I400:J400"/>
    <mergeCell ref="I383:J383"/>
    <mergeCell ref="I384:J384"/>
    <mergeCell ref="I385:J385"/>
    <mergeCell ref="I386:J386"/>
    <mergeCell ref="I387:J387"/>
    <mergeCell ref="I388:J388"/>
    <mergeCell ref="I389:J389"/>
    <mergeCell ref="I390:J390"/>
    <mergeCell ref="I391:J391"/>
    <mergeCell ref="I412:J412"/>
    <mergeCell ref="I413:J413"/>
    <mergeCell ref="I414:J414"/>
    <mergeCell ref="I415:J415"/>
    <mergeCell ref="I416:J416"/>
    <mergeCell ref="I417:J417"/>
    <mergeCell ref="I418:J418"/>
    <mergeCell ref="I419:J419"/>
    <mergeCell ref="I420:J420"/>
    <mergeCell ref="I403:J403"/>
    <mergeCell ref="I404:J404"/>
    <mergeCell ref="I405:J405"/>
    <mergeCell ref="I406:J406"/>
    <mergeCell ref="I407:J407"/>
    <mergeCell ref="I408:J408"/>
    <mergeCell ref="I409:J409"/>
    <mergeCell ref="I410:J410"/>
    <mergeCell ref="I411:J411"/>
    <mergeCell ref="I432:J432"/>
    <mergeCell ref="I433:J433"/>
    <mergeCell ref="I434:J434"/>
    <mergeCell ref="I435:J435"/>
    <mergeCell ref="I436:J436"/>
    <mergeCell ref="I437:J437"/>
    <mergeCell ref="I438:J438"/>
    <mergeCell ref="I439:J439"/>
    <mergeCell ref="I440:J440"/>
    <mergeCell ref="I423:J423"/>
    <mergeCell ref="I424:J424"/>
    <mergeCell ref="I425:J425"/>
    <mergeCell ref="I426:J426"/>
    <mergeCell ref="I427:J427"/>
    <mergeCell ref="I428:J428"/>
    <mergeCell ref="I429:J429"/>
    <mergeCell ref="I430:J430"/>
    <mergeCell ref="I431:J431"/>
    <mergeCell ref="I452:J452"/>
    <mergeCell ref="I453:J453"/>
    <mergeCell ref="I454:J454"/>
    <mergeCell ref="I455:J455"/>
    <mergeCell ref="I456:J456"/>
    <mergeCell ref="I457:J457"/>
    <mergeCell ref="I458:J458"/>
    <mergeCell ref="I459:J459"/>
    <mergeCell ref="I460:J460"/>
    <mergeCell ref="I443:J443"/>
    <mergeCell ref="I444:J444"/>
    <mergeCell ref="I445:J445"/>
    <mergeCell ref="I446:J446"/>
    <mergeCell ref="I447:J447"/>
    <mergeCell ref="I448:J448"/>
    <mergeCell ref="I449:J449"/>
    <mergeCell ref="I450:J450"/>
    <mergeCell ref="I451:J451"/>
    <mergeCell ref="I472:J472"/>
    <mergeCell ref="I473:J473"/>
    <mergeCell ref="I474:J474"/>
    <mergeCell ref="I475:J475"/>
    <mergeCell ref="I476:J476"/>
    <mergeCell ref="I477:J477"/>
    <mergeCell ref="I478:J478"/>
    <mergeCell ref="I479:J479"/>
    <mergeCell ref="I480:J480"/>
    <mergeCell ref="I463:J463"/>
    <mergeCell ref="I464:J464"/>
    <mergeCell ref="I465:J465"/>
    <mergeCell ref="I466:J466"/>
    <mergeCell ref="I467:J467"/>
    <mergeCell ref="I468:J468"/>
    <mergeCell ref="I469:J469"/>
    <mergeCell ref="I470:J470"/>
    <mergeCell ref="I471:J471"/>
    <mergeCell ref="I492:J492"/>
    <mergeCell ref="I493:J493"/>
    <mergeCell ref="I494:J494"/>
    <mergeCell ref="I495:J495"/>
    <mergeCell ref="I496:J496"/>
    <mergeCell ref="I497:J497"/>
    <mergeCell ref="I498:J498"/>
    <mergeCell ref="I499:J499"/>
    <mergeCell ref="I500:J500"/>
    <mergeCell ref="I483:J483"/>
    <mergeCell ref="I484:J484"/>
    <mergeCell ref="I485:J485"/>
    <mergeCell ref="I486:J486"/>
    <mergeCell ref="I487:J487"/>
    <mergeCell ref="I488:J488"/>
    <mergeCell ref="I489:J489"/>
    <mergeCell ref="I490:J490"/>
    <mergeCell ref="I491:J491"/>
    <mergeCell ref="I512:J512"/>
    <mergeCell ref="I513:J513"/>
    <mergeCell ref="I514:J514"/>
    <mergeCell ref="I515:J515"/>
    <mergeCell ref="I516:J516"/>
    <mergeCell ref="I517:J517"/>
    <mergeCell ref="I518:J518"/>
    <mergeCell ref="I519:J519"/>
    <mergeCell ref="I520:J520"/>
    <mergeCell ref="I503:J503"/>
    <mergeCell ref="I504:J504"/>
    <mergeCell ref="I505:J505"/>
    <mergeCell ref="I506:J506"/>
    <mergeCell ref="I507:J507"/>
    <mergeCell ref="I508:J508"/>
    <mergeCell ref="I509:J509"/>
    <mergeCell ref="I510:J510"/>
    <mergeCell ref="I511:J511"/>
    <mergeCell ref="I532:J532"/>
    <mergeCell ref="I533:J533"/>
    <mergeCell ref="I534:J534"/>
    <mergeCell ref="I535:J535"/>
    <mergeCell ref="I536:J536"/>
    <mergeCell ref="I537:J537"/>
    <mergeCell ref="I538:J538"/>
    <mergeCell ref="I539:J539"/>
    <mergeCell ref="I540:J540"/>
    <mergeCell ref="I523:J523"/>
    <mergeCell ref="I524:J524"/>
    <mergeCell ref="I525:J525"/>
    <mergeCell ref="I526:J526"/>
    <mergeCell ref="I527:J527"/>
    <mergeCell ref="I528:J528"/>
    <mergeCell ref="I529:J529"/>
    <mergeCell ref="I530:J530"/>
    <mergeCell ref="I531:J531"/>
    <mergeCell ref="I552:J552"/>
    <mergeCell ref="I553:J553"/>
    <mergeCell ref="I554:J554"/>
    <mergeCell ref="I555:J555"/>
    <mergeCell ref="I556:J556"/>
    <mergeCell ref="I557:J557"/>
    <mergeCell ref="I558:J558"/>
    <mergeCell ref="I559:J559"/>
    <mergeCell ref="I560:J560"/>
    <mergeCell ref="I543:J543"/>
    <mergeCell ref="I544:J544"/>
    <mergeCell ref="I545:J545"/>
    <mergeCell ref="I546:J546"/>
    <mergeCell ref="I547:J547"/>
    <mergeCell ref="I548:J548"/>
    <mergeCell ref="I549:J549"/>
    <mergeCell ref="I550:J550"/>
    <mergeCell ref="I551:J551"/>
    <mergeCell ref="I572:J572"/>
    <mergeCell ref="I573:J573"/>
    <mergeCell ref="I574:J574"/>
    <mergeCell ref="I575:J575"/>
    <mergeCell ref="I576:J576"/>
    <mergeCell ref="I577:J577"/>
    <mergeCell ref="I578:J578"/>
    <mergeCell ref="I579:J579"/>
    <mergeCell ref="I580:J580"/>
    <mergeCell ref="I563:J563"/>
    <mergeCell ref="I564:J564"/>
    <mergeCell ref="I565:J565"/>
    <mergeCell ref="I566:J566"/>
    <mergeCell ref="I567:J567"/>
    <mergeCell ref="I568:J568"/>
    <mergeCell ref="I569:J569"/>
    <mergeCell ref="I570:J570"/>
    <mergeCell ref="I571:J571"/>
    <mergeCell ref="I592:J592"/>
    <mergeCell ref="I593:J593"/>
    <mergeCell ref="I594:J594"/>
    <mergeCell ref="I595:J595"/>
    <mergeCell ref="I596:J596"/>
    <mergeCell ref="I597:J597"/>
    <mergeCell ref="I598:J598"/>
    <mergeCell ref="I599:J599"/>
    <mergeCell ref="I600:J600"/>
    <mergeCell ref="I583:J583"/>
    <mergeCell ref="I584:J584"/>
    <mergeCell ref="I585:J585"/>
    <mergeCell ref="I586:J586"/>
    <mergeCell ref="I587:J587"/>
    <mergeCell ref="I588:J588"/>
    <mergeCell ref="I589:J589"/>
    <mergeCell ref="I590:J590"/>
    <mergeCell ref="I591:J591"/>
    <mergeCell ref="I612:J612"/>
    <mergeCell ref="I613:J613"/>
    <mergeCell ref="I614:J614"/>
    <mergeCell ref="I615:J615"/>
    <mergeCell ref="I616:J616"/>
    <mergeCell ref="I617:J617"/>
    <mergeCell ref="I618:J618"/>
    <mergeCell ref="I619:J619"/>
    <mergeCell ref="I620:J620"/>
    <mergeCell ref="I603:J603"/>
    <mergeCell ref="I604:J604"/>
    <mergeCell ref="I605:J605"/>
    <mergeCell ref="I606:J606"/>
    <mergeCell ref="I607:J607"/>
    <mergeCell ref="I608:J608"/>
    <mergeCell ref="I609:J609"/>
    <mergeCell ref="I610:J610"/>
    <mergeCell ref="I611:J611"/>
    <mergeCell ref="I632:J632"/>
    <mergeCell ref="I633:J633"/>
    <mergeCell ref="I634:J634"/>
    <mergeCell ref="I635:J635"/>
    <mergeCell ref="I636:J636"/>
    <mergeCell ref="I637:J637"/>
    <mergeCell ref="I638:J638"/>
    <mergeCell ref="I639:J639"/>
    <mergeCell ref="I640:J640"/>
    <mergeCell ref="I623:J623"/>
    <mergeCell ref="I624:J624"/>
    <mergeCell ref="I625:J625"/>
    <mergeCell ref="I626:J626"/>
    <mergeCell ref="I627:J627"/>
    <mergeCell ref="I628:J628"/>
    <mergeCell ref="I629:J629"/>
    <mergeCell ref="I630:J630"/>
    <mergeCell ref="I631:J631"/>
    <mergeCell ref="I652:J652"/>
    <mergeCell ref="I653:J653"/>
    <mergeCell ref="I654:J654"/>
    <mergeCell ref="I655:J655"/>
    <mergeCell ref="I656:J656"/>
    <mergeCell ref="I657:J657"/>
    <mergeCell ref="I658:J658"/>
    <mergeCell ref="I659:J659"/>
    <mergeCell ref="I660:J660"/>
    <mergeCell ref="I643:J643"/>
    <mergeCell ref="I644:J644"/>
    <mergeCell ref="I645:J645"/>
    <mergeCell ref="I646:J646"/>
    <mergeCell ref="I647:J647"/>
    <mergeCell ref="I648:J648"/>
    <mergeCell ref="I649:J649"/>
    <mergeCell ref="I650:J650"/>
    <mergeCell ref="I651:J651"/>
    <mergeCell ref="I672:J672"/>
    <mergeCell ref="I673:J673"/>
    <mergeCell ref="I674:J674"/>
    <mergeCell ref="I675:J675"/>
    <mergeCell ref="I676:J676"/>
    <mergeCell ref="I677:J677"/>
    <mergeCell ref="I678:J678"/>
    <mergeCell ref="I679:J679"/>
    <mergeCell ref="I680:J680"/>
    <mergeCell ref="I663:J663"/>
    <mergeCell ref="I664:J664"/>
    <mergeCell ref="I665:J665"/>
    <mergeCell ref="I666:J666"/>
    <mergeCell ref="I667:J667"/>
    <mergeCell ref="I668:J668"/>
    <mergeCell ref="I669:J669"/>
    <mergeCell ref="I670:J670"/>
    <mergeCell ref="I671:J671"/>
    <mergeCell ref="I692:J692"/>
    <mergeCell ref="I693:J693"/>
    <mergeCell ref="I694:J694"/>
    <mergeCell ref="I695:J695"/>
    <mergeCell ref="I696:J696"/>
    <mergeCell ref="I697:J697"/>
    <mergeCell ref="I698:J698"/>
    <mergeCell ref="I699:J699"/>
    <mergeCell ref="I700:J700"/>
    <mergeCell ref="I683:J683"/>
    <mergeCell ref="I684:J684"/>
    <mergeCell ref="I685:J685"/>
    <mergeCell ref="I686:J686"/>
    <mergeCell ref="I687:J687"/>
    <mergeCell ref="I688:J688"/>
    <mergeCell ref="I689:J689"/>
    <mergeCell ref="I690:J690"/>
    <mergeCell ref="I691:J691"/>
    <mergeCell ref="I712:J712"/>
    <mergeCell ref="I713:J713"/>
    <mergeCell ref="I714:J714"/>
    <mergeCell ref="I715:J715"/>
    <mergeCell ref="I716:J716"/>
    <mergeCell ref="I717:J717"/>
    <mergeCell ref="I718:J718"/>
    <mergeCell ref="I719:J719"/>
    <mergeCell ref="I720:J720"/>
    <mergeCell ref="I703:J703"/>
    <mergeCell ref="I704:J704"/>
    <mergeCell ref="I705:J705"/>
    <mergeCell ref="I706:J706"/>
    <mergeCell ref="I707:J707"/>
    <mergeCell ref="I708:J708"/>
    <mergeCell ref="I709:J709"/>
    <mergeCell ref="I710:J710"/>
    <mergeCell ref="I711:J711"/>
    <mergeCell ref="I732:J732"/>
    <mergeCell ref="I733:J733"/>
    <mergeCell ref="I734:J734"/>
    <mergeCell ref="I735:J735"/>
    <mergeCell ref="I736:J736"/>
    <mergeCell ref="I737:J737"/>
    <mergeCell ref="I738:J738"/>
    <mergeCell ref="I739:J739"/>
    <mergeCell ref="I740:J740"/>
    <mergeCell ref="I723:J723"/>
    <mergeCell ref="I724:J724"/>
    <mergeCell ref="I725:J725"/>
    <mergeCell ref="I726:J726"/>
    <mergeCell ref="I727:J727"/>
    <mergeCell ref="I728:J728"/>
    <mergeCell ref="I729:J729"/>
    <mergeCell ref="I730:J730"/>
    <mergeCell ref="I731:J731"/>
    <mergeCell ref="I752:J752"/>
    <mergeCell ref="I753:J753"/>
    <mergeCell ref="I754:J754"/>
    <mergeCell ref="I755:J755"/>
    <mergeCell ref="I756:J756"/>
    <mergeCell ref="I757:J757"/>
    <mergeCell ref="I758:J758"/>
    <mergeCell ref="I759:J759"/>
    <mergeCell ref="I760:J760"/>
    <mergeCell ref="I743:J743"/>
    <mergeCell ref="I744:J744"/>
    <mergeCell ref="I745:J745"/>
    <mergeCell ref="I746:J746"/>
    <mergeCell ref="I747:J747"/>
    <mergeCell ref="I748:J748"/>
    <mergeCell ref="I749:J749"/>
    <mergeCell ref="I750:J750"/>
    <mergeCell ref="I751:J751"/>
    <mergeCell ref="I772:J772"/>
    <mergeCell ref="I773:J773"/>
    <mergeCell ref="I774:J774"/>
    <mergeCell ref="I775:J775"/>
    <mergeCell ref="I776:J776"/>
    <mergeCell ref="I777:J777"/>
    <mergeCell ref="I778:J778"/>
    <mergeCell ref="I779:J779"/>
    <mergeCell ref="I780:J780"/>
    <mergeCell ref="I763:J763"/>
    <mergeCell ref="I764:J764"/>
    <mergeCell ref="I765:J765"/>
    <mergeCell ref="I766:J766"/>
    <mergeCell ref="I767:J767"/>
    <mergeCell ref="I768:J768"/>
    <mergeCell ref="I769:J769"/>
    <mergeCell ref="I770:J770"/>
    <mergeCell ref="I771:J771"/>
    <mergeCell ref="I792:J792"/>
    <mergeCell ref="I793:J793"/>
    <mergeCell ref="I794:J794"/>
    <mergeCell ref="I795:J795"/>
    <mergeCell ref="I796:J796"/>
    <mergeCell ref="I797:J797"/>
    <mergeCell ref="I798:J798"/>
    <mergeCell ref="I799:J799"/>
    <mergeCell ref="I800:J800"/>
    <mergeCell ref="I783:J783"/>
    <mergeCell ref="I784:J784"/>
    <mergeCell ref="I785:J785"/>
    <mergeCell ref="I786:J786"/>
    <mergeCell ref="I787:J787"/>
    <mergeCell ref="I788:J788"/>
    <mergeCell ref="I789:J789"/>
    <mergeCell ref="I790:J790"/>
    <mergeCell ref="I791:J791"/>
    <mergeCell ref="I812:J812"/>
    <mergeCell ref="I813:J813"/>
    <mergeCell ref="I814:J814"/>
    <mergeCell ref="I815:J815"/>
    <mergeCell ref="I816:J816"/>
    <mergeCell ref="I817:J817"/>
    <mergeCell ref="I818:J818"/>
    <mergeCell ref="I819:J819"/>
    <mergeCell ref="I820:J820"/>
    <mergeCell ref="I803:J803"/>
    <mergeCell ref="I804:J804"/>
    <mergeCell ref="I805:J805"/>
    <mergeCell ref="I806:J806"/>
    <mergeCell ref="I807:J807"/>
    <mergeCell ref="I808:J808"/>
    <mergeCell ref="I809:J809"/>
    <mergeCell ref="I810:J810"/>
    <mergeCell ref="I811:J811"/>
    <mergeCell ref="I832:J832"/>
    <mergeCell ref="I833:J833"/>
    <mergeCell ref="I834:J834"/>
    <mergeCell ref="I835:J835"/>
    <mergeCell ref="I836:J836"/>
    <mergeCell ref="I837:J837"/>
    <mergeCell ref="I838:J838"/>
    <mergeCell ref="I839:J839"/>
    <mergeCell ref="I840:J840"/>
    <mergeCell ref="I823:J823"/>
    <mergeCell ref="I824:J824"/>
    <mergeCell ref="I825:J825"/>
    <mergeCell ref="I826:J826"/>
    <mergeCell ref="I827:J827"/>
    <mergeCell ref="I828:J828"/>
    <mergeCell ref="I829:J829"/>
    <mergeCell ref="I830:J830"/>
    <mergeCell ref="I831:J831"/>
    <mergeCell ref="I852:J852"/>
    <mergeCell ref="I853:J853"/>
    <mergeCell ref="I854:J854"/>
    <mergeCell ref="I855:J855"/>
    <mergeCell ref="I856:J856"/>
    <mergeCell ref="I857:J857"/>
    <mergeCell ref="I858:J858"/>
    <mergeCell ref="I859:J859"/>
    <mergeCell ref="I860:J860"/>
    <mergeCell ref="I843:J843"/>
    <mergeCell ref="I844:J844"/>
    <mergeCell ref="I845:J845"/>
    <mergeCell ref="I846:J846"/>
    <mergeCell ref="I847:J847"/>
    <mergeCell ref="I848:J848"/>
    <mergeCell ref="I849:J849"/>
    <mergeCell ref="I850:J850"/>
    <mergeCell ref="I851:J851"/>
    <mergeCell ref="I872:J872"/>
    <mergeCell ref="I873:J873"/>
    <mergeCell ref="I874:J874"/>
    <mergeCell ref="I875:J875"/>
    <mergeCell ref="I876:J876"/>
    <mergeCell ref="I877:J877"/>
    <mergeCell ref="I878:J878"/>
    <mergeCell ref="I879:J879"/>
    <mergeCell ref="I880:J880"/>
    <mergeCell ref="I863:J863"/>
    <mergeCell ref="I864:J864"/>
    <mergeCell ref="I865:J865"/>
    <mergeCell ref="I866:J866"/>
    <mergeCell ref="I867:J867"/>
    <mergeCell ref="I868:J868"/>
    <mergeCell ref="I869:J869"/>
    <mergeCell ref="I870:J870"/>
    <mergeCell ref="I871:J871"/>
    <mergeCell ref="I892:J892"/>
    <mergeCell ref="I893:J893"/>
    <mergeCell ref="I894:J894"/>
    <mergeCell ref="I895:J895"/>
    <mergeCell ref="I896:J896"/>
    <mergeCell ref="I897:J897"/>
    <mergeCell ref="I898:J898"/>
    <mergeCell ref="I899:J899"/>
    <mergeCell ref="I900:J900"/>
    <mergeCell ref="I883:J883"/>
    <mergeCell ref="I884:J884"/>
    <mergeCell ref="I885:J885"/>
    <mergeCell ref="I886:J886"/>
    <mergeCell ref="I887:J887"/>
    <mergeCell ref="I888:J888"/>
    <mergeCell ref="I889:J889"/>
    <mergeCell ref="I890:J890"/>
    <mergeCell ref="I891:J891"/>
    <mergeCell ref="I912:J912"/>
    <mergeCell ref="I913:J913"/>
    <mergeCell ref="I914:J914"/>
    <mergeCell ref="I915:J915"/>
    <mergeCell ref="I916:J916"/>
    <mergeCell ref="I917:J917"/>
    <mergeCell ref="I918:J918"/>
    <mergeCell ref="I919:J919"/>
    <mergeCell ref="I920:J920"/>
    <mergeCell ref="I903:J903"/>
    <mergeCell ref="I904:J904"/>
    <mergeCell ref="I905:J905"/>
    <mergeCell ref="I906:J906"/>
    <mergeCell ref="I907:J907"/>
    <mergeCell ref="I908:J908"/>
    <mergeCell ref="I909:J909"/>
    <mergeCell ref="I910:J910"/>
    <mergeCell ref="I911:J911"/>
    <mergeCell ref="I932:J932"/>
    <mergeCell ref="I933:J933"/>
    <mergeCell ref="I934:J934"/>
    <mergeCell ref="I935:J935"/>
    <mergeCell ref="I936:J936"/>
    <mergeCell ref="I937:J937"/>
    <mergeCell ref="I938:J938"/>
    <mergeCell ref="I939:J939"/>
    <mergeCell ref="I940:J940"/>
    <mergeCell ref="I923:J923"/>
    <mergeCell ref="I924:J924"/>
    <mergeCell ref="I925:J925"/>
    <mergeCell ref="I926:J926"/>
    <mergeCell ref="I927:J927"/>
    <mergeCell ref="I928:J928"/>
    <mergeCell ref="I929:J929"/>
    <mergeCell ref="I930:J930"/>
    <mergeCell ref="I931:J931"/>
    <mergeCell ref="I952:J952"/>
    <mergeCell ref="I953:J953"/>
    <mergeCell ref="I954:J954"/>
    <mergeCell ref="I955:J955"/>
    <mergeCell ref="I956:J956"/>
    <mergeCell ref="I957:J957"/>
    <mergeCell ref="I958:J958"/>
    <mergeCell ref="I959:J959"/>
    <mergeCell ref="I960:J960"/>
    <mergeCell ref="I943:J943"/>
    <mergeCell ref="I944:J944"/>
    <mergeCell ref="I945:J945"/>
    <mergeCell ref="I946:J946"/>
    <mergeCell ref="I947:J947"/>
    <mergeCell ref="I948:J948"/>
    <mergeCell ref="I949:J949"/>
    <mergeCell ref="I950:J950"/>
    <mergeCell ref="I951:J951"/>
    <mergeCell ref="I972:J972"/>
    <mergeCell ref="I973:J973"/>
    <mergeCell ref="I974:J974"/>
    <mergeCell ref="I975:J975"/>
    <mergeCell ref="I976:J976"/>
    <mergeCell ref="I977:J977"/>
    <mergeCell ref="I978:J978"/>
    <mergeCell ref="I979:J979"/>
    <mergeCell ref="I980:J980"/>
    <mergeCell ref="I963:J963"/>
    <mergeCell ref="I964:J964"/>
    <mergeCell ref="I965:J965"/>
    <mergeCell ref="I966:J966"/>
    <mergeCell ref="I967:J967"/>
    <mergeCell ref="I968:J968"/>
    <mergeCell ref="I969:J969"/>
    <mergeCell ref="I970:J970"/>
    <mergeCell ref="I971:J971"/>
    <mergeCell ref="I992:J992"/>
    <mergeCell ref="I993:J993"/>
    <mergeCell ref="I994:J994"/>
    <mergeCell ref="I995:J995"/>
    <mergeCell ref="I996:J996"/>
    <mergeCell ref="I997:J997"/>
    <mergeCell ref="I998:J998"/>
    <mergeCell ref="I999:J999"/>
    <mergeCell ref="I1000:J1000"/>
    <mergeCell ref="I983:J983"/>
    <mergeCell ref="I984:J984"/>
    <mergeCell ref="I985:J985"/>
    <mergeCell ref="I986:J986"/>
    <mergeCell ref="I987:J987"/>
    <mergeCell ref="I988:J988"/>
    <mergeCell ref="I989:J989"/>
    <mergeCell ref="I990:J990"/>
    <mergeCell ref="I991:J991"/>
    <mergeCell ref="I1012:J1012"/>
    <mergeCell ref="I1013:J1013"/>
    <mergeCell ref="I1014:J1014"/>
    <mergeCell ref="I1015:J1015"/>
    <mergeCell ref="I1016:J1016"/>
    <mergeCell ref="I1017:J1017"/>
    <mergeCell ref="I1018:J1018"/>
    <mergeCell ref="I1019:J1019"/>
    <mergeCell ref="I1020:J1020"/>
    <mergeCell ref="I1003:J1003"/>
    <mergeCell ref="I1004:J1004"/>
    <mergeCell ref="I1005:J1005"/>
    <mergeCell ref="I1006:J1006"/>
    <mergeCell ref="I1007:J1007"/>
    <mergeCell ref="I1008:J1008"/>
    <mergeCell ref="I1009:J1009"/>
    <mergeCell ref="I1010:J1010"/>
    <mergeCell ref="I1011:J1011"/>
    <mergeCell ref="I1032:J1032"/>
    <mergeCell ref="I1033:J1033"/>
    <mergeCell ref="I1034:J1034"/>
    <mergeCell ref="I1035:J1035"/>
    <mergeCell ref="I1036:J1036"/>
    <mergeCell ref="I1037:J1037"/>
    <mergeCell ref="I1038:J1038"/>
    <mergeCell ref="I1039:J1039"/>
    <mergeCell ref="I1040:J1040"/>
    <mergeCell ref="I1023:J1023"/>
    <mergeCell ref="I1024:J1024"/>
    <mergeCell ref="I1025:J1025"/>
    <mergeCell ref="I1026:J1026"/>
    <mergeCell ref="I1027:J1027"/>
    <mergeCell ref="I1028:J1028"/>
    <mergeCell ref="I1029:J1029"/>
    <mergeCell ref="I1030:J1030"/>
    <mergeCell ref="I1031:J1031"/>
    <mergeCell ref="I1052:J1052"/>
    <mergeCell ref="I1053:J1053"/>
    <mergeCell ref="I1054:J1054"/>
    <mergeCell ref="I1055:J1055"/>
    <mergeCell ref="I1056:J1056"/>
    <mergeCell ref="I1057:J1057"/>
    <mergeCell ref="I1058:J1058"/>
    <mergeCell ref="I1059:J1059"/>
    <mergeCell ref="I1060:J1060"/>
    <mergeCell ref="I1043:J1043"/>
    <mergeCell ref="I1044:J1044"/>
    <mergeCell ref="I1045:J1045"/>
    <mergeCell ref="I1046:J1046"/>
    <mergeCell ref="I1047:J1047"/>
    <mergeCell ref="I1048:J1048"/>
    <mergeCell ref="I1049:J1049"/>
    <mergeCell ref="I1050:J1050"/>
    <mergeCell ref="I1051:J1051"/>
    <mergeCell ref="I1072:J1072"/>
    <mergeCell ref="I1073:J1073"/>
    <mergeCell ref="I1074:J1074"/>
    <mergeCell ref="I1075:J1075"/>
    <mergeCell ref="I1076:J1076"/>
    <mergeCell ref="I1077:J1077"/>
    <mergeCell ref="I1078:J1078"/>
    <mergeCell ref="I1079:J1079"/>
    <mergeCell ref="I1080:J1080"/>
    <mergeCell ref="I1063:J1063"/>
    <mergeCell ref="I1064:J1064"/>
    <mergeCell ref="I1065:J1065"/>
    <mergeCell ref="I1066:J1066"/>
    <mergeCell ref="I1067:J1067"/>
    <mergeCell ref="I1068:J1068"/>
    <mergeCell ref="I1069:J1069"/>
    <mergeCell ref="I1070:J1070"/>
    <mergeCell ref="I1071:J1071"/>
    <mergeCell ref="I1092:J1092"/>
    <mergeCell ref="I1093:J1093"/>
    <mergeCell ref="I1094:J1094"/>
    <mergeCell ref="I1095:J1095"/>
    <mergeCell ref="I1096:J1096"/>
    <mergeCell ref="I1097:J1097"/>
    <mergeCell ref="I1098:J1098"/>
    <mergeCell ref="I1099:J1099"/>
    <mergeCell ref="I1100:J1100"/>
    <mergeCell ref="I1083:J1083"/>
    <mergeCell ref="I1084:J1084"/>
    <mergeCell ref="I1085:J1085"/>
    <mergeCell ref="I1086:J1086"/>
    <mergeCell ref="I1087:J1087"/>
    <mergeCell ref="I1088:J1088"/>
    <mergeCell ref="I1089:J1089"/>
    <mergeCell ref="I1090:J1090"/>
    <mergeCell ref="I1091:J1091"/>
    <mergeCell ref="I1112:J1112"/>
    <mergeCell ref="I1113:J1113"/>
    <mergeCell ref="I1114:J1114"/>
    <mergeCell ref="I1115:J1115"/>
    <mergeCell ref="I1116:J1116"/>
    <mergeCell ref="I1117:J1117"/>
    <mergeCell ref="I1118:J1118"/>
    <mergeCell ref="I1119:J1119"/>
    <mergeCell ref="I1120:J1120"/>
    <mergeCell ref="I1103:J1103"/>
    <mergeCell ref="I1104:J1104"/>
    <mergeCell ref="I1105:J1105"/>
    <mergeCell ref="I1106:J1106"/>
    <mergeCell ref="I1107:J1107"/>
    <mergeCell ref="I1108:J1108"/>
    <mergeCell ref="I1109:J1109"/>
    <mergeCell ref="I1110:J1110"/>
    <mergeCell ref="I1111:J1111"/>
    <mergeCell ref="I1132:J1132"/>
    <mergeCell ref="I1133:J1133"/>
    <mergeCell ref="I1134:J1134"/>
    <mergeCell ref="I1135:J1135"/>
    <mergeCell ref="I1136:J1136"/>
    <mergeCell ref="I1137:J1137"/>
    <mergeCell ref="I1138:J1138"/>
    <mergeCell ref="I1139:J1139"/>
    <mergeCell ref="I1140:J1140"/>
    <mergeCell ref="I1123:J1123"/>
    <mergeCell ref="I1124:J1124"/>
    <mergeCell ref="I1125:J1125"/>
    <mergeCell ref="I1126:J1126"/>
    <mergeCell ref="I1127:J1127"/>
    <mergeCell ref="I1128:J1128"/>
    <mergeCell ref="I1129:J1129"/>
    <mergeCell ref="I1130:J1130"/>
    <mergeCell ref="I1131:J1131"/>
    <mergeCell ref="I1152:J1152"/>
    <mergeCell ref="I1153:J1153"/>
    <mergeCell ref="I1154:J1154"/>
    <mergeCell ref="I1155:J1155"/>
    <mergeCell ref="I1156:J1156"/>
    <mergeCell ref="I1157:J1157"/>
    <mergeCell ref="I1158:J1158"/>
    <mergeCell ref="I1159:J1159"/>
    <mergeCell ref="I1160:J1160"/>
    <mergeCell ref="I1143:J1143"/>
    <mergeCell ref="I1144:J1144"/>
    <mergeCell ref="I1145:J1145"/>
    <mergeCell ref="I1146:J1146"/>
    <mergeCell ref="I1147:J1147"/>
    <mergeCell ref="I1148:J1148"/>
    <mergeCell ref="I1149:J1149"/>
    <mergeCell ref="I1150:J1150"/>
    <mergeCell ref="I1151:J1151"/>
    <mergeCell ref="I1172:J1172"/>
    <mergeCell ref="I1173:J1173"/>
    <mergeCell ref="I1174:J1174"/>
    <mergeCell ref="I1175:J1175"/>
    <mergeCell ref="I1176:J1176"/>
    <mergeCell ref="I1177:J1177"/>
    <mergeCell ref="I1178:J1178"/>
    <mergeCell ref="I1179:J1179"/>
    <mergeCell ref="I1180:J1180"/>
    <mergeCell ref="I1163:J1163"/>
    <mergeCell ref="I1164:J1164"/>
    <mergeCell ref="I1165:J1165"/>
    <mergeCell ref="I1166:J1166"/>
    <mergeCell ref="I1167:J1167"/>
    <mergeCell ref="I1168:J1168"/>
    <mergeCell ref="I1169:J1169"/>
    <mergeCell ref="I1170:J1170"/>
    <mergeCell ref="I1171:J1171"/>
    <mergeCell ref="I1192:J1192"/>
    <mergeCell ref="I1193:J1193"/>
    <mergeCell ref="I1194:J1194"/>
    <mergeCell ref="I1195:J1195"/>
    <mergeCell ref="I1196:J1196"/>
    <mergeCell ref="I1197:J1197"/>
    <mergeCell ref="I1198:J1198"/>
    <mergeCell ref="I1199:J1199"/>
    <mergeCell ref="I1200:J1200"/>
    <mergeCell ref="I1183:J1183"/>
    <mergeCell ref="I1184:J1184"/>
    <mergeCell ref="I1185:J1185"/>
    <mergeCell ref="I1186:J1186"/>
    <mergeCell ref="I1187:J1187"/>
    <mergeCell ref="I1188:J1188"/>
    <mergeCell ref="I1189:J1189"/>
    <mergeCell ref="I1190:J1190"/>
    <mergeCell ref="I1191:J1191"/>
    <mergeCell ref="I1212:J1212"/>
    <mergeCell ref="I1213:J1213"/>
    <mergeCell ref="I1214:J1214"/>
    <mergeCell ref="I1215:J1215"/>
    <mergeCell ref="I1216:J1216"/>
    <mergeCell ref="I1217:J1217"/>
    <mergeCell ref="I1218:J1218"/>
    <mergeCell ref="I1219:J1219"/>
    <mergeCell ref="I1220:J1220"/>
    <mergeCell ref="I1203:J1203"/>
    <mergeCell ref="I1204:J1204"/>
    <mergeCell ref="I1205:J1205"/>
    <mergeCell ref="I1206:J1206"/>
    <mergeCell ref="I1207:J1207"/>
    <mergeCell ref="I1208:J1208"/>
    <mergeCell ref="I1209:J1209"/>
    <mergeCell ref="I1210:J1210"/>
    <mergeCell ref="I1211:J1211"/>
    <mergeCell ref="I1232:J1232"/>
    <mergeCell ref="I1233:J1233"/>
    <mergeCell ref="I1234:J1234"/>
    <mergeCell ref="I1235:J1235"/>
    <mergeCell ref="I1236:J1236"/>
    <mergeCell ref="I1237:J1237"/>
    <mergeCell ref="I1238:J1238"/>
    <mergeCell ref="I1239:J1239"/>
    <mergeCell ref="I1240:J1240"/>
    <mergeCell ref="I1223:J1223"/>
    <mergeCell ref="I1224:J1224"/>
    <mergeCell ref="I1225:J1225"/>
    <mergeCell ref="I1226:J1226"/>
    <mergeCell ref="I1227:J1227"/>
    <mergeCell ref="I1228:J1228"/>
    <mergeCell ref="I1229:J1229"/>
    <mergeCell ref="I1230:J1230"/>
    <mergeCell ref="I1231:J1231"/>
    <mergeCell ref="I1252:J1252"/>
    <mergeCell ref="I1253:J1253"/>
    <mergeCell ref="I1254:J1254"/>
    <mergeCell ref="I1255:J1255"/>
    <mergeCell ref="I1256:J1256"/>
    <mergeCell ref="I1257:J1257"/>
    <mergeCell ref="I1258:J1258"/>
    <mergeCell ref="I1259:J1259"/>
    <mergeCell ref="I1260:J1260"/>
    <mergeCell ref="I1243:J1243"/>
    <mergeCell ref="I1244:J1244"/>
    <mergeCell ref="I1245:J1245"/>
    <mergeCell ref="I1246:J1246"/>
    <mergeCell ref="I1247:J1247"/>
    <mergeCell ref="I1248:J1248"/>
    <mergeCell ref="I1249:J1249"/>
    <mergeCell ref="I1250:J1250"/>
    <mergeCell ref="I1251:J1251"/>
    <mergeCell ref="I1272:J1272"/>
    <mergeCell ref="I1273:J1273"/>
    <mergeCell ref="I1274:J1274"/>
    <mergeCell ref="I1275:J1275"/>
    <mergeCell ref="I1276:J1276"/>
    <mergeCell ref="I1277:J1277"/>
    <mergeCell ref="I1278:J1278"/>
    <mergeCell ref="I1279:J1279"/>
    <mergeCell ref="I1280:J1280"/>
    <mergeCell ref="I1263:J1263"/>
    <mergeCell ref="I1264:J1264"/>
    <mergeCell ref="I1265:J1265"/>
    <mergeCell ref="I1266:J1266"/>
    <mergeCell ref="I1267:J1267"/>
    <mergeCell ref="I1268:J1268"/>
    <mergeCell ref="I1269:J1269"/>
    <mergeCell ref="I1270:J1270"/>
    <mergeCell ref="I1271:J1271"/>
    <mergeCell ref="I1292:J1292"/>
    <mergeCell ref="I1293:J1293"/>
    <mergeCell ref="I1294:J1294"/>
    <mergeCell ref="I1295:J1295"/>
    <mergeCell ref="I1296:J1296"/>
    <mergeCell ref="I1297:J1297"/>
    <mergeCell ref="I1298:J1298"/>
    <mergeCell ref="I1299:J1299"/>
    <mergeCell ref="I1300:J1300"/>
    <mergeCell ref="I1283:J1283"/>
    <mergeCell ref="I1284:J1284"/>
    <mergeCell ref="I1285:J1285"/>
    <mergeCell ref="I1286:J1286"/>
    <mergeCell ref="I1287:J1287"/>
    <mergeCell ref="I1288:J1288"/>
    <mergeCell ref="I1289:J1289"/>
    <mergeCell ref="I1290:J1290"/>
    <mergeCell ref="I1291:J1291"/>
    <mergeCell ref="I1312:J1312"/>
    <mergeCell ref="I1313:J1313"/>
    <mergeCell ref="I1314:J1314"/>
    <mergeCell ref="I1315:J1315"/>
    <mergeCell ref="I1316:J1316"/>
    <mergeCell ref="I1317:J1317"/>
    <mergeCell ref="I1318:J1318"/>
    <mergeCell ref="I1319:J1319"/>
    <mergeCell ref="I1320:J1320"/>
    <mergeCell ref="I1303:J1303"/>
    <mergeCell ref="I1304:J1304"/>
    <mergeCell ref="I1305:J1305"/>
    <mergeCell ref="I1306:J1306"/>
    <mergeCell ref="I1307:J1307"/>
    <mergeCell ref="I1308:J1308"/>
    <mergeCell ref="I1309:J1309"/>
    <mergeCell ref="I1310:J1310"/>
    <mergeCell ref="I1311:J1311"/>
    <mergeCell ref="I1332:J1332"/>
    <mergeCell ref="I1333:J1333"/>
    <mergeCell ref="I1334:J1334"/>
    <mergeCell ref="I1335:J1335"/>
    <mergeCell ref="I1336:J1336"/>
    <mergeCell ref="I1337:J1337"/>
    <mergeCell ref="I1338:J1338"/>
    <mergeCell ref="I1339:J1339"/>
    <mergeCell ref="I1340:J1340"/>
    <mergeCell ref="I1323:J1323"/>
    <mergeCell ref="I1324:J1324"/>
    <mergeCell ref="I1325:J1325"/>
    <mergeCell ref="I1326:J1326"/>
    <mergeCell ref="I1327:J1327"/>
    <mergeCell ref="I1328:J1328"/>
    <mergeCell ref="I1329:J1329"/>
    <mergeCell ref="I1330:J1330"/>
    <mergeCell ref="I1331:J1331"/>
    <mergeCell ref="I1352:J1352"/>
    <mergeCell ref="I1353:J1353"/>
    <mergeCell ref="I1354:J1354"/>
    <mergeCell ref="I1355:J1355"/>
    <mergeCell ref="I1356:J1356"/>
    <mergeCell ref="I1357:J1357"/>
    <mergeCell ref="I1358:J1358"/>
    <mergeCell ref="I1359:J1359"/>
    <mergeCell ref="I1360:J1360"/>
    <mergeCell ref="I1343:J1343"/>
    <mergeCell ref="I1344:J1344"/>
    <mergeCell ref="I1345:J1345"/>
    <mergeCell ref="I1346:J1346"/>
    <mergeCell ref="I1347:J1347"/>
    <mergeCell ref="I1348:J1348"/>
    <mergeCell ref="I1349:J1349"/>
    <mergeCell ref="I1350:J1350"/>
    <mergeCell ref="I1351:J1351"/>
    <mergeCell ref="I1372:J1372"/>
    <mergeCell ref="I1373:J1373"/>
    <mergeCell ref="I1374:J1374"/>
    <mergeCell ref="I1375:J1375"/>
    <mergeCell ref="I1376:J1376"/>
    <mergeCell ref="I1377:J1377"/>
    <mergeCell ref="I1378:J1378"/>
    <mergeCell ref="I1379:J1379"/>
    <mergeCell ref="I1380:J1380"/>
    <mergeCell ref="I1363:J1363"/>
    <mergeCell ref="I1364:J1364"/>
    <mergeCell ref="I1365:J1365"/>
    <mergeCell ref="I1366:J1366"/>
    <mergeCell ref="I1367:J1367"/>
    <mergeCell ref="I1368:J1368"/>
    <mergeCell ref="I1369:J1369"/>
    <mergeCell ref="I1370:J1370"/>
    <mergeCell ref="I1371:J1371"/>
    <mergeCell ref="I1392:J1392"/>
    <mergeCell ref="I1393:J1393"/>
    <mergeCell ref="I1394:J1394"/>
    <mergeCell ref="I1395:J1395"/>
    <mergeCell ref="I1396:J1396"/>
    <mergeCell ref="I1397:J1397"/>
    <mergeCell ref="I1398:J1398"/>
    <mergeCell ref="I1399:J1399"/>
    <mergeCell ref="I1400:J1400"/>
    <mergeCell ref="I1383:J1383"/>
    <mergeCell ref="I1384:J1384"/>
    <mergeCell ref="I1385:J1385"/>
    <mergeCell ref="I1386:J1386"/>
    <mergeCell ref="I1387:J1387"/>
    <mergeCell ref="I1388:J1388"/>
    <mergeCell ref="I1389:J1389"/>
    <mergeCell ref="I1390:J1390"/>
    <mergeCell ref="I1391:J1391"/>
    <mergeCell ref="I1412:J1412"/>
    <mergeCell ref="I1413:J1413"/>
    <mergeCell ref="I1414:J1414"/>
    <mergeCell ref="I1415:J1415"/>
    <mergeCell ref="I1416:J1416"/>
    <mergeCell ref="I1417:J1417"/>
    <mergeCell ref="I1418:J1418"/>
    <mergeCell ref="I1419:J1419"/>
    <mergeCell ref="I1420:J1420"/>
    <mergeCell ref="I1403:J1403"/>
    <mergeCell ref="I1404:J1404"/>
    <mergeCell ref="I1405:J1405"/>
    <mergeCell ref="I1406:J1406"/>
    <mergeCell ref="I1407:J1407"/>
    <mergeCell ref="I1408:J1408"/>
    <mergeCell ref="I1409:J1409"/>
    <mergeCell ref="I1410:J1410"/>
    <mergeCell ref="I1411:J1411"/>
    <mergeCell ref="I1432:J1432"/>
    <mergeCell ref="I1433:J1433"/>
    <mergeCell ref="I1434:J1434"/>
    <mergeCell ref="I1435:J1435"/>
    <mergeCell ref="I1436:J1436"/>
    <mergeCell ref="I1437:J1437"/>
    <mergeCell ref="I1438:J1438"/>
    <mergeCell ref="I1439:J1439"/>
    <mergeCell ref="I1440:J1440"/>
    <mergeCell ref="I1423:J1423"/>
    <mergeCell ref="I1424:J1424"/>
    <mergeCell ref="I1425:J1425"/>
    <mergeCell ref="I1426:J1426"/>
    <mergeCell ref="I1427:J1427"/>
    <mergeCell ref="I1428:J1428"/>
    <mergeCell ref="I1429:J1429"/>
    <mergeCell ref="I1430:J1430"/>
    <mergeCell ref="I1431:J1431"/>
    <mergeCell ref="I1452:J1452"/>
    <mergeCell ref="I1453:J1453"/>
    <mergeCell ref="I1454:J1454"/>
    <mergeCell ref="I1455:J1455"/>
    <mergeCell ref="I1456:J1456"/>
    <mergeCell ref="I1457:J1457"/>
    <mergeCell ref="I1458:J1458"/>
    <mergeCell ref="I1459:J1459"/>
    <mergeCell ref="I1460:J1460"/>
    <mergeCell ref="I1443:J1443"/>
    <mergeCell ref="I1444:J1444"/>
    <mergeCell ref="I1445:J1445"/>
    <mergeCell ref="I1446:J1446"/>
    <mergeCell ref="I1447:J1447"/>
    <mergeCell ref="I1448:J1448"/>
    <mergeCell ref="I1449:J1449"/>
    <mergeCell ref="I1450:J1450"/>
    <mergeCell ref="I1451:J1451"/>
    <mergeCell ref="I1472:J1472"/>
    <mergeCell ref="I1473:J1473"/>
    <mergeCell ref="I1474:J1474"/>
    <mergeCell ref="I1475:J1475"/>
    <mergeCell ref="I1476:J1476"/>
    <mergeCell ref="I1477:J1477"/>
    <mergeCell ref="I1478:J1478"/>
    <mergeCell ref="I1479:J1479"/>
    <mergeCell ref="I1480:J1480"/>
    <mergeCell ref="I1463:J1463"/>
    <mergeCell ref="I1464:J1464"/>
    <mergeCell ref="I1465:J1465"/>
    <mergeCell ref="I1466:J1466"/>
    <mergeCell ref="I1467:J1467"/>
    <mergeCell ref="I1468:J1468"/>
    <mergeCell ref="I1469:J1469"/>
    <mergeCell ref="I1470:J1470"/>
    <mergeCell ref="I1471:J1471"/>
    <mergeCell ref="I1492:J1492"/>
    <mergeCell ref="I1493:J1493"/>
    <mergeCell ref="I1494:J1494"/>
    <mergeCell ref="I1495:J1495"/>
    <mergeCell ref="I1496:J1496"/>
    <mergeCell ref="I1497:J1497"/>
    <mergeCell ref="I1498:J1498"/>
    <mergeCell ref="I1499:J1499"/>
    <mergeCell ref="I1500:J1500"/>
    <mergeCell ref="I1483:J1483"/>
    <mergeCell ref="I1484:J1484"/>
    <mergeCell ref="I1485:J1485"/>
    <mergeCell ref="I1486:J1486"/>
    <mergeCell ref="I1487:J1487"/>
    <mergeCell ref="I1488:J1488"/>
    <mergeCell ref="I1489:J1489"/>
    <mergeCell ref="I1490:J1490"/>
    <mergeCell ref="I1491:J1491"/>
    <mergeCell ref="I1512:J1512"/>
    <mergeCell ref="I1513:J1513"/>
    <mergeCell ref="I1514:J1514"/>
    <mergeCell ref="I1515:J1515"/>
    <mergeCell ref="I1516:J1516"/>
    <mergeCell ref="I1517:J1517"/>
    <mergeCell ref="I1518:J1518"/>
    <mergeCell ref="I1519:J1519"/>
    <mergeCell ref="I1520:J1520"/>
    <mergeCell ref="I1503:J1503"/>
    <mergeCell ref="I1504:J1504"/>
    <mergeCell ref="I1505:J1505"/>
    <mergeCell ref="I1506:J1506"/>
    <mergeCell ref="I1507:J1507"/>
    <mergeCell ref="I1508:J1508"/>
    <mergeCell ref="I1509:J1509"/>
    <mergeCell ref="I1510:J1510"/>
    <mergeCell ref="I1511:J1511"/>
    <mergeCell ref="I1532:J1532"/>
    <mergeCell ref="I1533:J1533"/>
    <mergeCell ref="I1534:J1534"/>
    <mergeCell ref="I1535:J1535"/>
    <mergeCell ref="I1536:J1536"/>
    <mergeCell ref="I1537:J1537"/>
    <mergeCell ref="I1538:J1538"/>
    <mergeCell ref="I1539:J1539"/>
    <mergeCell ref="I1540:J1540"/>
    <mergeCell ref="I1523:J1523"/>
    <mergeCell ref="I1524:J1524"/>
    <mergeCell ref="I1525:J1525"/>
    <mergeCell ref="I1526:J1526"/>
    <mergeCell ref="I1527:J1527"/>
    <mergeCell ref="I1528:J1528"/>
    <mergeCell ref="I1529:J1529"/>
    <mergeCell ref="I1530:J1530"/>
    <mergeCell ref="I1531:J1531"/>
    <mergeCell ref="I1552:J1552"/>
    <mergeCell ref="I1553:J1553"/>
    <mergeCell ref="I1554:J1554"/>
    <mergeCell ref="I1555:J1555"/>
    <mergeCell ref="I1556:J1556"/>
    <mergeCell ref="I1557:J1557"/>
    <mergeCell ref="I1558:J1558"/>
    <mergeCell ref="I1559:J1559"/>
    <mergeCell ref="I1560:J1560"/>
    <mergeCell ref="I1543:J1543"/>
    <mergeCell ref="I1544:J1544"/>
    <mergeCell ref="I1545:J1545"/>
    <mergeCell ref="I1546:J1546"/>
    <mergeCell ref="I1547:J1547"/>
    <mergeCell ref="I1548:J1548"/>
    <mergeCell ref="I1549:J1549"/>
    <mergeCell ref="I1550:J1550"/>
    <mergeCell ref="I1551:J1551"/>
    <mergeCell ref="I1572:J1572"/>
    <mergeCell ref="I1573:J1573"/>
    <mergeCell ref="I1574:J1574"/>
    <mergeCell ref="I1575:J1575"/>
    <mergeCell ref="I1576:J1576"/>
    <mergeCell ref="I1577:J1577"/>
    <mergeCell ref="I1578:J1578"/>
    <mergeCell ref="I1579:J1579"/>
    <mergeCell ref="I1580:J1580"/>
    <mergeCell ref="I1563:J1563"/>
    <mergeCell ref="I1564:J1564"/>
    <mergeCell ref="I1565:J1565"/>
    <mergeCell ref="I1566:J1566"/>
    <mergeCell ref="I1567:J1567"/>
    <mergeCell ref="I1568:J1568"/>
    <mergeCell ref="I1569:J1569"/>
    <mergeCell ref="I1570:J1570"/>
    <mergeCell ref="I1571:J1571"/>
    <mergeCell ref="I1592:J1592"/>
    <mergeCell ref="I1593:J1593"/>
    <mergeCell ref="I1594:J1594"/>
    <mergeCell ref="I1595:J1595"/>
    <mergeCell ref="I1596:J1596"/>
    <mergeCell ref="I1597:J1597"/>
    <mergeCell ref="I1598:J1598"/>
    <mergeCell ref="I1599:J1599"/>
    <mergeCell ref="I1600:J1600"/>
    <mergeCell ref="I1583:J1583"/>
    <mergeCell ref="I1584:J1584"/>
    <mergeCell ref="I1585:J1585"/>
    <mergeCell ref="I1586:J1586"/>
    <mergeCell ref="I1587:J1587"/>
    <mergeCell ref="I1588:J1588"/>
    <mergeCell ref="I1589:J1589"/>
    <mergeCell ref="I1590:J1590"/>
    <mergeCell ref="I1591:J1591"/>
    <mergeCell ref="I1612:J1612"/>
    <mergeCell ref="I1613:J1613"/>
    <mergeCell ref="I1614:J1614"/>
    <mergeCell ref="I1615:J1615"/>
    <mergeCell ref="I1616:J1616"/>
    <mergeCell ref="I1617:J1617"/>
    <mergeCell ref="I1618:J1618"/>
    <mergeCell ref="I1619:J1619"/>
    <mergeCell ref="I1620:J1620"/>
    <mergeCell ref="I1603:J1603"/>
    <mergeCell ref="I1604:J1604"/>
    <mergeCell ref="I1605:J1605"/>
    <mergeCell ref="I1606:J1606"/>
    <mergeCell ref="I1607:J1607"/>
    <mergeCell ref="I1608:J1608"/>
    <mergeCell ref="I1609:J1609"/>
    <mergeCell ref="I1610:J1610"/>
    <mergeCell ref="I1611:J1611"/>
    <mergeCell ref="I1632:J1632"/>
    <mergeCell ref="I1633:J1633"/>
    <mergeCell ref="I1634:J1634"/>
    <mergeCell ref="I1635:J1635"/>
    <mergeCell ref="I1636:J1636"/>
    <mergeCell ref="I1637:J1637"/>
    <mergeCell ref="I1638:J1638"/>
    <mergeCell ref="I1639:J1639"/>
    <mergeCell ref="I1640:J1640"/>
    <mergeCell ref="I1623:J1623"/>
    <mergeCell ref="I1624:J1624"/>
    <mergeCell ref="I1625:J1625"/>
    <mergeCell ref="I1626:J1626"/>
    <mergeCell ref="I1627:J1627"/>
    <mergeCell ref="I1628:J1628"/>
    <mergeCell ref="I1629:J1629"/>
    <mergeCell ref="I1630:J1630"/>
    <mergeCell ref="I1631:J1631"/>
    <mergeCell ref="I1652:J1652"/>
    <mergeCell ref="I1653:J1653"/>
    <mergeCell ref="I1654:J1654"/>
    <mergeCell ref="I1655:J1655"/>
    <mergeCell ref="I1656:J1656"/>
    <mergeCell ref="I1657:J1657"/>
    <mergeCell ref="I1658:J1658"/>
    <mergeCell ref="I1659:J1659"/>
    <mergeCell ref="I1660:J1660"/>
    <mergeCell ref="I1643:J1643"/>
    <mergeCell ref="I1644:J1644"/>
    <mergeCell ref="I1645:J1645"/>
    <mergeCell ref="I1646:J1646"/>
    <mergeCell ref="I1647:J1647"/>
    <mergeCell ref="I1648:J1648"/>
    <mergeCell ref="I1649:J1649"/>
    <mergeCell ref="I1650:J1650"/>
    <mergeCell ref="I1651:J1651"/>
    <mergeCell ref="I1672:J1672"/>
    <mergeCell ref="I1673:J1673"/>
    <mergeCell ref="I1674:J1674"/>
    <mergeCell ref="I1675:J1675"/>
    <mergeCell ref="I1676:J1676"/>
    <mergeCell ref="I1677:J1677"/>
    <mergeCell ref="I1678:J1678"/>
    <mergeCell ref="I1679:J1679"/>
    <mergeCell ref="I1680:J1680"/>
    <mergeCell ref="I1663:J1663"/>
    <mergeCell ref="I1664:J1664"/>
    <mergeCell ref="I1665:J1665"/>
    <mergeCell ref="I1666:J1666"/>
    <mergeCell ref="I1667:J1667"/>
    <mergeCell ref="I1668:J1668"/>
    <mergeCell ref="I1669:J1669"/>
    <mergeCell ref="I1670:J1670"/>
    <mergeCell ref="I1671:J1671"/>
    <mergeCell ref="I1692:J1692"/>
    <mergeCell ref="I1693:J1693"/>
    <mergeCell ref="I1694:J1694"/>
    <mergeCell ref="I1695:J1695"/>
    <mergeCell ref="I1696:J1696"/>
    <mergeCell ref="I1697:J1697"/>
    <mergeCell ref="I1698:J1698"/>
    <mergeCell ref="I1699:J1699"/>
    <mergeCell ref="I1700:J1700"/>
    <mergeCell ref="I1683:J1683"/>
    <mergeCell ref="I1684:J1684"/>
    <mergeCell ref="I1685:J1685"/>
    <mergeCell ref="I1686:J1686"/>
    <mergeCell ref="I1687:J1687"/>
    <mergeCell ref="I1688:J1688"/>
    <mergeCell ref="I1689:J1689"/>
    <mergeCell ref="I1690:J1690"/>
    <mergeCell ref="I1691:J1691"/>
    <mergeCell ref="I1712:J1712"/>
    <mergeCell ref="I1713:J1713"/>
    <mergeCell ref="I1714:J1714"/>
    <mergeCell ref="I1715:J1715"/>
    <mergeCell ref="I1716:J1716"/>
    <mergeCell ref="I1717:J1717"/>
    <mergeCell ref="I1718:J1718"/>
    <mergeCell ref="I1719:J1719"/>
    <mergeCell ref="I1720:J1720"/>
    <mergeCell ref="I1703:J1703"/>
    <mergeCell ref="I1704:J1704"/>
    <mergeCell ref="I1705:J1705"/>
    <mergeCell ref="I1706:J1706"/>
    <mergeCell ref="I1707:J1707"/>
    <mergeCell ref="I1708:J1708"/>
    <mergeCell ref="I1709:J1709"/>
    <mergeCell ref="I1710:J1710"/>
    <mergeCell ref="I1711:J1711"/>
    <mergeCell ref="I1732:J1732"/>
    <mergeCell ref="I1733:J1733"/>
    <mergeCell ref="I1734:J1734"/>
    <mergeCell ref="I1735:J1735"/>
    <mergeCell ref="I1736:J1736"/>
    <mergeCell ref="I1737:J1737"/>
    <mergeCell ref="I1738:J1738"/>
    <mergeCell ref="I1739:J1739"/>
    <mergeCell ref="I1740:J1740"/>
    <mergeCell ref="I1723:J1723"/>
    <mergeCell ref="I1724:J1724"/>
    <mergeCell ref="I1725:J1725"/>
    <mergeCell ref="I1726:J1726"/>
    <mergeCell ref="I1727:J1727"/>
    <mergeCell ref="I1728:J1728"/>
    <mergeCell ref="I1729:J1729"/>
    <mergeCell ref="I1730:J1730"/>
    <mergeCell ref="I1731:J1731"/>
    <mergeCell ref="I1752:J1752"/>
    <mergeCell ref="I1753:J1753"/>
    <mergeCell ref="I1754:J1754"/>
    <mergeCell ref="I1755:J1755"/>
    <mergeCell ref="I1756:J1756"/>
    <mergeCell ref="I1757:J1757"/>
    <mergeCell ref="I1758:J1758"/>
    <mergeCell ref="I1759:J1759"/>
    <mergeCell ref="I1760:J1760"/>
    <mergeCell ref="I1743:J1743"/>
    <mergeCell ref="I1744:J1744"/>
    <mergeCell ref="I1745:J1745"/>
    <mergeCell ref="I1746:J1746"/>
    <mergeCell ref="I1747:J1747"/>
    <mergeCell ref="I1748:J1748"/>
    <mergeCell ref="I1749:J1749"/>
    <mergeCell ref="I1750:J1750"/>
    <mergeCell ref="I1751:J1751"/>
    <mergeCell ref="I1772:J1772"/>
    <mergeCell ref="I1773:J1773"/>
    <mergeCell ref="I1774:J1774"/>
    <mergeCell ref="I1775:J1775"/>
    <mergeCell ref="I1776:J1776"/>
    <mergeCell ref="I1777:J1777"/>
    <mergeCell ref="I1778:J1778"/>
    <mergeCell ref="I1779:J1779"/>
    <mergeCell ref="I1780:J1780"/>
    <mergeCell ref="I1763:J1763"/>
    <mergeCell ref="I1764:J1764"/>
    <mergeCell ref="I1765:J1765"/>
    <mergeCell ref="I1766:J1766"/>
    <mergeCell ref="I1767:J1767"/>
    <mergeCell ref="I1768:J1768"/>
    <mergeCell ref="I1769:J1769"/>
    <mergeCell ref="I1770:J1770"/>
    <mergeCell ref="I1771:J1771"/>
    <mergeCell ref="I1792:J1792"/>
    <mergeCell ref="I1793:J1793"/>
    <mergeCell ref="I1794:J1794"/>
    <mergeCell ref="I1795:J1795"/>
    <mergeCell ref="I1796:J1796"/>
    <mergeCell ref="I1797:J1797"/>
    <mergeCell ref="I1798:J1798"/>
    <mergeCell ref="I1799:J1799"/>
    <mergeCell ref="I1800:J1800"/>
    <mergeCell ref="I1783:J1783"/>
    <mergeCell ref="I1784:J1784"/>
    <mergeCell ref="I1785:J1785"/>
    <mergeCell ref="I1786:J1786"/>
    <mergeCell ref="I1787:J1787"/>
    <mergeCell ref="I1788:J1788"/>
    <mergeCell ref="I1789:J1789"/>
    <mergeCell ref="I1790:J1790"/>
    <mergeCell ref="I1791:J1791"/>
    <mergeCell ref="I1812:J1812"/>
    <mergeCell ref="I1813:J1813"/>
    <mergeCell ref="I1814:J1814"/>
    <mergeCell ref="I1815:J1815"/>
    <mergeCell ref="I1816:J1816"/>
    <mergeCell ref="I1817:J1817"/>
    <mergeCell ref="I1818:J1818"/>
    <mergeCell ref="I1819:J1819"/>
    <mergeCell ref="I1820:J1820"/>
    <mergeCell ref="I1803:J1803"/>
    <mergeCell ref="I1804:J1804"/>
    <mergeCell ref="I1805:J1805"/>
    <mergeCell ref="I1806:J1806"/>
    <mergeCell ref="I1807:J1807"/>
    <mergeCell ref="I1808:J1808"/>
    <mergeCell ref="I1809:J1809"/>
    <mergeCell ref="I1810:J1810"/>
    <mergeCell ref="I1811:J1811"/>
    <mergeCell ref="I1832:J1832"/>
    <mergeCell ref="I1833:J1833"/>
    <mergeCell ref="I1834:J1834"/>
    <mergeCell ref="I1835:J1835"/>
    <mergeCell ref="I1836:J1836"/>
    <mergeCell ref="I1837:J1837"/>
    <mergeCell ref="I1838:J1838"/>
    <mergeCell ref="I1839:J1839"/>
    <mergeCell ref="I1840:J1840"/>
    <mergeCell ref="I1823:J1823"/>
    <mergeCell ref="I1824:J1824"/>
    <mergeCell ref="I1825:J1825"/>
    <mergeCell ref="I1826:J1826"/>
    <mergeCell ref="I1827:J1827"/>
    <mergeCell ref="I1828:J1828"/>
    <mergeCell ref="I1829:J1829"/>
    <mergeCell ref="I1830:J1830"/>
    <mergeCell ref="I1831:J1831"/>
    <mergeCell ref="I1852:J1852"/>
    <mergeCell ref="I1853:J1853"/>
    <mergeCell ref="I1854:J1854"/>
    <mergeCell ref="I1855:J1855"/>
    <mergeCell ref="I1856:J1856"/>
    <mergeCell ref="I1857:J1857"/>
    <mergeCell ref="I1858:J1858"/>
    <mergeCell ref="I1859:J1859"/>
    <mergeCell ref="I1860:J1860"/>
    <mergeCell ref="I1843:J1843"/>
    <mergeCell ref="I1844:J1844"/>
    <mergeCell ref="I1845:J1845"/>
    <mergeCell ref="I1846:J1846"/>
    <mergeCell ref="I1847:J1847"/>
    <mergeCell ref="I1848:J1848"/>
    <mergeCell ref="I1849:J1849"/>
    <mergeCell ref="I1850:J1850"/>
    <mergeCell ref="I1851:J1851"/>
    <mergeCell ref="I1872:J1872"/>
    <mergeCell ref="I1873:J1873"/>
    <mergeCell ref="I1874:J1874"/>
    <mergeCell ref="I1875:J1875"/>
    <mergeCell ref="I1876:J1876"/>
    <mergeCell ref="I1877:J1877"/>
    <mergeCell ref="I1878:J1878"/>
    <mergeCell ref="I1879:J1879"/>
    <mergeCell ref="I1880:J1880"/>
    <mergeCell ref="I1863:J1863"/>
    <mergeCell ref="I1864:J1864"/>
    <mergeCell ref="I1865:J1865"/>
    <mergeCell ref="I1866:J1866"/>
    <mergeCell ref="I1867:J1867"/>
    <mergeCell ref="I1868:J1868"/>
    <mergeCell ref="I1869:J1869"/>
    <mergeCell ref="I1870:J1870"/>
    <mergeCell ref="I1871:J1871"/>
    <mergeCell ref="I1892:J1892"/>
    <mergeCell ref="I1893:J1893"/>
    <mergeCell ref="I1894:J1894"/>
    <mergeCell ref="I1895:J1895"/>
    <mergeCell ref="I1896:J1896"/>
    <mergeCell ref="I1897:J1897"/>
    <mergeCell ref="I1898:J1898"/>
    <mergeCell ref="I1899:J1899"/>
    <mergeCell ref="I1900:J1900"/>
    <mergeCell ref="I1883:J1883"/>
    <mergeCell ref="I1884:J1884"/>
    <mergeCell ref="I1885:J1885"/>
    <mergeCell ref="I1886:J1886"/>
    <mergeCell ref="I1887:J1887"/>
    <mergeCell ref="I1888:J1888"/>
    <mergeCell ref="I1889:J1889"/>
    <mergeCell ref="I1890:J1890"/>
    <mergeCell ref="I1891:J1891"/>
    <mergeCell ref="I1912:J1912"/>
    <mergeCell ref="I1913:J1913"/>
    <mergeCell ref="I1914:J1914"/>
    <mergeCell ref="I1915:J1915"/>
    <mergeCell ref="I1916:J1916"/>
    <mergeCell ref="I1917:J1917"/>
    <mergeCell ref="I1918:J1918"/>
    <mergeCell ref="I1919:J1919"/>
    <mergeCell ref="I1920:J1920"/>
    <mergeCell ref="I1903:J1903"/>
    <mergeCell ref="I1904:J1904"/>
    <mergeCell ref="I1905:J1905"/>
    <mergeCell ref="I1906:J1906"/>
    <mergeCell ref="I1907:J1907"/>
    <mergeCell ref="I1908:J1908"/>
    <mergeCell ref="I1909:J1909"/>
    <mergeCell ref="I1910:J1910"/>
    <mergeCell ref="I1911:J1911"/>
    <mergeCell ref="I1932:J1932"/>
    <mergeCell ref="I1933:J1933"/>
    <mergeCell ref="I1934:J1934"/>
    <mergeCell ref="I1935:J1935"/>
    <mergeCell ref="I1936:J1936"/>
    <mergeCell ref="I1937:J1937"/>
    <mergeCell ref="I1938:J1938"/>
    <mergeCell ref="I1939:J1939"/>
    <mergeCell ref="I1940:J1940"/>
    <mergeCell ref="I1923:J1923"/>
    <mergeCell ref="I1924:J1924"/>
    <mergeCell ref="I1925:J1925"/>
    <mergeCell ref="I1926:J1926"/>
    <mergeCell ref="I1927:J1927"/>
    <mergeCell ref="I1928:J1928"/>
    <mergeCell ref="I1929:J1929"/>
    <mergeCell ref="I1930:J1930"/>
    <mergeCell ref="I1931:J1931"/>
    <mergeCell ref="I1952:J1952"/>
    <mergeCell ref="I1953:J1953"/>
    <mergeCell ref="I1954:J1954"/>
    <mergeCell ref="I1955:J1955"/>
    <mergeCell ref="I1956:J1956"/>
    <mergeCell ref="I1957:J1957"/>
    <mergeCell ref="I1958:J1958"/>
    <mergeCell ref="I1959:J1959"/>
    <mergeCell ref="I1960:J1960"/>
    <mergeCell ref="I1943:J1943"/>
    <mergeCell ref="I1944:J1944"/>
    <mergeCell ref="I1945:J1945"/>
    <mergeCell ref="I1946:J1946"/>
    <mergeCell ref="I1947:J1947"/>
    <mergeCell ref="I1948:J1948"/>
    <mergeCell ref="I1949:J1949"/>
    <mergeCell ref="I1950:J1950"/>
    <mergeCell ref="I1951:J1951"/>
    <mergeCell ref="I1972:J1972"/>
    <mergeCell ref="I1973:J1973"/>
    <mergeCell ref="I1974:J1974"/>
    <mergeCell ref="I1975:J1975"/>
    <mergeCell ref="I1976:J1976"/>
    <mergeCell ref="I1977:J1977"/>
    <mergeCell ref="I1978:J1978"/>
    <mergeCell ref="I1979:J1979"/>
    <mergeCell ref="I1980:J1980"/>
    <mergeCell ref="I1963:J1963"/>
    <mergeCell ref="I1964:J1964"/>
    <mergeCell ref="I1965:J1965"/>
    <mergeCell ref="I1966:J1966"/>
    <mergeCell ref="I1967:J1967"/>
    <mergeCell ref="I1968:J1968"/>
    <mergeCell ref="I1969:J1969"/>
    <mergeCell ref="I1970:J1970"/>
    <mergeCell ref="I1971:J1971"/>
    <mergeCell ref="I1992:J1992"/>
    <mergeCell ref="I1993:J1993"/>
    <mergeCell ref="I1994:J1994"/>
    <mergeCell ref="I1995:J1995"/>
    <mergeCell ref="I1996:J1996"/>
    <mergeCell ref="I1997:J1997"/>
    <mergeCell ref="I1998:J1998"/>
    <mergeCell ref="I1999:J1999"/>
    <mergeCell ref="I2000:J2000"/>
    <mergeCell ref="I1983:J1983"/>
    <mergeCell ref="I1984:J1984"/>
    <mergeCell ref="I1985:J1985"/>
    <mergeCell ref="I1986:J1986"/>
    <mergeCell ref="I1987:J1987"/>
    <mergeCell ref="I1988:J1988"/>
    <mergeCell ref="I1989:J1989"/>
    <mergeCell ref="I1990:J1990"/>
    <mergeCell ref="I1991:J1991"/>
    <mergeCell ref="I2012:J2012"/>
    <mergeCell ref="I2013:J2013"/>
    <mergeCell ref="I2014:J2014"/>
    <mergeCell ref="I2015:J2015"/>
    <mergeCell ref="I2016:J2016"/>
    <mergeCell ref="I2017:J2017"/>
    <mergeCell ref="I2018:J2018"/>
    <mergeCell ref="I2019:J2019"/>
    <mergeCell ref="I2020:J2020"/>
    <mergeCell ref="I2003:J2003"/>
    <mergeCell ref="I2004:J2004"/>
    <mergeCell ref="I2005:J2005"/>
    <mergeCell ref="I2006:J2006"/>
    <mergeCell ref="I2007:J2007"/>
    <mergeCell ref="I2008:J2008"/>
    <mergeCell ref="I2009:J2009"/>
    <mergeCell ref="I2010:J2010"/>
    <mergeCell ref="I2011:J2011"/>
    <mergeCell ref="I2032:J2032"/>
    <mergeCell ref="I2033:J2033"/>
    <mergeCell ref="I2034:J2034"/>
    <mergeCell ref="I2035:J2035"/>
    <mergeCell ref="I2036:J2036"/>
    <mergeCell ref="I2037:J2037"/>
    <mergeCell ref="I2038:J2038"/>
    <mergeCell ref="I2039:J2039"/>
    <mergeCell ref="I2040:J2040"/>
    <mergeCell ref="I2023:J2023"/>
    <mergeCell ref="I2024:J2024"/>
    <mergeCell ref="I2025:J2025"/>
    <mergeCell ref="I2026:J2026"/>
    <mergeCell ref="I2027:J2027"/>
    <mergeCell ref="I2028:J2028"/>
    <mergeCell ref="I2029:J2029"/>
    <mergeCell ref="I2030:J2030"/>
    <mergeCell ref="I2031:J2031"/>
    <mergeCell ref="I2052:J2052"/>
    <mergeCell ref="I2053:J2053"/>
    <mergeCell ref="I2054:J2054"/>
    <mergeCell ref="I2055:J2055"/>
    <mergeCell ref="I2056:J2056"/>
    <mergeCell ref="I2057:J2057"/>
    <mergeCell ref="I2058:J2058"/>
    <mergeCell ref="I2059:J2059"/>
    <mergeCell ref="I2060:J2060"/>
    <mergeCell ref="I2043:J2043"/>
    <mergeCell ref="I2044:J2044"/>
    <mergeCell ref="I2045:J2045"/>
    <mergeCell ref="I2046:J2046"/>
    <mergeCell ref="I2047:J2047"/>
    <mergeCell ref="I2048:J2048"/>
    <mergeCell ref="I2049:J2049"/>
    <mergeCell ref="I2050:J2050"/>
    <mergeCell ref="I2051:J2051"/>
    <mergeCell ref="I2072:J2072"/>
    <mergeCell ref="I2073:J2073"/>
    <mergeCell ref="I2074:J2074"/>
    <mergeCell ref="I2075:J2075"/>
    <mergeCell ref="I2076:J2076"/>
    <mergeCell ref="I2077:J2077"/>
    <mergeCell ref="I2078:J2078"/>
    <mergeCell ref="I2079:J2079"/>
    <mergeCell ref="I2080:J2080"/>
    <mergeCell ref="I2063:J2063"/>
    <mergeCell ref="I2064:J2064"/>
    <mergeCell ref="I2065:J2065"/>
    <mergeCell ref="I2066:J2066"/>
    <mergeCell ref="I2067:J2067"/>
    <mergeCell ref="I2068:J2068"/>
    <mergeCell ref="I2069:J2069"/>
    <mergeCell ref="I2070:J2070"/>
    <mergeCell ref="I2071:J2071"/>
    <mergeCell ref="I2092:J2092"/>
    <mergeCell ref="I2093:J2093"/>
    <mergeCell ref="I2094:J2094"/>
    <mergeCell ref="I2095:J2095"/>
    <mergeCell ref="I2096:J2096"/>
    <mergeCell ref="I2097:J2097"/>
    <mergeCell ref="I2098:J2098"/>
    <mergeCell ref="I2099:J2099"/>
    <mergeCell ref="I2100:J2100"/>
    <mergeCell ref="I2083:J2083"/>
    <mergeCell ref="I2084:J2084"/>
    <mergeCell ref="I2085:J2085"/>
    <mergeCell ref="I2086:J2086"/>
    <mergeCell ref="I2087:J2087"/>
    <mergeCell ref="I2088:J2088"/>
    <mergeCell ref="I2089:J2089"/>
    <mergeCell ref="I2090:J2090"/>
    <mergeCell ref="I2091:J2091"/>
    <mergeCell ref="I2112:J2112"/>
    <mergeCell ref="I2113:J2113"/>
    <mergeCell ref="I2114:J2114"/>
    <mergeCell ref="I2115:J2115"/>
    <mergeCell ref="I2116:J2116"/>
    <mergeCell ref="I2117:J2117"/>
    <mergeCell ref="I2118:J2118"/>
    <mergeCell ref="I2119:J2119"/>
    <mergeCell ref="I2120:J2120"/>
    <mergeCell ref="I2103:J2103"/>
    <mergeCell ref="I2104:J2104"/>
    <mergeCell ref="I2105:J2105"/>
    <mergeCell ref="I2106:J2106"/>
    <mergeCell ref="I2107:J2107"/>
    <mergeCell ref="I2108:J2108"/>
    <mergeCell ref="I2109:J2109"/>
    <mergeCell ref="I2110:J2110"/>
    <mergeCell ref="I2111:J2111"/>
    <mergeCell ref="I2132:J2132"/>
    <mergeCell ref="I2133:J2133"/>
    <mergeCell ref="I2134:J2134"/>
    <mergeCell ref="I2135:J2135"/>
    <mergeCell ref="I2136:J2136"/>
    <mergeCell ref="I2137:J2137"/>
    <mergeCell ref="I2138:J2138"/>
    <mergeCell ref="I2139:J2139"/>
    <mergeCell ref="I2140:J2140"/>
    <mergeCell ref="I2123:J2123"/>
    <mergeCell ref="I2124:J2124"/>
    <mergeCell ref="I2125:J2125"/>
    <mergeCell ref="I2126:J2126"/>
    <mergeCell ref="I2127:J2127"/>
    <mergeCell ref="I2128:J2128"/>
    <mergeCell ref="I2129:J2129"/>
    <mergeCell ref="I2130:J2130"/>
    <mergeCell ref="I2131:J2131"/>
    <mergeCell ref="I2152:J2152"/>
    <mergeCell ref="I2153:J2153"/>
    <mergeCell ref="I2154:J2154"/>
    <mergeCell ref="I2155:J2155"/>
    <mergeCell ref="I2156:J2156"/>
    <mergeCell ref="I2157:J2157"/>
    <mergeCell ref="I2158:J2158"/>
    <mergeCell ref="I2159:J2159"/>
    <mergeCell ref="I2160:J2160"/>
    <mergeCell ref="I2143:J2143"/>
    <mergeCell ref="I2144:J2144"/>
    <mergeCell ref="I2145:J2145"/>
    <mergeCell ref="I2146:J2146"/>
    <mergeCell ref="I2147:J2147"/>
    <mergeCell ref="I2148:J2148"/>
    <mergeCell ref="I2149:J2149"/>
    <mergeCell ref="I2150:J2150"/>
    <mergeCell ref="I2151:J2151"/>
    <mergeCell ref="I2172:J2172"/>
    <mergeCell ref="I2173:J2173"/>
    <mergeCell ref="I2174:J2174"/>
    <mergeCell ref="I2175:J2175"/>
    <mergeCell ref="I2176:J2176"/>
    <mergeCell ref="I2177:J2177"/>
    <mergeCell ref="I2178:J2178"/>
    <mergeCell ref="I2179:J2179"/>
    <mergeCell ref="I2180:J2180"/>
    <mergeCell ref="I2163:J2163"/>
    <mergeCell ref="I2164:J2164"/>
    <mergeCell ref="I2165:J2165"/>
    <mergeCell ref="I2166:J2166"/>
    <mergeCell ref="I2167:J2167"/>
    <mergeCell ref="I2168:J2168"/>
    <mergeCell ref="I2169:J2169"/>
    <mergeCell ref="I2170:J2170"/>
    <mergeCell ref="I2171:J2171"/>
    <mergeCell ref="I2192:J2192"/>
    <mergeCell ref="I2193:J2193"/>
    <mergeCell ref="I2194:J2194"/>
    <mergeCell ref="I2195:J2195"/>
    <mergeCell ref="I2196:J2196"/>
    <mergeCell ref="I2197:J2197"/>
    <mergeCell ref="I2198:J2198"/>
    <mergeCell ref="I2199:J2199"/>
    <mergeCell ref="I2200:J2200"/>
    <mergeCell ref="I2183:J2183"/>
    <mergeCell ref="I2184:J2184"/>
    <mergeCell ref="I2185:J2185"/>
    <mergeCell ref="I2186:J2186"/>
    <mergeCell ref="I2187:J2187"/>
    <mergeCell ref="I2188:J2188"/>
    <mergeCell ref="I2189:J2189"/>
    <mergeCell ref="I2190:J2190"/>
    <mergeCell ref="I2191:J2191"/>
    <mergeCell ref="I2212:J2212"/>
    <mergeCell ref="I2213:J2213"/>
    <mergeCell ref="I2214:J2214"/>
    <mergeCell ref="I2215:J2215"/>
    <mergeCell ref="I2216:J2216"/>
    <mergeCell ref="I2217:J2217"/>
    <mergeCell ref="I2218:J2218"/>
    <mergeCell ref="I2219:J2219"/>
    <mergeCell ref="I2220:J2220"/>
    <mergeCell ref="I2203:J2203"/>
    <mergeCell ref="I2204:J2204"/>
    <mergeCell ref="I2205:J2205"/>
    <mergeCell ref="I2206:J2206"/>
    <mergeCell ref="I2207:J2207"/>
    <mergeCell ref="I2208:J2208"/>
    <mergeCell ref="I2209:J2209"/>
    <mergeCell ref="I2210:J2210"/>
    <mergeCell ref="I2211:J2211"/>
    <mergeCell ref="I2232:J2232"/>
    <mergeCell ref="I2233:J2233"/>
    <mergeCell ref="I2234:J2234"/>
    <mergeCell ref="I2235:J2235"/>
    <mergeCell ref="I2236:J2236"/>
    <mergeCell ref="I2237:J2237"/>
    <mergeCell ref="I2238:J2238"/>
    <mergeCell ref="I2239:J2239"/>
    <mergeCell ref="I2240:J2240"/>
    <mergeCell ref="I2223:J2223"/>
    <mergeCell ref="I2224:J2224"/>
    <mergeCell ref="I2225:J2225"/>
    <mergeCell ref="I2226:J2226"/>
    <mergeCell ref="I2227:J2227"/>
    <mergeCell ref="I2228:J2228"/>
    <mergeCell ref="I2229:J2229"/>
    <mergeCell ref="I2230:J2230"/>
    <mergeCell ref="I2231:J2231"/>
    <mergeCell ref="I2252:J2252"/>
    <mergeCell ref="I2253:J2253"/>
    <mergeCell ref="I2254:J2254"/>
    <mergeCell ref="I2255:J2255"/>
    <mergeCell ref="I2256:J2256"/>
    <mergeCell ref="I2257:J2257"/>
    <mergeCell ref="I2258:J2258"/>
    <mergeCell ref="I2259:J2259"/>
    <mergeCell ref="I2260:J2260"/>
    <mergeCell ref="I2243:J2243"/>
    <mergeCell ref="I2244:J2244"/>
    <mergeCell ref="I2245:J2245"/>
    <mergeCell ref="I2246:J2246"/>
    <mergeCell ref="I2247:J2247"/>
    <mergeCell ref="I2248:J2248"/>
    <mergeCell ref="I2249:J2249"/>
    <mergeCell ref="I2250:J2250"/>
    <mergeCell ref="I2251:J2251"/>
    <mergeCell ref="I2272:J2272"/>
    <mergeCell ref="I2273:J2273"/>
    <mergeCell ref="I2274:J2274"/>
    <mergeCell ref="I2275:J2275"/>
    <mergeCell ref="I2276:J2276"/>
    <mergeCell ref="I2277:J2277"/>
    <mergeCell ref="I2278:J2278"/>
    <mergeCell ref="I2279:J2279"/>
    <mergeCell ref="I2280:J2280"/>
    <mergeCell ref="I2263:J2263"/>
    <mergeCell ref="I2264:J2264"/>
    <mergeCell ref="I2265:J2265"/>
    <mergeCell ref="I2266:J2266"/>
    <mergeCell ref="I2267:J2267"/>
    <mergeCell ref="I2268:J2268"/>
    <mergeCell ref="I2269:J2269"/>
    <mergeCell ref="I2270:J2270"/>
    <mergeCell ref="I2271:J2271"/>
    <mergeCell ref="I2292:J2292"/>
    <mergeCell ref="I2293:J2293"/>
    <mergeCell ref="I2294:J2294"/>
    <mergeCell ref="I2295:J2295"/>
    <mergeCell ref="I2296:J2296"/>
    <mergeCell ref="I2297:J2297"/>
    <mergeCell ref="I2298:J2298"/>
    <mergeCell ref="I2299:J2299"/>
    <mergeCell ref="I2300:J2300"/>
    <mergeCell ref="I2283:J2283"/>
    <mergeCell ref="I2284:J2284"/>
    <mergeCell ref="I2285:J2285"/>
    <mergeCell ref="I2286:J2286"/>
    <mergeCell ref="I2287:J2287"/>
    <mergeCell ref="I2288:J2288"/>
    <mergeCell ref="I2289:J2289"/>
    <mergeCell ref="I2290:J2290"/>
    <mergeCell ref="I2291:J2291"/>
    <mergeCell ref="I2312:J2312"/>
    <mergeCell ref="I2313:J2313"/>
    <mergeCell ref="I2314:J2314"/>
    <mergeCell ref="I2315:J2315"/>
    <mergeCell ref="I2316:J2316"/>
    <mergeCell ref="I2317:J2317"/>
    <mergeCell ref="I2318:J2318"/>
    <mergeCell ref="I2319:J2319"/>
    <mergeCell ref="I2320:J2320"/>
    <mergeCell ref="I2303:J2303"/>
    <mergeCell ref="I2304:J2304"/>
    <mergeCell ref="I2305:J2305"/>
    <mergeCell ref="I2306:J2306"/>
    <mergeCell ref="I2307:J2307"/>
    <mergeCell ref="I2308:J2308"/>
    <mergeCell ref="I2309:J2309"/>
    <mergeCell ref="I2310:J2310"/>
    <mergeCell ref="I2311:J2311"/>
    <mergeCell ref="I2332:J2332"/>
    <mergeCell ref="I2333:J2333"/>
    <mergeCell ref="I2334:J2334"/>
    <mergeCell ref="I2335:J2335"/>
    <mergeCell ref="I2336:J2336"/>
    <mergeCell ref="I2337:J2337"/>
    <mergeCell ref="I2338:J2338"/>
    <mergeCell ref="I2339:J2339"/>
    <mergeCell ref="I2340:J2340"/>
    <mergeCell ref="I2323:J2323"/>
    <mergeCell ref="I2324:J2324"/>
    <mergeCell ref="I2325:J2325"/>
    <mergeCell ref="I2326:J2326"/>
    <mergeCell ref="I2327:J2327"/>
    <mergeCell ref="I2328:J2328"/>
    <mergeCell ref="I2329:J2329"/>
    <mergeCell ref="I2330:J2330"/>
    <mergeCell ref="I2331:J2331"/>
    <mergeCell ref="I2352:J2352"/>
    <mergeCell ref="I2353:J2353"/>
    <mergeCell ref="I2354:J2354"/>
    <mergeCell ref="I2355:J2355"/>
    <mergeCell ref="I2356:J2356"/>
    <mergeCell ref="I2357:J2357"/>
    <mergeCell ref="I2358:J2358"/>
    <mergeCell ref="I2359:J2359"/>
    <mergeCell ref="I2360:J2360"/>
    <mergeCell ref="I2343:J2343"/>
    <mergeCell ref="I2344:J2344"/>
    <mergeCell ref="I2345:J2345"/>
    <mergeCell ref="I2346:J2346"/>
    <mergeCell ref="I2347:J2347"/>
    <mergeCell ref="I2348:J2348"/>
    <mergeCell ref="I2349:J2349"/>
    <mergeCell ref="I2350:J2350"/>
    <mergeCell ref="I2351:J2351"/>
    <mergeCell ref="I2372:J2372"/>
    <mergeCell ref="I2373:J2373"/>
    <mergeCell ref="I2374:J2374"/>
    <mergeCell ref="I2375:J2375"/>
    <mergeCell ref="I2376:J2376"/>
    <mergeCell ref="I2377:J2377"/>
    <mergeCell ref="I2378:J2378"/>
    <mergeCell ref="I2379:J2379"/>
    <mergeCell ref="I2380:J2380"/>
    <mergeCell ref="I2363:J2363"/>
    <mergeCell ref="I2364:J2364"/>
    <mergeCell ref="I2365:J2365"/>
    <mergeCell ref="I2366:J2366"/>
    <mergeCell ref="I2367:J2367"/>
    <mergeCell ref="I2368:J2368"/>
    <mergeCell ref="I2369:J2369"/>
    <mergeCell ref="I2370:J2370"/>
    <mergeCell ref="I2371:J2371"/>
    <mergeCell ref="I2392:J2392"/>
    <mergeCell ref="I2393:J2393"/>
    <mergeCell ref="I2394:J2394"/>
    <mergeCell ref="I2395:J2395"/>
    <mergeCell ref="I2396:J2396"/>
    <mergeCell ref="I2397:J2397"/>
    <mergeCell ref="I2398:J2398"/>
    <mergeCell ref="I2399:J2399"/>
    <mergeCell ref="I2400:J2400"/>
    <mergeCell ref="I2383:J2383"/>
    <mergeCell ref="I2384:J2384"/>
    <mergeCell ref="I2385:J2385"/>
    <mergeCell ref="I2386:J2386"/>
    <mergeCell ref="I2387:J2387"/>
    <mergeCell ref="I2388:J2388"/>
    <mergeCell ref="I2389:J2389"/>
    <mergeCell ref="I2390:J2390"/>
    <mergeCell ref="I2391:J2391"/>
    <mergeCell ref="I2412:J2412"/>
    <mergeCell ref="I2413:J2413"/>
    <mergeCell ref="I2414:J2414"/>
    <mergeCell ref="I2415:J2415"/>
    <mergeCell ref="I2416:J2416"/>
    <mergeCell ref="I2417:J2417"/>
    <mergeCell ref="I2418:J2418"/>
    <mergeCell ref="I2419:J2419"/>
    <mergeCell ref="I2420:J2420"/>
    <mergeCell ref="I2403:J2403"/>
    <mergeCell ref="I2404:J2404"/>
    <mergeCell ref="I2405:J2405"/>
    <mergeCell ref="I2406:J2406"/>
    <mergeCell ref="I2407:J2407"/>
    <mergeCell ref="I2408:J2408"/>
    <mergeCell ref="I2409:J2409"/>
    <mergeCell ref="I2410:J2410"/>
    <mergeCell ref="I2411:J2411"/>
    <mergeCell ref="I2432:J2432"/>
    <mergeCell ref="I2433:J2433"/>
    <mergeCell ref="I2434:J2434"/>
    <mergeCell ref="I2435:J2435"/>
    <mergeCell ref="I2436:J2436"/>
    <mergeCell ref="I2437:J2437"/>
    <mergeCell ref="I2438:J2438"/>
    <mergeCell ref="I2439:J2439"/>
    <mergeCell ref="I2440:J2440"/>
    <mergeCell ref="I2423:J2423"/>
    <mergeCell ref="I2424:J2424"/>
    <mergeCell ref="I2425:J2425"/>
    <mergeCell ref="I2426:J2426"/>
    <mergeCell ref="I2427:J2427"/>
    <mergeCell ref="I2428:J2428"/>
    <mergeCell ref="I2429:J2429"/>
    <mergeCell ref="I2430:J2430"/>
    <mergeCell ref="I2431:J2431"/>
    <mergeCell ref="I2452:J2452"/>
    <mergeCell ref="I2453:J2453"/>
    <mergeCell ref="I2454:J2454"/>
    <mergeCell ref="I2455:J2455"/>
    <mergeCell ref="I2456:J2456"/>
    <mergeCell ref="I2457:J2457"/>
    <mergeCell ref="I2458:J2458"/>
    <mergeCell ref="I2459:J2459"/>
    <mergeCell ref="I2460:J2460"/>
    <mergeCell ref="I2443:J2443"/>
    <mergeCell ref="I2444:J2444"/>
    <mergeCell ref="I2445:J2445"/>
    <mergeCell ref="I2446:J2446"/>
    <mergeCell ref="I2447:J2447"/>
    <mergeCell ref="I2448:J2448"/>
    <mergeCell ref="I2449:J2449"/>
    <mergeCell ref="I2450:J2450"/>
    <mergeCell ref="I2451:J2451"/>
    <mergeCell ref="I2472:J2472"/>
    <mergeCell ref="I2473:J2473"/>
    <mergeCell ref="I2474:J2474"/>
    <mergeCell ref="I2475:J2475"/>
    <mergeCell ref="I2476:J2476"/>
    <mergeCell ref="I2477:J2477"/>
    <mergeCell ref="I2478:J2478"/>
    <mergeCell ref="I2479:J2479"/>
    <mergeCell ref="I2480:J2480"/>
    <mergeCell ref="I2463:J2463"/>
    <mergeCell ref="I2464:J2464"/>
    <mergeCell ref="I2465:J2465"/>
    <mergeCell ref="I2466:J2466"/>
    <mergeCell ref="I2467:J2467"/>
    <mergeCell ref="I2468:J2468"/>
    <mergeCell ref="I2469:J2469"/>
    <mergeCell ref="I2470:J2470"/>
    <mergeCell ref="I2471:J2471"/>
    <mergeCell ref="I2492:J2492"/>
    <mergeCell ref="I2493:J2493"/>
    <mergeCell ref="I2494:J2494"/>
    <mergeCell ref="I2495:J2495"/>
    <mergeCell ref="I2496:J2496"/>
    <mergeCell ref="I2497:J2497"/>
    <mergeCell ref="I2498:J2498"/>
    <mergeCell ref="I2499:J2499"/>
    <mergeCell ref="I2500:J2500"/>
    <mergeCell ref="I2483:J2483"/>
    <mergeCell ref="I2484:J2484"/>
    <mergeCell ref="I2485:J2485"/>
    <mergeCell ref="I2486:J2486"/>
    <mergeCell ref="I2487:J2487"/>
    <mergeCell ref="I2488:J2488"/>
    <mergeCell ref="I2489:J2489"/>
    <mergeCell ref="I2490:J2490"/>
    <mergeCell ref="I2491:J2491"/>
    <mergeCell ref="I2512:J2512"/>
    <mergeCell ref="I2513:J2513"/>
    <mergeCell ref="I2514:J2514"/>
    <mergeCell ref="I2515:J2515"/>
    <mergeCell ref="I2516:J2516"/>
    <mergeCell ref="I2517:J2517"/>
    <mergeCell ref="I2518:J2518"/>
    <mergeCell ref="I2519:J2519"/>
    <mergeCell ref="I2520:J2520"/>
    <mergeCell ref="I2503:J2503"/>
    <mergeCell ref="I2504:J2504"/>
    <mergeCell ref="I2505:J2505"/>
    <mergeCell ref="I2506:J2506"/>
    <mergeCell ref="I2507:J2507"/>
    <mergeCell ref="I2508:J2508"/>
    <mergeCell ref="I2509:J2509"/>
    <mergeCell ref="I2510:J2510"/>
    <mergeCell ref="I2511:J2511"/>
    <mergeCell ref="I2532:J2532"/>
    <mergeCell ref="I2533:J2533"/>
    <mergeCell ref="I2534:J2534"/>
    <mergeCell ref="I2535:J2535"/>
    <mergeCell ref="I2536:J2536"/>
    <mergeCell ref="I2537:J2537"/>
    <mergeCell ref="I2538:J2538"/>
    <mergeCell ref="I2539:J2539"/>
    <mergeCell ref="I2540:J2540"/>
    <mergeCell ref="I2523:J2523"/>
    <mergeCell ref="I2524:J2524"/>
    <mergeCell ref="I2525:J2525"/>
    <mergeCell ref="I2526:J2526"/>
    <mergeCell ref="I2527:J2527"/>
    <mergeCell ref="I2528:J2528"/>
    <mergeCell ref="I2529:J2529"/>
    <mergeCell ref="I2530:J2530"/>
    <mergeCell ref="I2531:J2531"/>
    <mergeCell ref="I2552:J2552"/>
    <mergeCell ref="I2553:J2553"/>
    <mergeCell ref="I2554:J2554"/>
    <mergeCell ref="I2555:J2555"/>
    <mergeCell ref="I2556:J2556"/>
    <mergeCell ref="I2557:J2557"/>
    <mergeCell ref="I2558:J2558"/>
    <mergeCell ref="I2559:J2559"/>
    <mergeCell ref="I2560:J2560"/>
    <mergeCell ref="I2543:J2543"/>
    <mergeCell ref="I2544:J2544"/>
    <mergeCell ref="I2545:J2545"/>
    <mergeCell ref="I2546:J2546"/>
    <mergeCell ref="I2547:J2547"/>
    <mergeCell ref="I2548:J2548"/>
    <mergeCell ref="I2549:J2549"/>
    <mergeCell ref="I2550:J2550"/>
    <mergeCell ref="I2551:J2551"/>
    <mergeCell ref="I2572:J2572"/>
    <mergeCell ref="I2573:J2573"/>
    <mergeCell ref="I2574:J2574"/>
    <mergeCell ref="I2575:J2575"/>
    <mergeCell ref="I2576:J2576"/>
    <mergeCell ref="I2577:J2577"/>
    <mergeCell ref="I2578:J2578"/>
    <mergeCell ref="I2579:J2579"/>
    <mergeCell ref="I2580:J2580"/>
    <mergeCell ref="I2563:J2563"/>
    <mergeCell ref="I2564:J2564"/>
    <mergeCell ref="I2565:J2565"/>
    <mergeCell ref="I2566:J2566"/>
    <mergeCell ref="I2567:J2567"/>
    <mergeCell ref="I2568:J2568"/>
    <mergeCell ref="I2569:J2569"/>
    <mergeCell ref="I2570:J2570"/>
    <mergeCell ref="I2571:J2571"/>
    <mergeCell ref="I2592:J2592"/>
    <mergeCell ref="I2593:J2593"/>
    <mergeCell ref="I2594:J2594"/>
    <mergeCell ref="I2595:J2595"/>
    <mergeCell ref="I2596:J2596"/>
    <mergeCell ref="I2597:J2597"/>
    <mergeCell ref="I2598:J2598"/>
    <mergeCell ref="I2599:J2599"/>
    <mergeCell ref="I2600:J2600"/>
    <mergeCell ref="I2583:J2583"/>
    <mergeCell ref="I2584:J2584"/>
    <mergeCell ref="I2585:J2585"/>
    <mergeCell ref="I2586:J2586"/>
    <mergeCell ref="I2587:J2587"/>
    <mergeCell ref="I2588:J2588"/>
    <mergeCell ref="I2589:J2589"/>
    <mergeCell ref="I2590:J2590"/>
    <mergeCell ref="I2591:J2591"/>
    <mergeCell ref="I2612:J2612"/>
    <mergeCell ref="I2613:J2613"/>
    <mergeCell ref="I2614:J2614"/>
    <mergeCell ref="I2615:J2615"/>
    <mergeCell ref="I2616:J2616"/>
    <mergeCell ref="I2617:J2617"/>
    <mergeCell ref="I2618:J2618"/>
    <mergeCell ref="I2619:J2619"/>
    <mergeCell ref="I2620:J2620"/>
    <mergeCell ref="I2603:J2603"/>
    <mergeCell ref="I2604:J2604"/>
    <mergeCell ref="I2605:J2605"/>
    <mergeCell ref="I2606:J2606"/>
    <mergeCell ref="I2607:J2607"/>
    <mergeCell ref="I2608:J2608"/>
    <mergeCell ref="I2609:J2609"/>
    <mergeCell ref="I2610:J2610"/>
    <mergeCell ref="I2611:J2611"/>
    <mergeCell ref="I2632:J2632"/>
    <mergeCell ref="I2633:J2633"/>
    <mergeCell ref="I2634:J2634"/>
    <mergeCell ref="I2635:J2635"/>
    <mergeCell ref="I2636:J2636"/>
    <mergeCell ref="I2637:J2637"/>
    <mergeCell ref="I2638:J2638"/>
    <mergeCell ref="I2639:J2639"/>
    <mergeCell ref="I2640:J2640"/>
    <mergeCell ref="I2623:J2623"/>
    <mergeCell ref="I2624:J2624"/>
    <mergeCell ref="I2625:J2625"/>
    <mergeCell ref="I2626:J2626"/>
    <mergeCell ref="I2627:J2627"/>
    <mergeCell ref="I2628:J2628"/>
    <mergeCell ref="I2629:J2629"/>
    <mergeCell ref="I2630:J2630"/>
    <mergeCell ref="I2631:J2631"/>
    <mergeCell ref="I2652:J2652"/>
    <mergeCell ref="I2653:J2653"/>
    <mergeCell ref="I2654:J2654"/>
    <mergeCell ref="I2655:J2655"/>
    <mergeCell ref="I2656:J2656"/>
    <mergeCell ref="I2657:J2657"/>
    <mergeCell ref="I2658:J2658"/>
    <mergeCell ref="I2659:J2659"/>
    <mergeCell ref="I2660:J2660"/>
    <mergeCell ref="I2643:J2643"/>
    <mergeCell ref="I2644:J2644"/>
    <mergeCell ref="I2645:J2645"/>
    <mergeCell ref="I2646:J2646"/>
    <mergeCell ref="I2647:J2647"/>
    <mergeCell ref="I2648:J2648"/>
    <mergeCell ref="I2649:J2649"/>
    <mergeCell ref="I2650:J2650"/>
    <mergeCell ref="I2651:J2651"/>
    <mergeCell ref="I2672:J2672"/>
    <mergeCell ref="I2673:J2673"/>
    <mergeCell ref="I2674:J2674"/>
    <mergeCell ref="I2675:J2675"/>
    <mergeCell ref="I2676:J2676"/>
    <mergeCell ref="I2677:J2677"/>
    <mergeCell ref="I2678:J2678"/>
    <mergeCell ref="I2679:J2679"/>
    <mergeCell ref="I2680:J2680"/>
    <mergeCell ref="I2663:J2663"/>
    <mergeCell ref="I2664:J2664"/>
    <mergeCell ref="I2665:J2665"/>
    <mergeCell ref="I2666:J2666"/>
    <mergeCell ref="I2667:J2667"/>
    <mergeCell ref="I2668:J2668"/>
    <mergeCell ref="I2669:J2669"/>
    <mergeCell ref="I2670:J2670"/>
    <mergeCell ref="I2671:J2671"/>
    <mergeCell ref="I2692:J2692"/>
    <mergeCell ref="I2693:J2693"/>
    <mergeCell ref="I2694:J2694"/>
    <mergeCell ref="I2695:J2695"/>
    <mergeCell ref="I2696:J2696"/>
    <mergeCell ref="I2697:J2697"/>
    <mergeCell ref="I2698:J2698"/>
    <mergeCell ref="I2699:J2699"/>
    <mergeCell ref="I2700:J2700"/>
    <mergeCell ref="I2683:J2683"/>
    <mergeCell ref="I2684:J2684"/>
    <mergeCell ref="I2685:J2685"/>
    <mergeCell ref="I2686:J2686"/>
    <mergeCell ref="I2687:J2687"/>
    <mergeCell ref="I2688:J2688"/>
    <mergeCell ref="I2689:J2689"/>
    <mergeCell ref="I2690:J2690"/>
    <mergeCell ref="I2691:J2691"/>
    <mergeCell ref="I2712:J2712"/>
    <mergeCell ref="I2713:J2713"/>
    <mergeCell ref="I2714:J2714"/>
    <mergeCell ref="I2715:J2715"/>
    <mergeCell ref="I2716:J2716"/>
    <mergeCell ref="I2717:J2717"/>
    <mergeCell ref="I2718:J2718"/>
    <mergeCell ref="I2719:J2719"/>
    <mergeCell ref="I2720:J2720"/>
    <mergeCell ref="I2703:J2703"/>
    <mergeCell ref="I2704:J2704"/>
    <mergeCell ref="I2705:J2705"/>
    <mergeCell ref="I2706:J2706"/>
    <mergeCell ref="I2707:J2707"/>
    <mergeCell ref="I2708:J2708"/>
    <mergeCell ref="I2709:J2709"/>
    <mergeCell ref="I2710:J2710"/>
    <mergeCell ref="I2711:J2711"/>
    <mergeCell ref="I2732:J2732"/>
    <mergeCell ref="I2733:J2733"/>
    <mergeCell ref="I2734:J2734"/>
    <mergeCell ref="I2735:J2735"/>
    <mergeCell ref="I2736:J2736"/>
    <mergeCell ref="I2737:J2737"/>
    <mergeCell ref="I2738:J2738"/>
    <mergeCell ref="I2739:J2739"/>
    <mergeCell ref="I2740:J2740"/>
    <mergeCell ref="I2723:J2723"/>
    <mergeCell ref="I2724:J2724"/>
    <mergeCell ref="I2725:J2725"/>
    <mergeCell ref="I2726:J2726"/>
    <mergeCell ref="I2727:J2727"/>
    <mergeCell ref="I2728:J2728"/>
    <mergeCell ref="I2729:J2729"/>
    <mergeCell ref="I2730:J2730"/>
    <mergeCell ref="I2731:J2731"/>
    <mergeCell ref="I2752:J2752"/>
    <mergeCell ref="I2753:J2753"/>
    <mergeCell ref="I2754:J2754"/>
    <mergeCell ref="I2755:J2755"/>
    <mergeCell ref="I2756:J2756"/>
    <mergeCell ref="I2757:J2757"/>
    <mergeCell ref="I2758:J2758"/>
    <mergeCell ref="I2759:J2759"/>
    <mergeCell ref="I2760:J2760"/>
    <mergeCell ref="I2743:J2743"/>
    <mergeCell ref="I2744:J2744"/>
    <mergeCell ref="I2745:J2745"/>
    <mergeCell ref="I2746:J2746"/>
    <mergeCell ref="I2747:J2747"/>
    <mergeCell ref="I2748:J2748"/>
    <mergeCell ref="I2749:J2749"/>
    <mergeCell ref="I2750:J2750"/>
    <mergeCell ref="I2751:J2751"/>
    <mergeCell ref="I2772:J2772"/>
    <mergeCell ref="I2773:J2773"/>
    <mergeCell ref="I2774:J2774"/>
    <mergeCell ref="I2775:J2775"/>
    <mergeCell ref="I2776:J2776"/>
    <mergeCell ref="I2777:J2777"/>
    <mergeCell ref="I2778:J2778"/>
    <mergeCell ref="I2779:J2779"/>
    <mergeCell ref="I2780:J2780"/>
    <mergeCell ref="I2763:J2763"/>
    <mergeCell ref="I2764:J2764"/>
    <mergeCell ref="I2765:J2765"/>
    <mergeCell ref="I2766:J2766"/>
    <mergeCell ref="I2767:J2767"/>
    <mergeCell ref="I2768:J2768"/>
    <mergeCell ref="I2769:J2769"/>
    <mergeCell ref="I2770:J2770"/>
    <mergeCell ref="I2771:J2771"/>
    <mergeCell ref="I2792:J2792"/>
    <mergeCell ref="I2793:J2793"/>
    <mergeCell ref="I2794:J2794"/>
    <mergeCell ref="I2795:J2795"/>
    <mergeCell ref="I2796:J2796"/>
    <mergeCell ref="I2797:J2797"/>
    <mergeCell ref="I2798:J2798"/>
    <mergeCell ref="I2799:J2799"/>
    <mergeCell ref="I2800:J2800"/>
    <mergeCell ref="I2783:J2783"/>
    <mergeCell ref="I2784:J2784"/>
    <mergeCell ref="I2785:J2785"/>
    <mergeCell ref="I2786:J2786"/>
    <mergeCell ref="I2787:J2787"/>
    <mergeCell ref="I2788:J2788"/>
    <mergeCell ref="I2789:J2789"/>
    <mergeCell ref="I2790:J2790"/>
    <mergeCell ref="I2791:J2791"/>
    <mergeCell ref="I2812:J2812"/>
    <mergeCell ref="I2813:J2813"/>
    <mergeCell ref="I2814:J2814"/>
    <mergeCell ref="I2815:J2815"/>
    <mergeCell ref="I2816:J2816"/>
    <mergeCell ref="I2817:J2817"/>
    <mergeCell ref="I2818:J2818"/>
    <mergeCell ref="I2819:J2819"/>
    <mergeCell ref="I2820:J2820"/>
    <mergeCell ref="I2803:J2803"/>
    <mergeCell ref="I2804:J2804"/>
    <mergeCell ref="I2805:J2805"/>
    <mergeCell ref="I2806:J2806"/>
    <mergeCell ref="I2807:J2807"/>
    <mergeCell ref="I2808:J2808"/>
    <mergeCell ref="I2809:J2809"/>
    <mergeCell ref="I2810:J2810"/>
    <mergeCell ref="I2811:J2811"/>
    <mergeCell ref="I2832:J2832"/>
    <mergeCell ref="I2833:J2833"/>
    <mergeCell ref="I2834:J2834"/>
    <mergeCell ref="I2835:J2835"/>
    <mergeCell ref="I2836:J2836"/>
    <mergeCell ref="I2837:J2837"/>
    <mergeCell ref="I2838:J2838"/>
    <mergeCell ref="I2839:J2839"/>
    <mergeCell ref="I2840:J2840"/>
    <mergeCell ref="I2823:J2823"/>
    <mergeCell ref="I2824:J2824"/>
    <mergeCell ref="I2825:J2825"/>
    <mergeCell ref="I2826:J2826"/>
    <mergeCell ref="I2827:J2827"/>
    <mergeCell ref="I2828:J2828"/>
    <mergeCell ref="I2829:J2829"/>
    <mergeCell ref="I2830:J2830"/>
    <mergeCell ref="I2831:J2831"/>
    <mergeCell ref="I2852:J2852"/>
    <mergeCell ref="I2853:J2853"/>
    <mergeCell ref="I2854:J2854"/>
    <mergeCell ref="I2855:J2855"/>
    <mergeCell ref="I2856:J2856"/>
    <mergeCell ref="I2857:J2857"/>
    <mergeCell ref="I2858:J2858"/>
    <mergeCell ref="I2859:J2859"/>
    <mergeCell ref="I2860:J2860"/>
    <mergeCell ref="I2843:J2843"/>
    <mergeCell ref="I2844:J2844"/>
    <mergeCell ref="I2845:J2845"/>
    <mergeCell ref="I2846:J2846"/>
    <mergeCell ref="I2847:J2847"/>
    <mergeCell ref="I2848:J2848"/>
    <mergeCell ref="I2849:J2849"/>
    <mergeCell ref="I2850:J2850"/>
    <mergeCell ref="I2851:J2851"/>
    <mergeCell ref="I2872:J2872"/>
    <mergeCell ref="I2873:J2873"/>
    <mergeCell ref="I2874:J2874"/>
    <mergeCell ref="I2875:J2875"/>
    <mergeCell ref="I2876:J2876"/>
    <mergeCell ref="I2877:J2877"/>
    <mergeCell ref="I2878:J2878"/>
    <mergeCell ref="I2879:J2879"/>
    <mergeCell ref="I2880:J2880"/>
    <mergeCell ref="I2863:J2863"/>
    <mergeCell ref="I2864:J2864"/>
    <mergeCell ref="I2865:J2865"/>
    <mergeCell ref="I2866:J2866"/>
    <mergeCell ref="I2867:J2867"/>
    <mergeCell ref="I2868:J2868"/>
    <mergeCell ref="I2869:J2869"/>
    <mergeCell ref="I2870:J2870"/>
    <mergeCell ref="I2871:J2871"/>
    <mergeCell ref="I2892:J2892"/>
    <mergeCell ref="I2893:J2893"/>
    <mergeCell ref="I2894:J2894"/>
    <mergeCell ref="I2895:J2895"/>
    <mergeCell ref="I2896:J2896"/>
    <mergeCell ref="I2897:J2897"/>
    <mergeCell ref="I2898:J2898"/>
    <mergeCell ref="I2899:J2899"/>
    <mergeCell ref="I2900:J2900"/>
    <mergeCell ref="I2883:J2883"/>
    <mergeCell ref="I2884:J2884"/>
    <mergeCell ref="I2885:J2885"/>
    <mergeCell ref="I2886:J2886"/>
    <mergeCell ref="I2887:J2887"/>
    <mergeCell ref="I2888:J2888"/>
    <mergeCell ref="I2889:J2889"/>
    <mergeCell ref="I2890:J2890"/>
    <mergeCell ref="I2891:J2891"/>
    <mergeCell ref="I2912:J2912"/>
    <mergeCell ref="I2913:J2913"/>
    <mergeCell ref="I2914:J2914"/>
    <mergeCell ref="I2915:J2915"/>
    <mergeCell ref="I2916:J2916"/>
    <mergeCell ref="I2917:J2917"/>
    <mergeCell ref="I2918:J2918"/>
    <mergeCell ref="I2919:J2919"/>
    <mergeCell ref="I2920:J2920"/>
    <mergeCell ref="I2903:J2903"/>
    <mergeCell ref="I2904:J2904"/>
    <mergeCell ref="I2905:J2905"/>
    <mergeCell ref="I2906:J2906"/>
    <mergeCell ref="I2907:J2907"/>
    <mergeCell ref="I2908:J2908"/>
    <mergeCell ref="I2909:J2909"/>
    <mergeCell ref="I2910:J2910"/>
    <mergeCell ref="I2911:J2911"/>
    <mergeCell ref="I2932:J2932"/>
    <mergeCell ref="I2933:J2933"/>
    <mergeCell ref="I2934:J2934"/>
    <mergeCell ref="I2935:J2935"/>
    <mergeCell ref="I2936:J2936"/>
    <mergeCell ref="I2937:J2937"/>
    <mergeCell ref="I2938:J2938"/>
    <mergeCell ref="I2939:J2939"/>
    <mergeCell ref="I2940:J2940"/>
    <mergeCell ref="I2923:J2923"/>
    <mergeCell ref="I2924:J2924"/>
    <mergeCell ref="I2925:J2925"/>
    <mergeCell ref="I2926:J2926"/>
    <mergeCell ref="I2927:J2927"/>
    <mergeCell ref="I2928:J2928"/>
    <mergeCell ref="I2929:J2929"/>
    <mergeCell ref="I2930:J2930"/>
    <mergeCell ref="I2931:J2931"/>
    <mergeCell ref="I2952:J2952"/>
    <mergeCell ref="I2953:J2953"/>
    <mergeCell ref="I2954:J2954"/>
    <mergeCell ref="I2955:J2955"/>
    <mergeCell ref="I2956:J2956"/>
    <mergeCell ref="I2957:J2957"/>
    <mergeCell ref="I2958:J2958"/>
    <mergeCell ref="I2959:J2959"/>
    <mergeCell ref="I2960:J2960"/>
    <mergeCell ref="I2943:J2943"/>
    <mergeCell ref="I2944:J2944"/>
    <mergeCell ref="I2945:J2945"/>
    <mergeCell ref="I2946:J2946"/>
    <mergeCell ref="I2947:J2947"/>
    <mergeCell ref="I2948:J2948"/>
    <mergeCell ref="I2949:J2949"/>
    <mergeCell ref="I2950:J2950"/>
    <mergeCell ref="I2951:J2951"/>
    <mergeCell ref="I2972:J2972"/>
    <mergeCell ref="I2973:J2973"/>
    <mergeCell ref="I2974:J2974"/>
    <mergeCell ref="I2975:J2975"/>
    <mergeCell ref="I2976:J2976"/>
    <mergeCell ref="I2977:J2977"/>
    <mergeCell ref="I2978:J2978"/>
    <mergeCell ref="I2979:J2979"/>
    <mergeCell ref="I2980:J2980"/>
    <mergeCell ref="I2963:J2963"/>
    <mergeCell ref="I2964:J2964"/>
    <mergeCell ref="I2965:J2965"/>
    <mergeCell ref="I2966:J2966"/>
    <mergeCell ref="I2967:J2967"/>
    <mergeCell ref="I2968:J2968"/>
    <mergeCell ref="I2969:J2969"/>
    <mergeCell ref="I2970:J2970"/>
    <mergeCell ref="I2971:J2971"/>
    <mergeCell ref="I2992:J2992"/>
    <mergeCell ref="I2993:J2993"/>
    <mergeCell ref="I2994:J2994"/>
    <mergeCell ref="I2995:J2995"/>
    <mergeCell ref="I2996:J2996"/>
    <mergeCell ref="I2997:J2997"/>
    <mergeCell ref="I2998:J2998"/>
    <mergeCell ref="I2999:J2999"/>
    <mergeCell ref="I3000:J3000"/>
    <mergeCell ref="I2983:J2983"/>
    <mergeCell ref="I2984:J2984"/>
    <mergeCell ref="I2985:J2985"/>
    <mergeCell ref="I2986:J2986"/>
    <mergeCell ref="I2987:J2987"/>
    <mergeCell ref="I2988:J2988"/>
    <mergeCell ref="I2989:J2989"/>
    <mergeCell ref="I2990:J2990"/>
    <mergeCell ref="I2991:J2991"/>
    <mergeCell ref="I3012:J3012"/>
    <mergeCell ref="I3013:J3013"/>
    <mergeCell ref="I3014:J3014"/>
    <mergeCell ref="I3015:J3015"/>
    <mergeCell ref="I3016:J3016"/>
    <mergeCell ref="I3017:J3017"/>
    <mergeCell ref="I3018:J3018"/>
    <mergeCell ref="I3019:J3019"/>
    <mergeCell ref="I3020:J3020"/>
    <mergeCell ref="I3003:J3003"/>
    <mergeCell ref="I3004:J3004"/>
    <mergeCell ref="I3005:J3005"/>
    <mergeCell ref="I3006:J3006"/>
    <mergeCell ref="I3007:J3007"/>
    <mergeCell ref="I3008:J3008"/>
    <mergeCell ref="I3009:J3009"/>
    <mergeCell ref="I3010:J3010"/>
    <mergeCell ref="I3011:J3011"/>
    <mergeCell ref="I3032:J3032"/>
    <mergeCell ref="I3033:J3033"/>
    <mergeCell ref="I3034:J3034"/>
    <mergeCell ref="I3035:J3035"/>
    <mergeCell ref="I3036:J3036"/>
    <mergeCell ref="I3037:J3037"/>
    <mergeCell ref="I3038:J3038"/>
    <mergeCell ref="I3039:J3039"/>
    <mergeCell ref="I3040:J3040"/>
    <mergeCell ref="I3023:J3023"/>
    <mergeCell ref="I3024:J3024"/>
    <mergeCell ref="I3025:J3025"/>
    <mergeCell ref="I3026:J3026"/>
    <mergeCell ref="I3027:J3027"/>
    <mergeCell ref="I3028:J3028"/>
    <mergeCell ref="I3029:J3029"/>
    <mergeCell ref="I3030:J3030"/>
    <mergeCell ref="I3031:J3031"/>
    <mergeCell ref="I3052:J3052"/>
    <mergeCell ref="I3053:J3053"/>
    <mergeCell ref="I3054:J3054"/>
    <mergeCell ref="I3055:J3055"/>
    <mergeCell ref="I3056:J3056"/>
    <mergeCell ref="I3057:J3057"/>
    <mergeCell ref="I3058:J3058"/>
    <mergeCell ref="I3059:J3059"/>
    <mergeCell ref="I3060:J3060"/>
    <mergeCell ref="I3043:J3043"/>
    <mergeCell ref="I3044:J3044"/>
    <mergeCell ref="I3045:J3045"/>
    <mergeCell ref="I3046:J3046"/>
    <mergeCell ref="I3047:J3047"/>
    <mergeCell ref="I3048:J3048"/>
    <mergeCell ref="I3049:J3049"/>
    <mergeCell ref="I3050:J3050"/>
    <mergeCell ref="I3051:J3051"/>
    <mergeCell ref="I3072:J3072"/>
    <mergeCell ref="I3073:J3073"/>
    <mergeCell ref="I3074:J3074"/>
    <mergeCell ref="I3075:J3075"/>
    <mergeCell ref="I3076:J3076"/>
    <mergeCell ref="I3077:J3077"/>
    <mergeCell ref="I3078:J3078"/>
    <mergeCell ref="I3079:J3079"/>
    <mergeCell ref="I3080:J3080"/>
    <mergeCell ref="I3063:J3063"/>
    <mergeCell ref="I3064:J3064"/>
    <mergeCell ref="I3065:J3065"/>
    <mergeCell ref="I3066:J3066"/>
    <mergeCell ref="I3067:J3067"/>
    <mergeCell ref="I3068:J3068"/>
    <mergeCell ref="I3069:J3069"/>
    <mergeCell ref="I3070:J3070"/>
    <mergeCell ref="I3071:J3071"/>
    <mergeCell ref="I3092:J3092"/>
    <mergeCell ref="I3093:J3093"/>
    <mergeCell ref="I3094:J3094"/>
    <mergeCell ref="I3095:J3095"/>
    <mergeCell ref="I3096:J3096"/>
    <mergeCell ref="I3097:J3097"/>
    <mergeCell ref="I3098:J3098"/>
    <mergeCell ref="I3099:J3099"/>
    <mergeCell ref="I3100:J3100"/>
    <mergeCell ref="I3083:J3083"/>
    <mergeCell ref="I3084:J3084"/>
    <mergeCell ref="I3085:J3085"/>
    <mergeCell ref="I3086:J3086"/>
    <mergeCell ref="I3087:J3087"/>
    <mergeCell ref="I3088:J3088"/>
    <mergeCell ref="I3089:J3089"/>
    <mergeCell ref="I3090:J3090"/>
    <mergeCell ref="I3091:J3091"/>
    <mergeCell ref="I3112:J3112"/>
    <mergeCell ref="I3113:J3113"/>
    <mergeCell ref="I3114:J3114"/>
    <mergeCell ref="I3115:J3115"/>
    <mergeCell ref="I3116:J3116"/>
    <mergeCell ref="I3117:J3117"/>
    <mergeCell ref="I3118:J3118"/>
    <mergeCell ref="I3119:J3119"/>
    <mergeCell ref="I3120:J3120"/>
    <mergeCell ref="I3103:J3103"/>
    <mergeCell ref="I3104:J3104"/>
    <mergeCell ref="I3105:J3105"/>
    <mergeCell ref="I3106:J3106"/>
    <mergeCell ref="I3107:J3107"/>
    <mergeCell ref="I3108:J3108"/>
    <mergeCell ref="I3109:J3109"/>
    <mergeCell ref="I3110:J3110"/>
    <mergeCell ref="I3111:J3111"/>
    <mergeCell ref="I3132:J3132"/>
    <mergeCell ref="I3133:J3133"/>
    <mergeCell ref="I3134:J3134"/>
    <mergeCell ref="I3135:J3135"/>
    <mergeCell ref="I3136:J3136"/>
    <mergeCell ref="I3137:J3137"/>
    <mergeCell ref="I3138:J3138"/>
    <mergeCell ref="I3139:J3139"/>
    <mergeCell ref="I3140:J3140"/>
    <mergeCell ref="I3123:J3123"/>
    <mergeCell ref="I3124:J3124"/>
    <mergeCell ref="I3125:J3125"/>
    <mergeCell ref="I3126:J3126"/>
    <mergeCell ref="I3127:J3127"/>
    <mergeCell ref="I3128:J3128"/>
    <mergeCell ref="I3129:J3129"/>
    <mergeCell ref="I3130:J3130"/>
    <mergeCell ref="I3131:J3131"/>
    <mergeCell ref="I3152:J3152"/>
    <mergeCell ref="I3153:J3153"/>
    <mergeCell ref="I3154:J3154"/>
    <mergeCell ref="I3155:J3155"/>
    <mergeCell ref="I3156:J3156"/>
    <mergeCell ref="I3157:J3157"/>
    <mergeCell ref="I3158:J3158"/>
    <mergeCell ref="I3159:J3159"/>
    <mergeCell ref="I3160:J3160"/>
    <mergeCell ref="I3143:J3143"/>
    <mergeCell ref="I3144:J3144"/>
    <mergeCell ref="I3145:J3145"/>
    <mergeCell ref="I3146:J3146"/>
    <mergeCell ref="I3147:J3147"/>
    <mergeCell ref="I3148:J3148"/>
    <mergeCell ref="I3149:J3149"/>
    <mergeCell ref="I3150:J3150"/>
    <mergeCell ref="I3151:J3151"/>
    <mergeCell ref="I3172:J3172"/>
    <mergeCell ref="I3173:J3173"/>
    <mergeCell ref="I3174:J3174"/>
    <mergeCell ref="I3175:J3175"/>
    <mergeCell ref="I3176:J3176"/>
    <mergeCell ref="I3177:J3177"/>
    <mergeCell ref="I3178:J3178"/>
    <mergeCell ref="I3179:J3179"/>
    <mergeCell ref="I3180:J3180"/>
    <mergeCell ref="I3163:J3163"/>
    <mergeCell ref="I3164:J3164"/>
    <mergeCell ref="I3165:J3165"/>
    <mergeCell ref="I3166:J3166"/>
    <mergeCell ref="I3167:J3167"/>
    <mergeCell ref="I3168:J3168"/>
    <mergeCell ref="I3169:J3169"/>
    <mergeCell ref="I3170:J3170"/>
    <mergeCell ref="I3171:J3171"/>
    <mergeCell ref="I3192:J3192"/>
    <mergeCell ref="I3193:J3193"/>
    <mergeCell ref="I3194:J3194"/>
    <mergeCell ref="I3195:J3195"/>
    <mergeCell ref="I3196:J3196"/>
    <mergeCell ref="I3197:J3197"/>
    <mergeCell ref="I3198:J3198"/>
    <mergeCell ref="I3199:J3199"/>
    <mergeCell ref="I3200:J3200"/>
    <mergeCell ref="I3183:J3183"/>
    <mergeCell ref="I3184:J3184"/>
    <mergeCell ref="I3185:J3185"/>
    <mergeCell ref="I3186:J3186"/>
    <mergeCell ref="I3187:J3187"/>
    <mergeCell ref="I3188:J3188"/>
    <mergeCell ref="I3189:J3189"/>
    <mergeCell ref="I3190:J3190"/>
    <mergeCell ref="I3191:J3191"/>
    <mergeCell ref="I3212:J3212"/>
    <mergeCell ref="I3213:J3213"/>
    <mergeCell ref="I3214:J3214"/>
    <mergeCell ref="I3215:J3215"/>
    <mergeCell ref="I3216:J3216"/>
    <mergeCell ref="I3217:J3217"/>
    <mergeCell ref="I3218:J3218"/>
    <mergeCell ref="I3219:J3219"/>
    <mergeCell ref="I3220:J3220"/>
    <mergeCell ref="I3203:J3203"/>
    <mergeCell ref="I3204:J3204"/>
    <mergeCell ref="I3205:J3205"/>
    <mergeCell ref="I3206:J3206"/>
    <mergeCell ref="I3207:J3207"/>
    <mergeCell ref="I3208:J3208"/>
    <mergeCell ref="I3209:J3209"/>
    <mergeCell ref="I3210:J3210"/>
    <mergeCell ref="I3211:J3211"/>
    <mergeCell ref="A3222:A3231"/>
    <mergeCell ref="I3232:J3232"/>
    <mergeCell ref="I3233:J3233"/>
    <mergeCell ref="I3234:J3234"/>
    <mergeCell ref="I3235:J3235"/>
    <mergeCell ref="I3236:J3236"/>
    <mergeCell ref="I3237:J3237"/>
    <mergeCell ref="I3238:J3238"/>
    <mergeCell ref="I3239:J3239"/>
    <mergeCell ref="I3240:J3240"/>
    <mergeCell ref="I3223:J3223"/>
    <mergeCell ref="I3224:J3224"/>
    <mergeCell ref="I3225:J3225"/>
    <mergeCell ref="I3226:J3226"/>
    <mergeCell ref="I3227:J3227"/>
    <mergeCell ref="I3228:J3228"/>
    <mergeCell ref="I3229:J3229"/>
    <mergeCell ref="I3230:J3230"/>
    <mergeCell ref="I3231:J3231"/>
  </mergeCells>
  <phoneticPr fontId="1" type="noConversion"/>
  <conditionalFormatting sqref="F15:F18 F35:F38 F55:F58 F75:F78 F62:F71 F8:F10 F42:F51 F1:F6 F22:F30 F95:F98 F115:F118 F135:F138 F155:F158 F175:F178 F195:F198 F215:F218 F235:F238 F255:F258 F275:F278 F295:F298 F315:F318 F335:F338 F355:F358 F375:F378 F395:F398 F415:F418 F435:F438 F455:F458 F475:F478 F495:F498 F515:F518 F535:F538 F555:F558 F575:F578 F595:F598 F615:F618 F635:F638 F655:F658 F675:F678 F695:F698 F715:F718 F735:F738 F755:F758 F775:F778 F795:F798 F815:F818 F835:F838 F855:F858 F875:F878 F895:F898 F915:F918 F935:F938 F955:F958 F975:F978 F995:F998 F1015:F1018 F1035:F1038 F1055:F1058 F1075:F1078 F1095:F1098 F1115:F1118 F1135:F1138 F1155:F1158 F1175:F1178 F1195:F1198 F1215:F1218 F1235:F1238 F1255:F1258 F1275:F1278 F1295:F1298 F1315:F1318 F1335:F1338 F1355:F1358 F1375:F1378 F1395:F1398 F1415:F1418 F1435:F1438 F1455:F1458 F1475:F1478 F1495:F1498 F1515:F1518 F1535:F1538 F1555:F1558 F1575:F1578 F1595:F1598 F1615:F1618 F1635:F1638 F1655:F1658 F1675:F1678 F1695:F1698 F1715:F1718 F1735:F1738 F1755:F1758 F1775:F1778 F1795:F1798 F1815:F1818 F1835:F1838 F1855:F1858 F1875:F1878 F1895:F1898 F1915:F1918 F1935:F1938 F1955:F1958 F1975:F1978 F1995:F1998 F2015:F2018 F2035:F2038 F2055:F2058 F2075:F2078 F2095:F2098 F2115:F2118 F2135:F2138 F2155:F2158 F2175:F2178 F2195:F2198 F2215:F2218 F2235:F2238 F2255:F2258 F2275:F2278 F2295:F2298 F2315:F2318 F2335:F2338 F2355:F2358 F2375:F2378 F2395:F2398 F2415:F2418 F2435:F2438 F2455:F2458 F2475:F2478 F2495:F2498 F2515:F2518 F2535:F2538 F2555:F2558 F2575:F2578 F2595:F2598 F2615:F2618 F2635:F2638 F2655:F2658 F2675:F2678 F2695:F2698 F2715:F2718 F2735:F2738 F2755:F2758 F2775:F2778 F2795:F2798 F2815:F2818 F2835:F2838 F2855:F2858 F2875:F2878 F2895:F2898 F2915:F2918 F2935:F2938 F2955:F2958 F2975:F2978 F2995:F2998 F3015:F3018 F3035:F3038 F3055:F3058 F3075:F3078 F3095:F3098 F3115:F3118 F3135:F3138 F3155:F3158 F3175:F3178 F3195:F3198 F3215:F3218 F82:F91 F102:F111 F122:F131 F142:F151 F162:F171 F182:F191 F202:F211 F222:F231 F242:F251 F262:F271 F282:F291 F302:F311 F322:F331 F342:F351 F362:F371 F382:F391 F402:F411 F422:F431 F442:F451 F462:F471 F482:F491 F502:F511 F522:F531 F542:F551 F562:F571 F582:F591 F602:F611 F622:F631 F642:F651 F662:F671 F682:F691 F702:F711 F722:F731 F742:F751 F762:F771 F782:F791 F802:F811 F822:F831 F842:F851 F862:F871 F882:F891 F902:F911 F922:F931 F942:F951 F962:F971 F982:F991 F1002:F1011 F1022:F1031 F1042:F1051 F1062:F1071 F1082:F1091 F1102:F1111 F1122:F1131 F1142:F1151 F1162:F1171 F1182:F1191 F1202:F1211 F1222:F1231 F1242:F1251 F1262:F1271 F1282:F1291 F1302:F1311 F1322:F1331 F1342:F1351 F1362:F1371 F1382:F1391 F1402:F1411 F1422:F1431 F1442:F1451 F1462:F1471 F1482:F1491 F1502:F1511 F1522:F1531 F1542:F1551 F1562:F1571 F1582:F1591 F1602:F1611 F1622:F1631 F1642:F1651 F1662:F1671 F1682:F1691 F1702:F1711 F1722:F1731 F1742:F1751 F1762:F1771 F1782:F1791 F1802:F1811 F1822:F1831 F1842:F1851 F1862:F1871 F1882:F1891 F1902:F1911 F1922:F1931 F1942:F1951 F1962:F1971 F1982:F1991 F2002:F2011 F2022:F2031 F2042:F2051 F2062:F2071 F2082:F2091 F2102:F2111 F2122:F2131 F2142:F2151 F2162:F2171 F2182:F2191 F2202:F2211 F2222:F2231 F2242:F2251 F2262:F2271 F2282:F2291 F2302:F2311 F2322:F2331 F2342:F2351 F2362:F2371 F2382:F2391 F2402:F2411 F2422:F2431 F2442:F2451 F2462:F2471 F2482:F2491 F2502:F2511 F2522:F2531 F2542:F2551 F2562:F2571 F2582:F2591 F2602:F2611 F2622:F2631 F2642:F2651 F2662:F2671 F2682:F2691 F2702:F2711 F2722:F2731 F2742:F2751 F2762:F2771 F2782:F2791 F2802:F2811 F2822:F2831 F2842:F2851 F2862:F2871 F2882:F2891 F2902:F2911 F2922:F2931 F2942:F2951 F2962:F2971 F2982:F2991 F3002:F3011 F3022:F3031 F3042:F3051 F3062:F3071 F3082:F3091 F3102:F3111 F3122:F3131 F3142:F3151 F3162:F3171 F3182:F3191 F3202:F3211 F3235:F3238 F3222:F3231">
    <cfRule type="cellIs" dxfId="7" priority="23" operator="lessThanOrEqual">
      <formula>0</formula>
    </cfRule>
  </conditionalFormatting>
  <conditionalFormatting sqref="L4:M14 L24:M34 L44:M54 L64:M74 L84:M94 L104:M114 L124:M134 L144:M154 L164:M174 L184:M194 L204:M214 L224:M234 L244:M254 L264:M274 L284:M294 L304:M314 L324:M334 L344:M354 L364:M374 L384:M394 L404:M414 L424:M434 L444:M454 L464:M474 L484:M494 L504:M514 L524:M534 L544:M554 L564:M574 L584:M594 L624:M634 L644:M654 L664:M674 L684:M694 L704:M714 L724:M734 L744:M754 L764:M774 L784:M794 L804:M814 L824:M834 L844:M854 L864:M874 L884:M894 L904:M914 L924:M934 L944:M954 L964:M974 L984:M994 L1004:M1014 L1024:M1034 L1044:M1054 L1064:M1074 L1084:M1094 L1104:M1114 L1124:M1134 L1144:M1154 L1164:M1174 L1184:M1194 L1204:M1214 L1224:M1234 L1244:M1254 L1264:M1274 L1284:M1294 L1304:M1314 L1324:M1334 L1344:M1354 L1364:M1374 L1384:M1394 L1404:M1414 L1424:M1434 L1444:M1454 L1464:M1474 L1484:M1494 L1504:M1514 L1524:M1534 L1544:M1554 L1564:M1574 L1584:M1594 L1604:M1614 L1624:M1634 L1644:M1654 L1664:M1674 L1684:M1694 L1704:M1714 L1724:M1734 L1744:M1754 L1764:M1774 L1784:M1794 L1804:M1814 L1824:M1834 L1844:M1854 L1864:M1874 L1884:M1894 L1904:M1914 L1924:M1934 L1944:M1954 L1964:M1974 L1984:M1994 L2004:M2014 L2024:M2034 L2044:M2054 L2064:M2074 L2084:M2094 L2104:M2114 L2124:M2134 L2144:M2154 L2164:M2174 L2184:M2194 L2204:M2214 L2224:M2234 L2244:M2254 L2264:M2274 L2284:M2294 L2304:M2314 L2324:M2334 L2344:M2354 L2364:M2374 L2384:M2394 L2404:M2414 L2424:M2434 L2444:M2454 L2464:M2474 L2484:M2494 L2504:M2514 L2524:M2534 L2544:M2554 L2564:M2574 L2584:M2594 L2604:M2614 L2624:M2634 L2644:M2654 L2664:M2674 L2684:M2694 L2704:M2714 L2724:M2734 L2744:M2754 L2764:M2774 L2784:M2794 L2804:M2814 L2824:M2834 L2844:M2854 L2864:M2874 L2884:M2894 L2904:M2914 L2924:M2934 L2944:M2954 L2964:M2974 L2984:M2994 L3004:M3014 L3024:M3034 L3044:M3054 L3064:M3074 L3084:M3094 L3104:M3114 L3124:M3134 L3144:M3154 L3164:M3174 L3184:M3194 L3204:M3214 L3224:M3234 L604:L614">
    <cfRule type="cellIs" dxfId="6" priority="21" operator="lessThan">
      <formula>#REF!</formula>
    </cfRule>
    <cfRule type="cellIs" dxfId="5" priority="22" operator="greaterThanOrEqual">
      <formula>#REF!</formula>
    </cfRule>
  </conditionalFormatting>
  <conditionalFormatting sqref="K16:N16 K36:N36 K56:N56 K76:N76 K96:N96 K116:N116 K136:N136 K156:N156 K176:N176 K196:N196 K216:N216 K236:N236 K256:N256 K276:N276 K296:N296 K316:N316 K336:N336 K356:N356 K376:N376 K396:N396 K416:N416 K436:N436 K456:N456 K476:N476 K496:N496 K516:N516 K536:N536 K556:N556 K576:N576 K596:N596 K616:N616 K636:N636 K656:N656 K676:N676 K696:N696 K716:N716 K736:N736 K756:N756 K776:N776 K796:N796 K816:N816 K836:N836 K856:N856 K876:N876 K896:N896 K916:N916 K936:N936 K956:N956 K976:N976 K996:N996 K1016:N1016 K1036:N1036 K1056:N1056 K1076:N1076 K1096:N1096 K1116:N1116 K1136:N1136 K1156:N1156 K1176:N1176 K1196:N1196 K1216:N1216 K1236:N1236 K1256:N1256 K1276:N1276 K1296:N1296 K1316:N1316 K1336:N1336 K1356:N1356 K1376:N1376 K1396:N1396 K1416:N1416 K1436:N1436 K1456:N1456 K1476:N1476 K1496:N1496 K1516:N1516 K1536:N1536 K1556:N1556 K1576:N1576 K1596:N1596 K1616:N1616 K1636:N1636 K1656:N1656 K1676:N1676 K1696:N1696 K1716:N1716 K1736:N1736 K1756:N1756 K1776:N1776 K1796:N1796 K1816:N1816 K1836:N1836 K1856:N1856 K1876:N1876 K1896:N1896 K1916:N1916 K1936:N1936 K1956:N1956 K1976:N1976 K1996:N1996 K2016:N2016 K2036:N2036 K2056:N2056 K2076:N2076 K2096:N2096 K2116:N2116 K2136:N2136 K2156:N2156 K2176:N2176 K2196:N2196 K2216:N2216 K2236:N2236 K2256:N2256 K2276:N2276 K2296:N2296 K2316:N2316 K2336:N2336 K2356:N2356 K2376:N2376 K2396:N2396 K2416:N2416 K2436:N2436 K2456:N2456 K2476:N2476 K2496:N2496 K2516:N2516 K2536:N2536 K2556:N2556 K2576:N2576 K2596:N2596 K2616:N2616 K2636:N2636 K2656:N2656 K2676:N2676 K2696:N2696 K2716:N2716 K2736:N2736 K2756:N2756 K2776:N2776 K2796:N2796 K2816:N2816 K2836:N2836 K2856:N2856 K2876:N2876 K2896:N2896 K2916:N2916 K2936:N2936 K2956:N2956 K2976:N2976 K2996:N2996 K3016:N3016 K3036:N3036 K3056:N3056 K3076:N3076 K3096:N3096 K3116:N3116 K3136:N3136 K3156:N3156 K3176:N3176 K3196:N3196 K3216:N3216 K3236:N3236">
    <cfRule type="cellIs" dxfId="4" priority="6" operator="lessThan">
      <formula>0</formula>
    </cfRule>
  </conditionalFormatting>
  <conditionalFormatting sqref="F41">
    <cfRule type="cellIs" dxfId="3" priority="4" operator="lessThanOrEqual">
      <formula>0</formula>
    </cfRule>
  </conditionalFormatting>
  <conditionalFormatting sqref="F61 F81 F101 F121 F141 F161 F181 F201 F221 F241 F261 F281 F301 F321 F341 F361 F381 F401 F421 F441 F461 F481 F501 F521 F541 F561 F581 F601 F621 F641 F661 F681 F701 F721 F741 F761 F781 F801 F821 F841 F861 F881 F901 F921 F941 F961 F981 F1001 F1021 F1041 F1061 F1081 F1101 F1121 F1141 F1161 F1181 F1201 F1221 F1241 F1261 F1281 F1301 F1321 F1341 F1361 F1381 F1401 F1421 F1441 F1461 F1481 F1501 F1521 F1541 F1561 F1581 F1601 F1621 F1641 F1661 F1681 F1701 F1721 F1741 F1761 F1781 F1801 F1821 F1841 F1861 F1881 F1901 F1921 F1941 F1961 F1981 F2001 F2021 F2041 F2061 F2081 F2101 F2121 F2141 F2161 F2181 F2201 F2221 F2241 F2261 F2281 F2301 F2321 F2341 F2361 F2381 F2401 F2421 F2441 F2461 F2481 F2501 F2521 F2541 F2561 F2581 F2601 F2621 F2641 F2661 F2681 F2701 F2721 F2741 F2761 F2781 F2801 F2821 F2841 F2861 F2881 F2901 F2921 F2941 F2961 F2981 F3001 F3021 F3041 F3061 F3081 F3101 F3121 F3141 F3161 F3181 F3201 F3221">
    <cfRule type="cellIs" dxfId="2" priority="3" operator="lessThanOrEqual">
      <formula>0</formula>
    </cfRule>
  </conditionalFormatting>
  <conditionalFormatting sqref="K604:K614">
    <cfRule type="cellIs" dxfId="1" priority="1" operator="lessThan">
      <formula>#REF!</formula>
    </cfRule>
    <cfRule type="cellIs" dxfId="0" priority="2" operator="greaterThanOrEqual">
      <formula>#REF!</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13</vt:i4>
      </vt:variant>
    </vt:vector>
  </HeadingPairs>
  <TitlesOfParts>
    <vt:vector size="13" baseType="lpstr">
      <vt:lpstr>ROW</vt:lpstr>
      <vt:lpstr>架構</vt:lpstr>
      <vt:lpstr>看板</vt:lpstr>
      <vt:lpstr>滿批率</vt:lpstr>
      <vt:lpstr>實驗貨</vt:lpstr>
      <vt:lpstr>INPUT</vt:lpstr>
      <vt:lpstr>OUTPUT</vt:lpstr>
      <vt:lpstr>Empty CST</vt:lpstr>
      <vt:lpstr>滿批總表</vt:lpstr>
      <vt:lpstr>LCD總表</vt:lpstr>
      <vt:lpstr>時序</vt:lpstr>
      <vt:lpstr>實驗貨確認</vt:lpstr>
      <vt:lpstr>SUM</vt:lpstr>
    </vt:vector>
  </TitlesOfParts>
  <Company>Innolux Corp.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sampen.ho</dc:creator>
  <cp:lastModifiedBy>pocheng.yen</cp:lastModifiedBy>
  <dcterms:created xsi:type="dcterms:W3CDTF">2020-06-11T01:56:05Z</dcterms:created>
  <dcterms:modified xsi:type="dcterms:W3CDTF">2020-11-16T07:15:36Z</dcterms:modified>
</cp:coreProperties>
</file>